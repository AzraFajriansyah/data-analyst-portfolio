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E:\data-analyst-portfolio\project-02-cafe-sales-performance-dashboard\dashboard\"/>
    </mc:Choice>
  </mc:AlternateContent>
  <xr:revisionPtr revIDLastSave="0" documentId="13_ncr:1_{EF2138F7-8831-4CFF-B053-ADAC22CB0677}" xr6:coauthVersionLast="47" xr6:coauthVersionMax="47" xr10:uidLastSave="{00000000-0000-0000-0000-000000000000}"/>
  <bookViews>
    <workbookView xWindow="-120" yWindow="-120" windowWidth="20730" windowHeight="11160" firstSheet="2" activeTab="8" xr2:uid="{00000000-000D-0000-FFFF-FFFF00000000}"/>
  </bookViews>
  <sheets>
    <sheet name="Makassar" sheetId="1" r:id="rId1"/>
    <sheet name="Semarang" sheetId="2" r:id="rId2"/>
    <sheet name="Medan" sheetId="3" r:id="rId3"/>
    <sheet name="Bandung" sheetId="4" r:id="rId4"/>
    <sheet name="Surabaya" sheetId="5" r:id="rId5"/>
    <sheet name="Jakarta" sheetId="6" r:id="rId6"/>
    <sheet name="DBProduct" sheetId="7" r:id="rId7"/>
    <sheet name="Master" sheetId="8" r:id="rId8"/>
    <sheet name="Dashboard" sheetId="9" r:id="rId9"/>
    <sheet name="Detail1" sheetId="10" state="hidden" r:id="rId10"/>
  </sheets>
  <definedNames>
    <definedName name="Z_BCCC2E57_41EB_489D_8200_ABB307CED54D_.wvu.FilterData" localSheetId="7" hidden="1">Master!$A$1:$L$721</definedName>
  </definedNames>
  <calcPr calcId="191029"/>
  <customWorkbookViews>
    <customWorkbookView name="Filter 1" guid="{BCCC2E57-41EB-489D-8200-ABB307CED54D}" maximized="1" windowWidth="0" windowHeight="0" activeSheetId="0"/>
  </customWorkbookViews>
  <pivotCaches>
    <pivotCache cacheId="4"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 i="9" l="1"/>
  <c r="K721" i="8"/>
  <c r="J721" i="8"/>
  <c r="I721" i="8"/>
  <c r="F721" i="8"/>
  <c r="E721" i="8"/>
  <c r="D721" i="8"/>
  <c r="C721" i="8"/>
  <c r="B721" i="8"/>
  <c r="A721" i="8"/>
  <c r="K720" i="8"/>
  <c r="J720" i="8"/>
  <c r="I720" i="8"/>
  <c r="F720" i="8"/>
  <c r="E720" i="8"/>
  <c r="D720" i="8"/>
  <c r="C720" i="8"/>
  <c r="B720" i="8"/>
  <c r="A720" i="8"/>
  <c r="K719" i="8"/>
  <c r="J719" i="8"/>
  <c r="I719" i="8"/>
  <c r="F719" i="8"/>
  <c r="E719" i="8"/>
  <c r="D719" i="8"/>
  <c r="C719" i="8"/>
  <c r="H719" i="8" s="1"/>
  <c r="B719" i="8"/>
  <c r="A719" i="8"/>
  <c r="K718" i="8"/>
  <c r="J718" i="8"/>
  <c r="I718" i="8"/>
  <c r="F718" i="8"/>
  <c r="E718" i="8"/>
  <c r="D718" i="8"/>
  <c r="C718" i="8"/>
  <c r="B718" i="8"/>
  <c r="A718" i="8"/>
  <c r="K717" i="8"/>
  <c r="J717" i="8"/>
  <c r="I717" i="8"/>
  <c r="F717" i="8"/>
  <c r="E717" i="8"/>
  <c r="D717" i="8"/>
  <c r="C717" i="8"/>
  <c r="H717" i="8" s="1"/>
  <c r="B717" i="8"/>
  <c r="A717" i="8"/>
  <c r="K716" i="8"/>
  <c r="J716" i="8"/>
  <c r="I716" i="8"/>
  <c r="F716" i="8"/>
  <c r="E716" i="8"/>
  <c r="D716" i="8"/>
  <c r="C716" i="8"/>
  <c r="B716" i="8"/>
  <c r="A716" i="8"/>
  <c r="K715" i="8"/>
  <c r="J715" i="8"/>
  <c r="I715" i="8"/>
  <c r="F715" i="8"/>
  <c r="E715" i="8"/>
  <c r="D715" i="8"/>
  <c r="C715" i="8"/>
  <c r="H715" i="8" s="1"/>
  <c r="B715" i="8"/>
  <c r="A715" i="8"/>
  <c r="K714" i="8"/>
  <c r="J714" i="8"/>
  <c r="I714" i="8"/>
  <c r="F714" i="8"/>
  <c r="E714" i="8"/>
  <c r="D714" i="8"/>
  <c r="C714" i="8"/>
  <c r="B714" i="8"/>
  <c r="A714" i="8"/>
  <c r="K713" i="8"/>
  <c r="J713" i="8"/>
  <c r="I713" i="8"/>
  <c r="F713" i="8"/>
  <c r="E713" i="8"/>
  <c r="D713" i="8"/>
  <c r="C713" i="8"/>
  <c r="H713" i="8" s="1"/>
  <c r="B713" i="8"/>
  <c r="A713" i="8"/>
  <c r="K712" i="8"/>
  <c r="J712" i="8"/>
  <c r="I712" i="8"/>
  <c r="F712" i="8"/>
  <c r="E712" i="8"/>
  <c r="D712" i="8"/>
  <c r="C712" i="8"/>
  <c r="B712" i="8"/>
  <c r="A712" i="8"/>
  <c r="K711" i="8"/>
  <c r="J711" i="8"/>
  <c r="I711" i="8"/>
  <c r="F711" i="8"/>
  <c r="E711" i="8"/>
  <c r="D711" i="8"/>
  <c r="C711" i="8"/>
  <c r="H711" i="8" s="1"/>
  <c r="B711" i="8"/>
  <c r="A711" i="8"/>
  <c r="K710" i="8"/>
  <c r="J710" i="8"/>
  <c r="I710" i="8"/>
  <c r="F710" i="8"/>
  <c r="E710" i="8"/>
  <c r="D710" i="8"/>
  <c r="C710" i="8"/>
  <c r="B710" i="8"/>
  <c r="A710" i="8"/>
  <c r="K709" i="8"/>
  <c r="J709" i="8"/>
  <c r="I709" i="8"/>
  <c r="F709" i="8"/>
  <c r="E709" i="8"/>
  <c r="D709" i="8"/>
  <c r="C709" i="8"/>
  <c r="H709" i="8" s="1"/>
  <c r="B709" i="8"/>
  <c r="A709" i="8"/>
  <c r="K708" i="8"/>
  <c r="J708" i="8"/>
  <c r="I708" i="8"/>
  <c r="F708" i="8"/>
  <c r="E708" i="8"/>
  <c r="D708" i="8"/>
  <c r="C708" i="8"/>
  <c r="B708" i="8"/>
  <c r="A708" i="8"/>
  <c r="K707" i="8"/>
  <c r="J707" i="8"/>
  <c r="I707" i="8"/>
  <c r="F707" i="8"/>
  <c r="E707" i="8"/>
  <c r="D707" i="8"/>
  <c r="C707" i="8"/>
  <c r="H707" i="8" s="1"/>
  <c r="B707" i="8"/>
  <c r="A707" i="8"/>
  <c r="K706" i="8"/>
  <c r="J706" i="8"/>
  <c r="I706" i="8"/>
  <c r="F706" i="8"/>
  <c r="E706" i="8"/>
  <c r="D706" i="8"/>
  <c r="C706" i="8"/>
  <c r="B706" i="8"/>
  <c r="A706" i="8"/>
  <c r="K705" i="8"/>
  <c r="J705" i="8"/>
  <c r="I705" i="8"/>
  <c r="F705" i="8"/>
  <c r="E705" i="8"/>
  <c r="D705" i="8"/>
  <c r="C705" i="8"/>
  <c r="H705" i="8" s="1"/>
  <c r="B705" i="8"/>
  <c r="A705" i="8"/>
  <c r="K704" i="8"/>
  <c r="J704" i="8"/>
  <c r="I704" i="8"/>
  <c r="F704" i="8"/>
  <c r="E704" i="8"/>
  <c r="D704" i="8"/>
  <c r="C704" i="8"/>
  <c r="B704" i="8"/>
  <c r="A704" i="8"/>
  <c r="K703" i="8"/>
  <c r="J703" i="8"/>
  <c r="I703" i="8"/>
  <c r="F703" i="8"/>
  <c r="E703" i="8"/>
  <c r="D703" i="8"/>
  <c r="C703" i="8"/>
  <c r="H703" i="8" s="1"/>
  <c r="B703" i="8"/>
  <c r="A703" i="8"/>
  <c r="K702" i="8"/>
  <c r="J702" i="8"/>
  <c r="I702" i="8"/>
  <c r="F702" i="8"/>
  <c r="E702" i="8"/>
  <c r="D702" i="8"/>
  <c r="C702" i="8"/>
  <c r="B702" i="8"/>
  <c r="A702" i="8"/>
  <c r="K701" i="8"/>
  <c r="J701" i="8"/>
  <c r="I701" i="8"/>
  <c r="F701" i="8"/>
  <c r="E701" i="8"/>
  <c r="D701" i="8"/>
  <c r="C701" i="8"/>
  <c r="H701" i="8" s="1"/>
  <c r="B701" i="8"/>
  <c r="A701" i="8"/>
  <c r="K700" i="8"/>
  <c r="J700" i="8"/>
  <c r="I700" i="8"/>
  <c r="F700" i="8"/>
  <c r="E700" i="8"/>
  <c r="D700" i="8"/>
  <c r="C700" i="8"/>
  <c r="B700" i="8"/>
  <c r="A700" i="8"/>
  <c r="K699" i="8"/>
  <c r="J699" i="8"/>
  <c r="I699" i="8"/>
  <c r="F699" i="8"/>
  <c r="E699" i="8"/>
  <c r="D699" i="8"/>
  <c r="C699" i="8"/>
  <c r="H699" i="8" s="1"/>
  <c r="B699" i="8"/>
  <c r="A699" i="8"/>
  <c r="K698" i="8"/>
  <c r="J698" i="8"/>
  <c r="I698" i="8"/>
  <c r="F698" i="8"/>
  <c r="E698" i="8"/>
  <c r="D698" i="8"/>
  <c r="C698" i="8"/>
  <c r="B698" i="8"/>
  <c r="A698" i="8"/>
  <c r="K697" i="8"/>
  <c r="J697" i="8"/>
  <c r="I697" i="8"/>
  <c r="F697" i="8"/>
  <c r="E697" i="8"/>
  <c r="D697" i="8"/>
  <c r="C697" i="8"/>
  <c r="H697" i="8" s="1"/>
  <c r="B697" i="8"/>
  <c r="A697" i="8"/>
  <c r="K696" i="8"/>
  <c r="J696" i="8"/>
  <c r="I696" i="8"/>
  <c r="F696" i="8"/>
  <c r="E696" i="8"/>
  <c r="D696" i="8"/>
  <c r="C696" i="8"/>
  <c r="B696" i="8"/>
  <c r="A696" i="8"/>
  <c r="K695" i="8"/>
  <c r="J695" i="8"/>
  <c r="I695" i="8"/>
  <c r="F695" i="8"/>
  <c r="E695" i="8"/>
  <c r="D695" i="8"/>
  <c r="C695" i="8"/>
  <c r="H695" i="8" s="1"/>
  <c r="B695" i="8"/>
  <c r="A695" i="8"/>
  <c r="K694" i="8"/>
  <c r="J694" i="8"/>
  <c r="I694" i="8"/>
  <c r="F694" i="8"/>
  <c r="E694" i="8"/>
  <c r="D694" i="8"/>
  <c r="C694" i="8"/>
  <c r="B694" i="8"/>
  <c r="A694" i="8"/>
  <c r="K693" i="8"/>
  <c r="J693" i="8"/>
  <c r="I693" i="8"/>
  <c r="F693" i="8"/>
  <c r="E693" i="8"/>
  <c r="D693" i="8"/>
  <c r="C693" i="8"/>
  <c r="H693" i="8" s="1"/>
  <c r="B693" i="8"/>
  <c r="A693" i="8"/>
  <c r="K692" i="8"/>
  <c r="J692" i="8"/>
  <c r="I692" i="8"/>
  <c r="F692" i="8"/>
  <c r="E692" i="8"/>
  <c r="D692" i="8"/>
  <c r="C692" i="8"/>
  <c r="B692" i="8"/>
  <c r="A692" i="8"/>
  <c r="K691" i="8"/>
  <c r="J691" i="8"/>
  <c r="I691" i="8"/>
  <c r="F691" i="8"/>
  <c r="E691" i="8"/>
  <c r="D691" i="8"/>
  <c r="C691" i="8"/>
  <c r="H691" i="8" s="1"/>
  <c r="B691" i="8"/>
  <c r="A691" i="8"/>
  <c r="K690" i="8"/>
  <c r="J690" i="8"/>
  <c r="I690" i="8"/>
  <c r="F690" i="8"/>
  <c r="E690" i="8"/>
  <c r="D690" i="8"/>
  <c r="C690" i="8"/>
  <c r="B690" i="8"/>
  <c r="A690" i="8"/>
  <c r="K689" i="8"/>
  <c r="J689" i="8"/>
  <c r="I689" i="8"/>
  <c r="F689" i="8"/>
  <c r="E689" i="8"/>
  <c r="D689" i="8"/>
  <c r="C689" i="8"/>
  <c r="H689" i="8" s="1"/>
  <c r="B689" i="8"/>
  <c r="A689" i="8"/>
  <c r="K688" i="8"/>
  <c r="J688" i="8"/>
  <c r="I688" i="8"/>
  <c r="F688" i="8"/>
  <c r="E688" i="8"/>
  <c r="D688" i="8"/>
  <c r="C688" i="8"/>
  <c r="B688" i="8"/>
  <c r="A688" i="8"/>
  <c r="K687" i="8"/>
  <c r="J687" i="8"/>
  <c r="I687" i="8"/>
  <c r="F687" i="8"/>
  <c r="E687" i="8"/>
  <c r="D687" i="8"/>
  <c r="C687" i="8"/>
  <c r="H687" i="8" s="1"/>
  <c r="B687" i="8"/>
  <c r="A687" i="8"/>
  <c r="K686" i="8"/>
  <c r="J686" i="8"/>
  <c r="I686" i="8"/>
  <c r="F686" i="8"/>
  <c r="E686" i="8"/>
  <c r="D686" i="8"/>
  <c r="C686" i="8"/>
  <c r="B686" i="8"/>
  <c r="A686" i="8"/>
  <c r="K685" i="8"/>
  <c r="J685" i="8"/>
  <c r="I685" i="8"/>
  <c r="F685" i="8"/>
  <c r="E685" i="8"/>
  <c r="D685" i="8"/>
  <c r="C685" i="8"/>
  <c r="H685" i="8" s="1"/>
  <c r="B685" i="8"/>
  <c r="A685" i="8"/>
  <c r="K684" i="8"/>
  <c r="J684" i="8"/>
  <c r="I684" i="8"/>
  <c r="F684" i="8"/>
  <c r="E684" i="8"/>
  <c r="D684" i="8"/>
  <c r="C684" i="8"/>
  <c r="B684" i="8"/>
  <c r="A684" i="8"/>
  <c r="K683" i="8"/>
  <c r="J683" i="8"/>
  <c r="I683" i="8"/>
  <c r="F683" i="8"/>
  <c r="E683" i="8"/>
  <c r="D683" i="8"/>
  <c r="C683" i="8"/>
  <c r="H683" i="8" s="1"/>
  <c r="B683" i="8"/>
  <c r="A683" i="8"/>
  <c r="K682" i="8"/>
  <c r="J682" i="8"/>
  <c r="I682" i="8"/>
  <c r="F682" i="8"/>
  <c r="E682" i="8"/>
  <c r="D682" i="8"/>
  <c r="C682" i="8"/>
  <c r="B682" i="8"/>
  <c r="A682" i="8"/>
  <c r="K681" i="8"/>
  <c r="J681" i="8"/>
  <c r="I681" i="8"/>
  <c r="F681" i="8"/>
  <c r="E681" i="8"/>
  <c r="D681" i="8"/>
  <c r="C681" i="8"/>
  <c r="H681" i="8" s="1"/>
  <c r="B681" i="8"/>
  <c r="A681" i="8"/>
  <c r="K680" i="8"/>
  <c r="J680" i="8"/>
  <c r="I680" i="8"/>
  <c r="F680" i="8"/>
  <c r="E680" i="8"/>
  <c r="D680" i="8"/>
  <c r="C680" i="8"/>
  <c r="B680" i="8"/>
  <c r="A680" i="8"/>
  <c r="K679" i="8"/>
  <c r="J679" i="8"/>
  <c r="I679" i="8"/>
  <c r="F679" i="8"/>
  <c r="E679" i="8"/>
  <c r="D679" i="8"/>
  <c r="C679" i="8"/>
  <c r="H679" i="8" s="1"/>
  <c r="B679" i="8"/>
  <c r="A679" i="8"/>
  <c r="K678" i="8"/>
  <c r="J678" i="8"/>
  <c r="I678" i="8"/>
  <c r="F678" i="8"/>
  <c r="E678" i="8"/>
  <c r="D678" i="8"/>
  <c r="C678" i="8"/>
  <c r="B678" i="8"/>
  <c r="A678" i="8"/>
  <c r="K677" i="8"/>
  <c r="J677" i="8"/>
  <c r="I677" i="8"/>
  <c r="F677" i="8"/>
  <c r="E677" i="8"/>
  <c r="D677" i="8"/>
  <c r="C677" i="8"/>
  <c r="H677" i="8" s="1"/>
  <c r="B677" i="8"/>
  <c r="A677" i="8"/>
  <c r="K676" i="8"/>
  <c r="J676" i="8"/>
  <c r="I676" i="8"/>
  <c r="F676" i="8"/>
  <c r="E676" i="8"/>
  <c r="D676" i="8"/>
  <c r="C676" i="8"/>
  <c r="B676" i="8"/>
  <c r="A676" i="8"/>
  <c r="K675" i="8"/>
  <c r="J675" i="8"/>
  <c r="I675" i="8"/>
  <c r="F675" i="8"/>
  <c r="E675" i="8"/>
  <c r="D675" i="8"/>
  <c r="C675" i="8"/>
  <c r="H675" i="8" s="1"/>
  <c r="B675" i="8"/>
  <c r="A675" i="8"/>
  <c r="K674" i="8"/>
  <c r="J674" i="8"/>
  <c r="I674" i="8"/>
  <c r="F674" i="8"/>
  <c r="E674" i="8"/>
  <c r="D674" i="8"/>
  <c r="C674" i="8"/>
  <c r="B674" i="8"/>
  <c r="A674" i="8"/>
  <c r="K673" i="8"/>
  <c r="J673" i="8"/>
  <c r="I673" i="8"/>
  <c r="F673" i="8"/>
  <c r="E673" i="8"/>
  <c r="D673" i="8"/>
  <c r="C673" i="8"/>
  <c r="H673" i="8" s="1"/>
  <c r="B673" i="8"/>
  <c r="A673" i="8"/>
  <c r="K672" i="8"/>
  <c r="J672" i="8"/>
  <c r="I672" i="8"/>
  <c r="F672" i="8"/>
  <c r="E672" i="8"/>
  <c r="D672" i="8"/>
  <c r="C672" i="8"/>
  <c r="B672" i="8"/>
  <c r="A672" i="8"/>
  <c r="K671" i="8"/>
  <c r="J671" i="8"/>
  <c r="I671" i="8"/>
  <c r="F671" i="8"/>
  <c r="E671" i="8"/>
  <c r="D671" i="8"/>
  <c r="C671" i="8"/>
  <c r="H671" i="8" s="1"/>
  <c r="B671" i="8"/>
  <c r="A671" i="8"/>
  <c r="K670" i="8"/>
  <c r="J670" i="8"/>
  <c r="I670" i="8"/>
  <c r="F670" i="8"/>
  <c r="E670" i="8"/>
  <c r="D670" i="8"/>
  <c r="C670" i="8"/>
  <c r="B670" i="8"/>
  <c r="A670" i="8"/>
  <c r="K669" i="8"/>
  <c r="J669" i="8"/>
  <c r="I669" i="8"/>
  <c r="F669" i="8"/>
  <c r="E669" i="8"/>
  <c r="D669" i="8"/>
  <c r="C669" i="8"/>
  <c r="H669" i="8" s="1"/>
  <c r="B669" i="8"/>
  <c r="A669" i="8"/>
  <c r="K668" i="8"/>
  <c r="J668" i="8"/>
  <c r="I668" i="8"/>
  <c r="F668" i="8"/>
  <c r="E668" i="8"/>
  <c r="D668" i="8"/>
  <c r="C668" i="8"/>
  <c r="B668" i="8"/>
  <c r="A668" i="8"/>
  <c r="K667" i="8"/>
  <c r="J667" i="8"/>
  <c r="I667" i="8"/>
  <c r="F667" i="8"/>
  <c r="E667" i="8"/>
  <c r="D667" i="8"/>
  <c r="C667" i="8"/>
  <c r="H667" i="8" s="1"/>
  <c r="B667" i="8"/>
  <c r="A667" i="8"/>
  <c r="K666" i="8"/>
  <c r="J666" i="8"/>
  <c r="I666" i="8"/>
  <c r="F666" i="8"/>
  <c r="E666" i="8"/>
  <c r="D666" i="8"/>
  <c r="C666" i="8"/>
  <c r="B666" i="8"/>
  <c r="A666" i="8"/>
  <c r="K665" i="8"/>
  <c r="J665" i="8"/>
  <c r="I665" i="8"/>
  <c r="F665" i="8"/>
  <c r="E665" i="8"/>
  <c r="D665" i="8"/>
  <c r="C665" i="8"/>
  <c r="H665" i="8" s="1"/>
  <c r="B665" i="8"/>
  <c r="A665" i="8"/>
  <c r="K664" i="8"/>
  <c r="J664" i="8"/>
  <c r="I664" i="8"/>
  <c r="F664" i="8"/>
  <c r="E664" i="8"/>
  <c r="D664" i="8"/>
  <c r="C664" i="8"/>
  <c r="B664" i="8"/>
  <c r="A664" i="8"/>
  <c r="K663" i="8"/>
  <c r="J663" i="8"/>
  <c r="I663" i="8"/>
  <c r="F663" i="8"/>
  <c r="E663" i="8"/>
  <c r="D663" i="8"/>
  <c r="C663" i="8"/>
  <c r="H663" i="8" s="1"/>
  <c r="B663" i="8"/>
  <c r="A663" i="8"/>
  <c r="K662" i="8"/>
  <c r="J662" i="8"/>
  <c r="I662" i="8"/>
  <c r="F662" i="8"/>
  <c r="E662" i="8"/>
  <c r="D662" i="8"/>
  <c r="C662" i="8"/>
  <c r="B662" i="8"/>
  <c r="A662" i="8"/>
  <c r="K661" i="8"/>
  <c r="J661" i="8"/>
  <c r="I661" i="8"/>
  <c r="F661" i="8"/>
  <c r="E661" i="8"/>
  <c r="D661" i="8"/>
  <c r="C661" i="8"/>
  <c r="H661" i="8" s="1"/>
  <c r="B661" i="8"/>
  <c r="A661" i="8"/>
  <c r="K660" i="8"/>
  <c r="J660" i="8"/>
  <c r="I660" i="8"/>
  <c r="F660" i="8"/>
  <c r="E660" i="8"/>
  <c r="D660" i="8"/>
  <c r="C660" i="8"/>
  <c r="B660" i="8"/>
  <c r="A660" i="8"/>
  <c r="K659" i="8"/>
  <c r="J659" i="8"/>
  <c r="I659" i="8"/>
  <c r="F659" i="8"/>
  <c r="E659" i="8"/>
  <c r="D659" i="8"/>
  <c r="C659" i="8"/>
  <c r="H659" i="8" s="1"/>
  <c r="B659" i="8"/>
  <c r="A659" i="8"/>
  <c r="K658" i="8"/>
  <c r="J658" i="8"/>
  <c r="I658" i="8"/>
  <c r="F658" i="8"/>
  <c r="E658" i="8"/>
  <c r="D658" i="8"/>
  <c r="C658" i="8"/>
  <c r="B658" i="8"/>
  <c r="A658" i="8"/>
  <c r="K657" i="8"/>
  <c r="J657" i="8"/>
  <c r="I657" i="8"/>
  <c r="F657" i="8"/>
  <c r="E657" i="8"/>
  <c r="D657" i="8"/>
  <c r="C657" i="8"/>
  <c r="H657" i="8" s="1"/>
  <c r="B657" i="8"/>
  <c r="A657" i="8"/>
  <c r="K656" i="8"/>
  <c r="J656" i="8"/>
  <c r="I656" i="8"/>
  <c r="F656" i="8"/>
  <c r="E656" i="8"/>
  <c r="D656" i="8"/>
  <c r="C656" i="8"/>
  <c r="B656" i="8"/>
  <c r="A656" i="8"/>
  <c r="K655" i="8"/>
  <c r="J655" i="8"/>
  <c r="I655" i="8"/>
  <c r="F655" i="8"/>
  <c r="E655" i="8"/>
  <c r="D655" i="8"/>
  <c r="C655" i="8"/>
  <c r="H655" i="8" s="1"/>
  <c r="B655" i="8"/>
  <c r="A655" i="8"/>
  <c r="K654" i="8"/>
  <c r="J654" i="8"/>
  <c r="I654" i="8"/>
  <c r="F654" i="8"/>
  <c r="E654" i="8"/>
  <c r="D654" i="8"/>
  <c r="C654" i="8"/>
  <c r="B654" i="8"/>
  <c r="A654" i="8"/>
  <c r="K653" i="8"/>
  <c r="J653" i="8"/>
  <c r="I653" i="8"/>
  <c r="F653" i="8"/>
  <c r="E653" i="8"/>
  <c r="D653" i="8"/>
  <c r="C653" i="8"/>
  <c r="H653" i="8" s="1"/>
  <c r="B653" i="8"/>
  <c r="A653" i="8"/>
  <c r="K652" i="8"/>
  <c r="J652" i="8"/>
  <c r="I652" i="8"/>
  <c r="F652" i="8"/>
  <c r="E652" i="8"/>
  <c r="D652" i="8"/>
  <c r="C652" i="8"/>
  <c r="B652" i="8"/>
  <c r="A652" i="8"/>
  <c r="K651" i="8"/>
  <c r="J651" i="8"/>
  <c r="I651" i="8"/>
  <c r="F651" i="8"/>
  <c r="E651" i="8"/>
  <c r="D651" i="8"/>
  <c r="C651" i="8"/>
  <c r="H651" i="8" s="1"/>
  <c r="B651" i="8"/>
  <c r="A651" i="8"/>
  <c r="K650" i="8"/>
  <c r="J650" i="8"/>
  <c r="I650" i="8"/>
  <c r="F650" i="8"/>
  <c r="E650" i="8"/>
  <c r="D650" i="8"/>
  <c r="C650" i="8"/>
  <c r="B650" i="8"/>
  <c r="A650" i="8"/>
  <c r="K649" i="8"/>
  <c r="J649" i="8"/>
  <c r="I649" i="8"/>
  <c r="F649" i="8"/>
  <c r="E649" i="8"/>
  <c r="D649" i="8"/>
  <c r="C649" i="8"/>
  <c r="H649" i="8" s="1"/>
  <c r="B649" i="8"/>
  <c r="A649" i="8"/>
  <c r="K648" i="8"/>
  <c r="J648" i="8"/>
  <c r="I648" i="8"/>
  <c r="F648" i="8"/>
  <c r="E648" i="8"/>
  <c r="D648" i="8"/>
  <c r="C648" i="8"/>
  <c r="B648" i="8"/>
  <c r="A648" i="8"/>
  <c r="K647" i="8"/>
  <c r="J647" i="8"/>
  <c r="I647" i="8"/>
  <c r="F647" i="8"/>
  <c r="E647" i="8"/>
  <c r="D647" i="8"/>
  <c r="C647" i="8"/>
  <c r="H647" i="8" s="1"/>
  <c r="B647" i="8"/>
  <c r="A647" i="8"/>
  <c r="K646" i="8"/>
  <c r="J646" i="8"/>
  <c r="I646" i="8"/>
  <c r="F646" i="8"/>
  <c r="E646" i="8"/>
  <c r="D646" i="8"/>
  <c r="C646" i="8"/>
  <c r="B646" i="8"/>
  <c r="A646" i="8"/>
  <c r="K645" i="8"/>
  <c r="J645" i="8"/>
  <c r="I645" i="8"/>
  <c r="F645" i="8"/>
  <c r="E645" i="8"/>
  <c r="D645" i="8"/>
  <c r="C645" i="8"/>
  <c r="H645" i="8" s="1"/>
  <c r="B645" i="8"/>
  <c r="A645" i="8"/>
  <c r="K644" i="8"/>
  <c r="J644" i="8"/>
  <c r="I644" i="8"/>
  <c r="F644" i="8"/>
  <c r="E644" i="8"/>
  <c r="D644" i="8"/>
  <c r="C644" i="8"/>
  <c r="B644" i="8"/>
  <c r="A644" i="8"/>
  <c r="K643" i="8"/>
  <c r="J643" i="8"/>
  <c r="I643" i="8"/>
  <c r="F643" i="8"/>
  <c r="E643" i="8"/>
  <c r="D643" i="8"/>
  <c r="C643" i="8"/>
  <c r="H643" i="8" s="1"/>
  <c r="B643" i="8"/>
  <c r="A643" i="8"/>
  <c r="K642" i="8"/>
  <c r="J642" i="8"/>
  <c r="I642" i="8"/>
  <c r="F642" i="8"/>
  <c r="E642" i="8"/>
  <c r="D642" i="8"/>
  <c r="C642" i="8"/>
  <c r="B642" i="8"/>
  <c r="A642" i="8"/>
  <c r="K641" i="8"/>
  <c r="J641" i="8"/>
  <c r="I641" i="8"/>
  <c r="F641" i="8"/>
  <c r="E641" i="8"/>
  <c r="D641" i="8"/>
  <c r="C641" i="8"/>
  <c r="H641" i="8" s="1"/>
  <c r="B641" i="8"/>
  <c r="A641" i="8"/>
  <c r="K640" i="8"/>
  <c r="J640" i="8"/>
  <c r="I640" i="8"/>
  <c r="F640" i="8"/>
  <c r="E640" i="8"/>
  <c r="D640" i="8"/>
  <c r="C640" i="8"/>
  <c r="B640" i="8"/>
  <c r="A640" i="8"/>
  <c r="K639" i="8"/>
  <c r="J639" i="8"/>
  <c r="I639" i="8"/>
  <c r="F639" i="8"/>
  <c r="E639" i="8"/>
  <c r="D639" i="8"/>
  <c r="C639" i="8"/>
  <c r="H639" i="8" s="1"/>
  <c r="B639" i="8"/>
  <c r="A639" i="8"/>
  <c r="K638" i="8"/>
  <c r="J638" i="8"/>
  <c r="I638" i="8"/>
  <c r="F638" i="8"/>
  <c r="E638" i="8"/>
  <c r="D638" i="8"/>
  <c r="C638" i="8"/>
  <c r="B638" i="8"/>
  <c r="A638" i="8"/>
  <c r="K637" i="8"/>
  <c r="J637" i="8"/>
  <c r="I637" i="8"/>
  <c r="F637" i="8"/>
  <c r="E637" i="8"/>
  <c r="D637" i="8"/>
  <c r="C637" i="8"/>
  <c r="H637" i="8" s="1"/>
  <c r="B637" i="8"/>
  <c r="A637" i="8"/>
  <c r="K636" i="8"/>
  <c r="J636" i="8"/>
  <c r="I636" i="8"/>
  <c r="F636" i="8"/>
  <c r="E636" i="8"/>
  <c r="D636" i="8"/>
  <c r="C636" i="8"/>
  <c r="B636" i="8"/>
  <c r="A636" i="8"/>
  <c r="K635" i="8"/>
  <c r="J635" i="8"/>
  <c r="I635" i="8"/>
  <c r="F635" i="8"/>
  <c r="E635" i="8"/>
  <c r="D635" i="8"/>
  <c r="C635" i="8"/>
  <c r="H635" i="8" s="1"/>
  <c r="B635" i="8"/>
  <c r="A635" i="8"/>
  <c r="K634" i="8"/>
  <c r="J634" i="8"/>
  <c r="I634" i="8"/>
  <c r="F634" i="8"/>
  <c r="E634" i="8"/>
  <c r="D634" i="8"/>
  <c r="C634" i="8"/>
  <c r="B634" i="8"/>
  <c r="A634" i="8"/>
  <c r="K633" i="8"/>
  <c r="J633" i="8"/>
  <c r="I633" i="8"/>
  <c r="F633" i="8"/>
  <c r="E633" i="8"/>
  <c r="D633" i="8"/>
  <c r="C633" i="8"/>
  <c r="H633" i="8" s="1"/>
  <c r="B633" i="8"/>
  <c r="A633" i="8"/>
  <c r="K632" i="8"/>
  <c r="J632" i="8"/>
  <c r="I632" i="8"/>
  <c r="F632" i="8"/>
  <c r="E632" i="8"/>
  <c r="D632" i="8"/>
  <c r="C632" i="8"/>
  <c r="B632" i="8"/>
  <c r="A632" i="8"/>
  <c r="K631" i="8"/>
  <c r="J631" i="8"/>
  <c r="I631" i="8"/>
  <c r="F631" i="8"/>
  <c r="E631" i="8"/>
  <c r="D631" i="8"/>
  <c r="C631" i="8"/>
  <c r="H631" i="8" s="1"/>
  <c r="B631" i="8"/>
  <c r="A631" i="8"/>
  <c r="K630" i="8"/>
  <c r="J630" i="8"/>
  <c r="I630" i="8"/>
  <c r="F630" i="8"/>
  <c r="E630" i="8"/>
  <c r="D630" i="8"/>
  <c r="C630" i="8"/>
  <c r="B630" i="8"/>
  <c r="A630" i="8"/>
  <c r="K629" i="8"/>
  <c r="J629" i="8"/>
  <c r="I629" i="8"/>
  <c r="F629" i="8"/>
  <c r="E629" i="8"/>
  <c r="D629" i="8"/>
  <c r="C629" i="8"/>
  <c r="H629" i="8" s="1"/>
  <c r="B629" i="8"/>
  <c r="A629" i="8"/>
  <c r="K628" i="8"/>
  <c r="J628" i="8"/>
  <c r="I628" i="8"/>
  <c r="F628" i="8"/>
  <c r="E628" i="8"/>
  <c r="D628" i="8"/>
  <c r="C628" i="8"/>
  <c r="B628" i="8"/>
  <c r="A628" i="8"/>
  <c r="K627" i="8"/>
  <c r="J627" i="8"/>
  <c r="I627" i="8"/>
  <c r="F627" i="8"/>
  <c r="E627" i="8"/>
  <c r="D627" i="8"/>
  <c r="C627" i="8"/>
  <c r="H627" i="8" s="1"/>
  <c r="B627" i="8"/>
  <c r="A627" i="8"/>
  <c r="K626" i="8"/>
  <c r="J626" i="8"/>
  <c r="I626" i="8"/>
  <c r="F626" i="8"/>
  <c r="E626" i="8"/>
  <c r="D626" i="8"/>
  <c r="C626" i="8"/>
  <c r="B626" i="8"/>
  <c r="A626" i="8"/>
  <c r="K625" i="8"/>
  <c r="J625" i="8"/>
  <c r="I625" i="8"/>
  <c r="F625" i="8"/>
  <c r="E625" i="8"/>
  <c r="D625" i="8"/>
  <c r="C625" i="8"/>
  <c r="H625" i="8" s="1"/>
  <c r="B625" i="8"/>
  <c r="A625" i="8"/>
  <c r="K624" i="8"/>
  <c r="J624" i="8"/>
  <c r="I624" i="8"/>
  <c r="F624" i="8"/>
  <c r="E624" i="8"/>
  <c r="D624" i="8"/>
  <c r="C624" i="8"/>
  <c r="B624" i="8"/>
  <c r="A624" i="8"/>
  <c r="K623" i="8"/>
  <c r="J623" i="8"/>
  <c r="I623" i="8"/>
  <c r="F623" i="8"/>
  <c r="E623" i="8"/>
  <c r="D623" i="8"/>
  <c r="C623" i="8"/>
  <c r="H623" i="8" s="1"/>
  <c r="B623" i="8"/>
  <c r="A623" i="8"/>
  <c r="K622" i="8"/>
  <c r="J622" i="8"/>
  <c r="I622" i="8"/>
  <c r="F622" i="8"/>
  <c r="E622" i="8"/>
  <c r="D622" i="8"/>
  <c r="C622" i="8"/>
  <c r="B622" i="8"/>
  <c r="A622" i="8"/>
  <c r="K621" i="8"/>
  <c r="J621" i="8"/>
  <c r="I621" i="8"/>
  <c r="F621" i="8"/>
  <c r="E621" i="8"/>
  <c r="D621" i="8"/>
  <c r="C621" i="8"/>
  <c r="H621" i="8" s="1"/>
  <c r="B621" i="8"/>
  <c r="A621" i="8"/>
  <c r="K620" i="8"/>
  <c r="J620" i="8"/>
  <c r="I620" i="8"/>
  <c r="F620" i="8"/>
  <c r="E620" i="8"/>
  <c r="D620" i="8"/>
  <c r="C620" i="8"/>
  <c r="B620" i="8"/>
  <c r="A620" i="8"/>
  <c r="K619" i="8"/>
  <c r="J619" i="8"/>
  <c r="I619" i="8"/>
  <c r="F619" i="8"/>
  <c r="E619" i="8"/>
  <c r="D619" i="8"/>
  <c r="C619" i="8"/>
  <c r="H619" i="8" s="1"/>
  <c r="B619" i="8"/>
  <c r="A619" i="8"/>
  <c r="K618" i="8"/>
  <c r="J618" i="8"/>
  <c r="I618" i="8"/>
  <c r="F618" i="8"/>
  <c r="E618" i="8"/>
  <c r="D618" i="8"/>
  <c r="C618" i="8"/>
  <c r="B618" i="8"/>
  <c r="A618" i="8"/>
  <c r="K617" i="8"/>
  <c r="J617" i="8"/>
  <c r="I617" i="8"/>
  <c r="F617" i="8"/>
  <c r="E617" i="8"/>
  <c r="D617" i="8"/>
  <c r="C617" i="8"/>
  <c r="H617" i="8" s="1"/>
  <c r="B617" i="8"/>
  <c r="A617" i="8"/>
  <c r="K616" i="8"/>
  <c r="J616" i="8"/>
  <c r="I616" i="8"/>
  <c r="F616" i="8"/>
  <c r="E616" i="8"/>
  <c r="D616" i="8"/>
  <c r="C616" i="8"/>
  <c r="B616" i="8"/>
  <c r="A616" i="8"/>
  <c r="K615" i="8"/>
  <c r="J615" i="8"/>
  <c r="I615" i="8"/>
  <c r="F615" i="8"/>
  <c r="E615" i="8"/>
  <c r="D615" i="8"/>
  <c r="C615" i="8"/>
  <c r="H615" i="8" s="1"/>
  <c r="B615" i="8"/>
  <c r="A615" i="8"/>
  <c r="K614" i="8"/>
  <c r="J614" i="8"/>
  <c r="I614" i="8"/>
  <c r="F614" i="8"/>
  <c r="E614" i="8"/>
  <c r="D614" i="8"/>
  <c r="C614" i="8"/>
  <c r="B614" i="8"/>
  <c r="A614" i="8"/>
  <c r="K613" i="8"/>
  <c r="J613" i="8"/>
  <c r="I613" i="8"/>
  <c r="F613" i="8"/>
  <c r="E613" i="8"/>
  <c r="D613" i="8"/>
  <c r="C613" i="8"/>
  <c r="H613" i="8" s="1"/>
  <c r="B613" i="8"/>
  <c r="A613" i="8"/>
  <c r="K612" i="8"/>
  <c r="J612" i="8"/>
  <c r="I612" i="8"/>
  <c r="F612" i="8"/>
  <c r="E612" i="8"/>
  <c r="D612" i="8"/>
  <c r="C612" i="8"/>
  <c r="B612" i="8"/>
  <c r="A612" i="8"/>
  <c r="K611" i="8"/>
  <c r="J611" i="8"/>
  <c r="I611" i="8"/>
  <c r="F611" i="8"/>
  <c r="E611" i="8"/>
  <c r="D611" i="8"/>
  <c r="C611" i="8"/>
  <c r="H611" i="8" s="1"/>
  <c r="B611" i="8"/>
  <c r="A611" i="8"/>
  <c r="K610" i="8"/>
  <c r="J610" i="8"/>
  <c r="I610" i="8"/>
  <c r="F610" i="8"/>
  <c r="E610" i="8"/>
  <c r="D610" i="8"/>
  <c r="C610" i="8"/>
  <c r="B610" i="8"/>
  <c r="A610" i="8"/>
  <c r="K609" i="8"/>
  <c r="J609" i="8"/>
  <c r="I609" i="8"/>
  <c r="F609" i="8"/>
  <c r="E609" i="8"/>
  <c r="D609" i="8"/>
  <c r="C609" i="8"/>
  <c r="H609" i="8" s="1"/>
  <c r="B609" i="8"/>
  <c r="A609" i="8"/>
  <c r="K608" i="8"/>
  <c r="J608" i="8"/>
  <c r="I608" i="8"/>
  <c r="F608" i="8"/>
  <c r="E608" i="8"/>
  <c r="D608" i="8"/>
  <c r="C608" i="8"/>
  <c r="B608" i="8"/>
  <c r="A608" i="8"/>
  <c r="K607" i="8"/>
  <c r="J607" i="8"/>
  <c r="I607" i="8"/>
  <c r="F607" i="8"/>
  <c r="E607" i="8"/>
  <c r="D607" i="8"/>
  <c r="C607" i="8"/>
  <c r="H607" i="8" s="1"/>
  <c r="B607" i="8"/>
  <c r="A607" i="8"/>
  <c r="K606" i="8"/>
  <c r="J606" i="8"/>
  <c r="I606" i="8"/>
  <c r="F606" i="8"/>
  <c r="E606" i="8"/>
  <c r="D606" i="8"/>
  <c r="C606" i="8"/>
  <c r="B606" i="8"/>
  <c r="A606" i="8"/>
  <c r="K605" i="8"/>
  <c r="J605" i="8"/>
  <c r="I605" i="8"/>
  <c r="F605" i="8"/>
  <c r="E605" i="8"/>
  <c r="D605" i="8"/>
  <c r="C605" i="8"/>
  <c r="H605" i="8" s="1"/>
  <c r="B605" i="8"/>
  <c r="A605" i="8"/>
  <c r="K604" i="8"/>
  <c r="J604" i="8"/>
  <c r="I604" i="8"/>
  <c r="F604" i="8"/>
  <c r="E604" i="8"/>
  <c r="D604" i="8"/>
  <c r="C604" i="8"/>
  <c r="B604" i="8"/>
  <c r="A604" i="8"/>
  <c r="K603" i="8"/>
  <c r="J603" i="8"/>
  <c r="I603" i="8"/>
  <c r="F603" i="8"/>
  <c r="E603" i="8"/>
  <c r="D603" i="8"/>
  <c r="C603" i="8"/>
  <c r="H603" i="8" s="1"/>
  <c r="B603" i="8"/>
  <c r="A603" i="8"/>
  <c r="K602" i="8"/>
  <c r="J602" i="8"/>
  <c r="I602" i="8"/>
  <c r="F602" i="8"/>
  <c r="E602" i="8"/>
  <c r="D602" i="8"/>
  <c r="C602" i="8"/>
  <c r="B602" i="8"/>
  <c r="A602" i="8"/>
  <c r="K601" i="8"/>
  <c r="J601" i="8"/>
  <c r="I601" i="8"/>
  <c r="F601" i="8"/>
  <c r="E601" i="8"/>
  <c r="D601" i="8"/>
  <c r="C601" i="8"/>
  <c r="H601" i="8" s="1"/>
  <c r="B601" i="8"/>
  <c r="A601" i="8"/>
  <c r="K600" i="8"/>
  <c r="J600" i="8"/>
  <c r="I600" i="8"/>
  <c r="F600" i="8"/>
  <c r="E600" i="8"/>
  <c r="D600" i="8"/>
  <c r="C600" i="8"/>
  <c r="B600" i="8"/>
  <c r="A600" i="8"/>
  <c r="K599" i="8"/>
  <c r="J599" i="8"/>
  <c r="I599" i="8"/>
  <c r="F599" i="8"/>
  <c r="E599" i="8"/>
  <c r="D599" i="8"/>
  <c r="C599" i="8"/>
  <c r="H599" i="8" s="1"/>
  <c r="B599" i="8"/>
  <c r="A599" i="8"/>
  <c r="K598" i="8"/>
  <c r="J598" i="8"/>
  <c r="I598" i="8"/>
  <c r="F598" i="8"/>
  <c r="E598" i="8"/>
  <c r="D598" i="8"/>
  <c r="C598" i="8"/>
  <c r="B598" i="8"/>
  <c r="A598" i="8"/>
  <c r="K597" i="8"/>
  <c r="J597" i="8"/>
  <c r="I597" i="8"/>
  <c r="F597" i="8"/>
  <c r="E597" i="8"/>
  <c r="D597" i="8"/>
  <c r="C597" i="8"/>
  <c r="H597" i="8" s="1"/>
  <c r="B597" i="8"/>
  <c r="A597" i="8"/>
  <c r="K596" i="8"/>
  <c r="J596" i="8"/>
  <c r="I596" i="8"/>
  <c r="F596" i="8"/>
  <c r="E596" i="8"/>
  <c r="D596" i="8"/>
  <c r="C596" i="8"/>
  <c r="B596" i="8"/>
  <c r="A596" i="8"/>
  <c r="K595" i="8"/>
  <c r="J595" i="8"/>
  <c r="I595" i="8"/>
  <c r="F595" i="8"/>
  <c r="E595" i="8"/>
  <c r="D595" i="8"/>
  <c r="C595" i="8"/>
  <c r="H595" i="8" s="1"/>
  <c r="B595" i="8"/>
  <c r="A595" i="8"/>
  <c r="K594" i="8"/>
  <c r="J594" i="8"/>
  <c r="I594" i="8"/>
  <c r="F594" i="8"/>
  <c r="E594" i="8"/>
  <c r="D594" i="8"/>
  <c r="C594" i="8"/>
  <c r="B594" i="8"/>
  <c r="A594" i="8"/>
  <c r="K593" i="8"/>
  <c r="J593" i="8"/>
  <c r="I593" i="8"/>
  <c r="F593" i="8"/>
  <c r="E593" i="8"/>
  <c r="D593" i="8"/>
  <c r="C593" i="8"/>
  <c r="H593" i="8" s="1"/>
  <c r="B593" i="8"/>
  <c r="A593" i="8"/>
  <c r="K592" i="8"/>
  <c r="J592" i="8"/>
  <c r="I592" i="8"/>
  <c r="F592" i="8"/>
  <c r="E592" i="8"/>
  <c r="D592" i="8"/>
  <c r="C592" i="8"/>
  <c r="B592" i="8"/>
  <c r="A592" i="8"/>
  <c r="K591" i="8"/>
  <c r="J591" i="8"/>
  <c r="I591" i="8"/>
  <c r="F591" i="8"/>
  <c r="E591" i="8"/>
  <c r="D591" i="8"/>
  <c r="C591" i="8"/>
  <c r="H591" i="8" s="1"/>
  <c r="B591" i="8"/>
  <c r="A591" i="8"/>
  <c r="K590" i="8"/>
  <c r="J590" i="8"/>
  <c r="I590" i="8"/>
  <c r="F590" i="8"/>
  <c r="E590" i="8"/>
  <c r="D590" i="8"/>
  <c r="C590" i="8"/>
  <c r="B590" i="8"/>
  <c r="A590" i="8"/>
  <c r="K589" i="8"/>
  <c r="J589" i="8"/>
  <c r="I589" i="8"/>
  <c r="F589" i="8"/>
  <c r="E589" i="8"/>
  <c r="D589" i="8"/>
  <c r="C589" i="8"/>
  <c r="H589" i="8" s="1"/>
  <c r="B589" i="8"/>
  <c r="A589" i="8"/>
  <c r="K588" i="8"/>
  <c r="J588" i="8"/>
  <c r="I588" i="8"/>
  <c r="F588" i="8"/>
  <c r="E588" i="8"/>
  <c r="D588" i="8"/>
  <c r="C588" i="8"/>
  <c r="B588" i="8"/>
  <c r="A588" i="8"/>
  <c r="K587" i="8"/>
  <c r="J587" i="8"/>
  <c r="I587" i="8"/>
  <c r="F587" i="8"/>
  <c r="E587" i="8"/>
  <c r="D587" i="8"/>
  <c r="C587" i="8"/>
  <c r="H587" i="8" s="1"/>
  <c r="B587" i="8"/>
  <c r="A587" i="8"/>
  <c r="K586" i="8"/>
  <c r="J586" i="8"/>
  <c r="I586" i="8"/>
  <c r="F586" i="8"/>
  <c r="E586" i="8"/>
  <c r="D586" i="8"/>
  <c r="C586" i="8"/>
  <c r="B586" i="8"/>
  <c r="A586" i="8"/>
  <c r="K585" i="8"/>
  <c r="J585" i="8"/>
  <c r="I585" i="8"/>
  <c r="F585" i="8"/>
  <c r="E585" i="8"/>
  <c r="D585" i="8"/>
  <c r="C585" i="8"/>
  <c r="H585" i="8" s="1"/>
  <c r="B585" i="8"/>
  <c r="A585" i="8"/>
  <c r="K584" i="8"/>
  <c r="J584" i="8"/>
  <c r="I584" i="8"/>
  <c r="F584" i="8"/>
  <c r="E584" i="8"/>
  <c r="D584" i="8"/>
  <c r="C584" i="8"/>
  <c r="B584" i="8"/>
  <c r="A584" i="8"/>
  <c r="K583" i="8"/>
  <c r="J583" i="8"/>
  <c r="I583" i="8"/>
  <c r="F583" i="8"/>
  <c r="E583" i="8"/>
  <c r="D583" i="8"/>
  <c r="C583" i="8"/>
  <c r="H583" i="8" s="1"/>
  <c r="B583" i="8"/>
  <c r="A583" i="8"/>
  <c r="K582" i="8"/>
  <c r="J582" i="8"/>
  <c r="I582" i="8"/>
  <c r="F582" i="8"/>
  <c r="E582" i="8"/>
  <c r="D582" i="8"/>
  <c r="C582" i="8"/>
  <c r="B582" i="8"/>
  <c r="A582" i="8"/>
  <c r="K581" i="8"/>
  <c r="J581" i="8"/>
  <c r="I581" i="8"/>
  <c r="F581" i="8"/>
  <c r="E581" i="8"/>
  <c r="D581" i="8"/>
  <c r="C581" i="8"/>
  <c r="H581" i="8" s="1"/>
  <c r="B581" i="8"/>
  <c r="A581" i="8"/>
  <c r="K580" i="8"/>
  <c r="J580" i="8"/>
  <c r="I580" i="8"/>
  <c r="F580" i="8"/>
  <c r="E580" i="8"/>
  <c r="D580" i="8"/>
  <c r="C580" i="8"/>
  <c r="B580" i="8"/>
  <c r="A580" i="8"/>
  <c r="K579" i="8"/>
  <c r="J579" i="8"/>
  <c r="I579" i="8"/>
  <c r="F579" i="8"/>
  <c r="E579" i="8"/>
  <c r="D579" i="8"/>
  <c r="C579" i="8"/>
  <c r="H579" i="8" s="1"/>
  <c r="B579" i="8"/>
  <c r="A579" i="8"/>
  <c r="K578" i="8"/>
  <c r="J578" i="8"/>
  <c r="I578" i="8"/>
  <c r="F578" i="8"/>
  <c r="E578" i="8"/>
  <c r="D578" i="8"/>
  <c r="C578" i="8"/>
  <c r="B578" i="8"/>
  <c r="A578" i="8"/>
  <c r="K577" i="8"/>
  <c r="J577" i="8"/>
  <c r="I577" i="8"/>
  <c r="F577" i="8"/>
  <c r="E577" i="8"/>
  <c r="D577" i="8"/>
  <c r="C577" i="8"/>
  <c r="H577" i="8" s="1"/>
  <c r="B577" i="8"/>
  <c r="A577" i="8"/>
  <c r="K576" i="8"/>
  <c r="J576" i="8"/>
  <c r="I576" i="8"/>
  <c r="F576" i="8"/>
  <c r="E576" i="8"/>
  <c r="D576" i="8"/>
  <c r="C576" i="8"/>
  <c r="B576" i="8"/>
  <c r="A576" i="8"/>
  <c r="K575" i="8"/>
  <c r="J575" i="8"/>
  <c r="I575" i="8"/>
  <c r="F575" i="8"/>
  <c r="E575" i="8"/>
  <c r="D575" i="8"/>
  <c r="C575" i="8"/>
  <c r="H575" i="8" s="1"/>
  <c r="B575" i="8"/>
  <c r="A575" i="8"/>
  <c r="K574" i="8"/>
  <c r="J574" i="8"/>
  <c r="I574" i="8"/>
  <c r="F574" i="8"/>
  <c r="E574" i="8"/>
  <c r="D574" i="8"/>
  <c r="C574" i="8"/>
  <c r="B574" i="8"/>
  <c r="A574" i="8"/>
  <c r="K573" i="8"/>
  <c r="J573" i="8"/>
  <c r="I573" i="8"/>
  <c r="F573" i="8"/>
  <c r="E573" i="8"/>
  <c r="D573" i="8"/>
  <c r="C573" i="8"/>
  <c r="H573" i="8" s="1"/>
  <c r="B573" i="8"/>
  <c r="A573" i="8"/>
  <c r="K572" i="8"/>
  <c r="J572" i="8"/>
  <c r="I572" i="8"/>
  <c r="F572" i="8"/>
  <c r="E572" i="8"/>
  <c r="D572" i="8"/>
  <c r="C572" i="8"/>
  <c r="B572" i="8"/>
  <c r="A572" i="8"/>
  <c r="K571" i="8"/>
  <c r="J571" i="8"/>
  <c r="I571" i="8"/>
  <c r="F571" i="8"/>
  <c r="E571" i="8"/>
  <c r="D571" i="8"/>
  <c r="C571" i="8"/>
  <c r="H571" i="8" s="1"/>
  <c r="B571" i="8"/>
  <c r="A571" i="8"/>
  <c r="K570" i="8"/>
  <c r="J570" i="8"/>
  <c r="I570" i="8"/>
  <c r="F570" i="8"/>
  <c r="E570" i="8"/>
  <c r="D570" i="8"/>
  <c r="C570" i="8"/>
  <c r="B570" i="8"/>
  <c r="A570" i="8"/>
  <c r="K569" i="8"/>
  <c r="J569" i="8"/>
  <c r="I569" i="8"/>
  <c r="F569" i="8"/>
  <c r="E569" i="8"/>
  <c r="D569" i="8"/>
  <c r="C569" i="8"/>
  <c r="H569" i="8" s="1"/>
  <c r="B569" i="8"/>
  <c r="A569" i="8"/>
  <c r="K568" i="8"/>
  <c r="J568" i="8"/>
  <c r="I568" i="8"/>
  <c r="F568" i="8"/>
  <c r="E568" i="8"/>
  <c r="D568" i="8"/>
  <c r="C568" i="8"/>
  <c r="B568" i="8"/>
  <c r="A568" i="8"/>
  <c r="K567" i="8"/>
  <c r="J567" i="8"/>
  <c r="I567" i="8"/>
  <c r="F567" i="8"/>
  <c r="E567" i="8"/>
  <c r="D567" i="8"/>
  <c r="C567" i="8"/>
  <c r="H567" i="8" s="1"/>
  <c r="B567" i="8"/>
  <c r="A567" i="8"/>
  <c r="K566" i="8"/>
  <c r="J566" i="8"/>
  <c r="I566" i="8"/>
  <c r="F566" i="8"/>
  <c r="E566" i="8"/>
  <c r="D566" i="8"/>
  <c r="C566" i="8"/>
  <c r="B566" i="8"/>
  <c r="A566" i="8"/>
  <c r="K565" i="8"/>
  <c r="J565" i="8"/>
  <c r="I565" i="8"/>
  <c r="F565" i="8"/>
  <c r="E565" i="8"/>
  <c r="D565" i="8"/>
  <c r="C565" i="8"/>
  <c r="H565" i="8" s="1"/>
  <c r="B565" i="8"/>
  <c r="A565" i="8"/>
  <c r="K564" i="8"/>
  <c r="J564" i="8"/>
  <c r="I564" i="8"/>
  <c r="F564" i="8"/>
  <c r="E564" i="8"/>
  <c r="D564" i="8"/>
  <c r="C564" i="8"/>
  <c r="B564" i="8"/>
  <c r="A564" i="8"/>
  <c r="K563" i="8"/>
  <c r="J563" i="8"/>
  <c r="I563" i="8"/>
  <c r="F563" i="8"/>
  <c r="E563" i="8"/>
  <c r="D563" i="8"/>
  <c r="C563" i="8"/>
  <c r="H563" i="8" s="1"/>
  <c r="B563" i="8"/>
  <c r="A563" i="8"/>
  <c r="K562" i="8"/>
  <c r="J562" i="8"/>
  <c r="I562" i="8"/>
  <c r="F562" i="8"/>
  <c r="E562" i="8"/>
  <c r="D562" i="8"/>
  <c r="C562" i="8"/>
  <c r="B562" i="8"/>
  <c r="A562" i="8"/>
  <c r="K561" i="8"/>
  <c r="J561" i="8"/>
  <c r="I561" i="8"/>
  <c r="F561" i="8"/>
  <c r="E561" i="8"/>
  <c r="D561" i="8"/>
  <c r="C561" i="8"/>
  <c r="H561" i="8" s="1"/>
  <c r="B561" i="8"/>
  <c r="A561" i="8"/>
  <c r="K560" i="8"/>
  <c r="J560" i="8"/>
  <c r="I560" i="8"/>
  <c r="F560" i="8"/>
  <c r="E560" i="8"/>
  <c r="D560" i="8"/>
  <c r="C560" i="8"/>
  <c r="B560" i="8"/>
  <c r="A560" i="8"/>
  <c r="K559" i="8"/>
  <c r="J559" i="8"/>
  <c r="I559" i="8"/>
  <c r="F559" i="8"/>
  <c r="E559" i="8"/>
  <c r="D559" i="8"/>
  <c r="C559" i="8"/>
  <c r="H559" i="8" s="1"/>
  <c r="B559" i="8"/>
  <c r="A559" i="8"/>
  <c r="K558" i="8"/>
  <c r="J558" i="8"/>
  <c r="I558" i="8"/>
  <c r="F558" i="8"/>
  <c r="E558" i="8"/>
  <c r="D558" i="8"/>
  <c r="C558" i="8"/>
  <c r="B558" i="8"/>
  <c r="A558" i="8"/>
  <c r="K557" i="8"/>
  <c r="J557" i="8"/>
  <c r="I557" i="8"/>
  <c r="F557" i="8"/>
  <c r="E557" i="8"/>
  <c r="D557" i="8"/>
  <c r="C557" i="8"/>
  <c r="H557" i="8" s="1"/>
  <c r="B557" i="8"/>
  <c r="A557" i="8"/>
  <c r="K556" i="8"/>
  <c r="J556" i="8"/>
  <c r="I556" i="8"/>
  <c r="F556" i="8"/>
  <c r="E556" i="8"/>
  <c r="D556" i="8"/>
  <c r="C556" i="8"/>
  <c r="B556" i="8"/>
  <c r="A556" i="8"/>
  <c r="K555" i="8"/>
  <c r="J555" i="8"/>
  <c r="I555" i="8"/>
  <c r="F555" i="8"/>
  <c r="E555" i="8"/>
  <c r="D555" i="8"/>
  <c r="C555" i="8"/>
  <c r="H555" i="8" s="1"/>
  <c r="B555" i="8"/>
  <c r="A555" i="8"/>
  <c r="K554" i="8"/>
  <c r="J554" i="8"/>
  <c r="I554" i="8"/>
  <c r="F554" i="8"/>
  <c r="E554" i="8"/>
  <c r="D554" i="8"/>
  <c r="C554" i="8"/>
  <c r="B554" i="8"/>
  <c r="A554" i="8"/>
  <c r="K553" i="8"/>
  <c r="J553" i="8"/>
  <c r="I553" i="8"/>
  <c r="F553" i="8"/>
  <c r="E553" i="8"/>
  <c r="D553" i="8"/>
  <c r="C553" i="8"/>
  <c r="H553" i="8" s="1"/>
  <c r="B553" i="8"/>
  <c r="A553" i="8"/>
  <c r="K552" i="8"/>
  <c r="J552" i="8"/>
  <c r="I552" i="8"/>
  <c r="F552" i="8"/>
  <c r="E552" i="8"/>
  <c r="D552" i="8"/>
  <c r="C552" i="8"/>
  <c r="B552" i="8"/>
  <c r="A552" i="8"/>
  <c r="K551" i="8"/>
  <c r="J551" i="8"/>
  <c r="I551" i="8"/>
  <c r="F551" i="8"/>
  <c r="E551" i="8"/>
  <c r="D551" i="8"/>
  <c r="C551" i="8"/>
  <c r="H551" i="8" s="1"/>
  <c r="B551" i="8"/>
  <c r="A551" i="8"/>
  <c r="K550" i="8"/>
  <c r="J550" i="8"/>
  <c r="I550" i="8"/>
  <c r="F550" i="8"/>
  <c r="E550" i="8"/>
  <c r="D550" i="8"/>
  <c r="C550" i="8"/>
  <c r="B550" i="8"/>
  <c r="A550" i="8"/>
  <c r="K549" i="8"/>
  <c r="J549" i="8"/>
  <c r="I549" i="8"/>
  <c r="F549" i="8"/>
  <c r="E549" i="8"/>
  <c r="D549" i="8"/>
  <c r="C549" i="8"/>
  <c r="H549" i="8" s="1"/>
  <c r="B549" i="8"/>
  <c r="A549" i="8"/>
  <c r="K548" i="8"/>
  <c r="J548" i="8"/>
  <c r="I548" i="8"/>
  <c r="F548" i="8"/>
  <c r="E548" i="8"/>
  <c r="D548" i="8"/>
  <c r="C548" i="8"/>
  <c r="B548" i="8"/>
  <c r="A548" i="8"/>
  <c r="K547" i="8"/>
  <c r="J547" i="8"/>
  <c r="I547" i="8"/>
  <c r="F547" i="8"/>
  <c r="E547" i="8"/>
  <c r="D547" i="8"/>
  <c r="C547" i="8"/>
  <c r="H547" i="8" s="1"/>
  <c r="B547" i="8"/>
  <c r="A547" i="8"/>
  <c r="K546" i="8"/>
  <c r="J546" i="8"/>
  <c r="I546" i="8"/>
  <c r="F546" i="8"/>
  <c r="E546" i="8"/>
  <c r="D546" i="8"/>
  <c r="C546" i="8"/>
  <c r="B546" i="8"/>
  <c r="A546" i="8"/>
  <c r="K545" i="8"/>
  <c r="J545" i="8"/>
  <c r="I545" i="8"/>
  <c r="F545" i="8"/>
  <c r="E545" i="8"/>
  <c r="D545" i="8"/>
  <c r="C545" i="8"/>
  <c r="H545" i="8" s="1"/>
  <c r="B545" i="8"/>
  <c r="A545" i="8"/>
  <c r="K544" i="8"/>
  <c r="J544" i="8"/>
  <c r="I544" i="8"/>
  <c r="F544" i="8"/>
  <c r="E544" i="8"/>
  <c r="D544" i="8"/>
  <c r="C544" i="8"/>
  <c r="B544" i="8"/>
  <c r="A544" i="8"/>
  <c r="K543" i="8"/>
  <c r="J543" i="8"/>
  <c r="I543" i="8"/>
  <c r="F543" i="8"/>
  <c r="E543" i="8"/>
  <c r="D543" i="8"/>
  <c r="C543" i="8"/>
  <c r="H543" i="8" s="1"/>
  <c r="B543" i="8"/>
  <c r="A543" i="8"/>
  <c r="K542" i="8"/>
  <c r="J542" i="8"/>
  <c r="I542" i="8"/>
  <c r="F542" i="8"/>
  <c r="E542" i="8"/>
  <c r="D542" i="8"/>
  <c r="C542" i="8"/>
  <c r="B542" i="8"/>
  <c r="A542" i="8"/>
  <c r="K541" i="8"/>
  <c r="J541" i="8"/>
  <c r="I541" i="8"/>
  <c r="F541" i="8"/>
  <c r="E541" i="8"/>
  <c r="D541" i="8"/>
  <c r="C541" i="8"/>
  <c r="H541" i="8" s="1"/>
  <c r="B541" i="8"/>
  <c r="A541" i="8"/>
  <c r="K540" i="8"/>
  <c r="J540" i="8"/>
  <c r="I540" i="8"/>
  <c r="F540" i="8"/>
  <c r="E540" i="8"/>
  <c r="D540" i="8"/>
  <c r="C540" i="8"/>
  <c r="B540" i="8"/>
  <c r="A540" i="8"/>
  <c r="K539" i="8"/>
  <c r="J539" i="8"/>
  <c r="I539" i="8"/>
  <c r="F539" i="8"/>
  <c r="E539" i="8"/>
  <c r="D539" i="8"/>
  <c r="C539" i="8"/>
  <c r="H539" i="8" s="1"/>
  <c r="B539" i="8"/>
  <c r="A539" i="8"/>
  <c r="K538" i="8"/>
  <c r="J538" i="8"/>
  <c r="I538" i="8"/>
  <c r="F538" i="8"/>
  <c r="E538" i="8"/>
  <c r="D538" i="8"/>
  <c r="C538" i="8"/>
  <c r="B538" i="8"/>
  <c r="A538" i="8"/>
  <c r="K537" i="8"/>
  <c r="J537" i="8"/>
  <c r="I537" i="8"/>
  <c r="F537" i="8"/>
  <c r="E537" i="8"/>
  <c r="D537" i="8"/>
  <c r="C537" i="8"/>
  <c r="H537" i="8" s="1"/>
  <c r="B537" i="8"/>
  <c r="A537" i="8"/>
  <c r="K536" i="8"/>
  <c r="J536" i="8"/>
  <c r="I536" i="8"/>
  <c r="F536" i="8"/>
  <c r="E536" i="8"/>
  <c r="D536" i="8"/>
  <c r="C536" i="8"/>
  <c r="B536" i="8"/>
  <c r="A536" i="8"/>
  <c r="K535" i="8"/>
  <c r="J535" i="8"/>
  <c r="I535" i="8"/>
  <c r="F535" i="8"/>
  <c r="E535" i="8"/>
  <c r="D535" i="8"/>
  <c r="C535" i="8"/>
  <c r="H535" i="8" s="1"/>
  <c r="B535" i="8"/>
  <c r="A535" i="8"/>
  <c r="K534" i="8"/>
  <c r="J534" i="8"/>
  <c r="I534" i="8"/>
  <c r="F534" i="8"/>
  <c r="E534" i="8"/>
  <c r="D534" i="8"/>
  <c r="C534" i="8"/>
  <c r="B534" i="8"/>
  <c r="A534" i="8"/>
  <c r="K533" i="8"/>
  <c r="J533" i="8"/>
  <c r="I533" i="8"/>
  <c r="F533" i="8"/>
  <c r="E533" i="8"/>
  <c r="D533" i="8"/>
  <c r="C533" i="8"/>
  <c r="H533" i="8" s="1"/>
  <c r="B533" i="8"/>
  <c r="A533" i="8"/>
  <c r="K532" i="8"/>
  <c r="J532" i="8"/>
  <c r="I532" i="8"/>
  <c r="F532" i="8"/>
  <c r="E532" i="8"/>
  <c r="D532" i="8"/>
  <c r="C532" i="8"/>
  <c r="B532" i="8"/>
  <c r="A532" i="8"/>
  <c r="K531" i="8"/>
  <c r="J531" i="8"/>
  <c r="I531" i="8"/>
  <c r="F531" i="8"/>
  <c r="E531" i="8"/>
  <c r="D531" i="8"/>
  <c r="C531" i="8"/>
  <c r="H531" i="8" s="1"/>
  <c r="B531" i="8"/>
  <c r="A531" i="8"/>
  <c r="K530" i="8"/>
  <c r="J530" i="8"/>
  <c r="I530" i="8"/>
  <c r="F530" i="8"/>
  <c r="E530" i="8"/>
  <c r="D530" i="8"/>
  <c r="C530" i="8"/>
  <c r="B530" i="8"/>
  <c r="A530" i="8"/>
  <c r="K529" i="8"/>
  <c r="J529" i="8"/>
  <c r="I529" i="8"/>
  <c r="F529" i="8"/>
  <c r="E529" i="8"/>
  <c r="D529" i="8"/>
  <c r="C529" i="8"/>
  <c r="H529" i="8" s="1"/>
  <c r="B529" i="8"/>
  <c r="A529" i="8"/>
  <c r="K528" i="8"/>
  <c r="J528" i="8"/>
  <c r="I528" i="8"/>
  <c r="F528" i="8"/>
  <c r="E528" i="8"/>
  <c r="D528" i="8"/>
  <c r="C528" i="8"/>
  <c r="B528" i="8"/>
  <c r="A528" i="8"/>
  <c r="K527" i="8"/>
  <c r="J527" i="8"/>
  <c r="I527" i="8"/>
  <c r="F527" i="8"/>
  <c r="E527" i="8"/>
  <c r="D527" i="8"/>
  <c r="C527" i="8"/>
  <c r="H527" i="8" s="1"/>
  <c r="B527" i="8"/>
  <c r="A527" i="8"/>
  <c r="K526" i="8"/>
  <c r="J526" i="8"/>
  <c r="I526" i="8"/>
  <c r="F526" i="8"/>
  <c r="E526" i="8"/>
  <c r="D526" i="8"/>
  <c r="C526" i="8"/>
  <c r="B526" i="8"/>
  <c r="A526" i="8"/>
  <c r="K525" i="8"/>
  <c r="J525" i="8"/>
  <c r="I525" i="8"/>
  <c r="F525" i="8"/>
  <c r="E525" i="8"/>
  <c r="D525" i="8"/>
  <c r="C525" i="8"/>
  <c r="H525" i="8" s="1"/>
  <c r="B525" i="8"/>
  <c r="A525" i="8"/>
  <c r="K524" i="8"/>
  <c r="J524" i="8"/>
  <c r="I524" i="8"/>
  <c r="F524" i="8"/>
  <c r="E524" i="8"/>
  <c r="D524" i="8"/>
  <c r="C524" i="8"/>
  <c r="B524" i="8"/>
  <c r="A524" i="8"/>
  <c r="K523" i="8"/>
  <c r="J523" i="8"/>
  <c r="I523" i="8"/>
  <c r="F523" i="8"/>
  <c r="E523" i="8"/>
  <c r="D523" i="8"/>
  <c r="C523" i="8"/>
  <c r="H523" i="8" s="1"/>
  <c r="B523" i="8"/>
  <c r="A523" i="8"/>
  <c r="K522" i="8"/>
  <c r="J522" i="8"/>
  <c r="I522" i="8"/>
  <c r="F522" i="8"/>
  <c r="E522" i="8"/>
  <c r="D522" i="8"/>
  <c r="C522" i="8"/>
  <c r="B522" i="8"/>
  <c r="A522" i="8"/>
  <c r="K521" i="8"/>
  <c r="J521" i="8"/>
  <c r="I521" i="8"/>
  <c r="F521" i="8"/>
  <c r="E521" i="8"/>
  <c r="D521" i="8"/>
  <c r="C521" i="8"/>
  <c r="H521" i="8" s="1"/>
  <c r="B521" i="8"/>
  <c r="A521" i="8"/>
  <c r="K520" i="8"/>
  <c r="J520" i="8"/>
  <c r="I520" i="8"/>
  <c r="F520" i="8"/>
  <c r="E520" i="8"/>
  <c r="D520" i="8"/>
  <c r="C520" i="8"/>
  <c r="B520" i="8"/>
  <c r="A520" i="8"/>
  <c r="K519" i="8"/>
  <c r="J519" i="8"/>
  <c r="I519" i="8"/>
  <c r="F519" i="8"/>
  <c r="E519" i="8"/>
  <c r="D519" i="8"/>
  <c r="C519" i="8"/>
  <c r="H519" i="8" s="1"/>
  <c r="B519" i="8"/>
  <c r="A519" i="8"/>
  <c r="K518" i="8"/>
  <c r="J518" i="8"/>
  <c r="I518" i="8"/>
  <c r="F518" i="8"/>
  <c r="E518" i="8"/>
  <c r="D518" i="8"/>
  <c r="C518" i="8"/>
  <c r="B518" i="8"/>
  <c r="A518" i="8"/>
  <c r="K517" i="8"/>
  <c r="J517" i="8"/>
  <c r="I517" i="8"/>
  <c r="F517" i="8"/>
  <c r="E517" i="8"/>
  <c r="D517" i="8"/>
  <c r="C517" i="8"/>
  <c r="H517" i="8" s="1"/>
  <c r="B517" i="8"/>
  <c r="A517" i="8"/>
  <c r="K516" i="8"/>
  <c r="J516" i="8"/>
  <c r="I516" i="8"/>
  <c r="F516" i="8"/>
  <c r="E516" i="8"/>
  <c r="D516" i="8"/>
  <c r="C516" i="8"/>
  <c r="B516" i="8"/>
  <c r="A516" i="8"/>
  <c r="K515" i="8"/>
  <c r="J515" i="8"/>
  <c r="I515" i="8"/>
  <c r="F515" i="8"/>
  <c r="E515" i="8"/>
  <c r="D515" i="8"/>
  <c r="C515" i="8"/>
  <c r="H515" i="8" s="1"/>
  <c r="B515" i="8"/>
  <c r="A515" i="8"/>
  <c r="K514" i="8"/>
  <c r="J514" i="8"/>
  <c r="I514" i="8"/>
  <c r="F514" i="8"/>
  <c r="E514" i="8"/>
  <c r="D514" i="8"/>
  <c r="C514" i="8"/>
  <c r="B514" i="8"/>
  <c r="A514" i="8"/>
  <c r="K513" i="8"/>
  <c r="J513" i="8"/>
  <c r="I513" i="8"/>
  <c r="F513" i="8"/>
  <c r="E513" i="8"/>
  <c r="D513" i="8"/>
  <c r="C513" i="8"/>
  <c r="H513" i="8" s="1"/>
  <c r="B513" i="8"/>
  <c r="A513" i="8"/>
  <c r="K512" i="8"/>
  <c r="J512" i="8"/>
  <c r="I512" i="8"/>
  <c r="F512" i="8"/>
  <c r="E512" i="8"/>
  <c r="D512" i="8"/>
  <c r="C512" i="8"/>
  <c r="B512" i="8"/>
  <c r="A512" i="8"/>
  <c r="K511" i="8"/>
  <c r="J511" i="8"/>
  <c r="I511" i="8"/>
  <c r="F511" i="8"/>
  <c r="E511" i="8"/>
  <c r="D511" i="8"/>
  <c r="C511" i="8"/>
  <c r="H511" i="8" s="1"/>
  <c r="B511" i="8"/>
  <c r="A511" i="8"/>
  <c r="K510" i="8"/>
  <c r="J510" i="8"/>
  <c r="I510" i="8"/>
  <c r="F510" i="8"/>
  <c r="E510" i="8"/>
  <c r="D510" i="8"/>
  <c r="C510" i="8"/>
  <c r="B510" i="8"/>
  <c r="A510" i="8"/>
  <c r="K509" i="8"/>
  <c r="J509" i="8"/>
  <c r="I509" i="8"/>
  <c r="F509" i="8"/>
  <c r="E509" i="8"/>
  <c r="D509" i="8"/>
  <c r="C509" i="8"/>
  <c r="H509" i="8" s="1"/>
  <c r="B509" i="8"/>
  <c r="A509" i="8"/>
  <c r="K508" i="8"/>
  <c r="J508" i="8"/>
  <c r="I508" i="8"/>
  <c r="F508" i="8"/>
  <c r="E508" i="8"/>
  <c r="D508" i="8"/>
  <c r="C508" i="8"/>
  <c r="B508" i="8"/>
  <c r="A508" i="8"/>
  <c r="K507" i="8"/>
  <c r="J507" i="8"/>
  <c r="I507" i="8"/>
  <c r="F507" i="8"/>
  <c r="E507" i="8"/>
  <c r="D507" i="8"/>
  <c r="C507" i="8"/>
  <c r="H507" i="8" s="1"/>
  <c r="B507" i="8"/>
  <c r="A507" i="8"/>
  <c r="K506" i="8"/>
  <c r="J506" i="8"/>
  <c r="I506" i="8"/>
  <c r="F506" i="8"/>
  <c r="E506" i="8"/>
  <c r="D506" i="8"/>
  <c r="C506" i="8"/>
  <c r="B506" i="8"/>
  <c r="A506" i="8"/>
  <c r="K505" i="8"/>
  <c r="J505" i="8"/>
  <c r="I505" i="8"/>
  <c r="F505" i="8"/>
  <c r="E505" i="8"/>
  <c r="D505" i="8"/>
  <c r="C505" i="8"/>
  <c r="H505" i="8" s="1"/>
  <c r="B505" i="8"/>
  <c r="A505" i="8"/>
  <c r="K504" i="8"/>
  <c r="J504" i="8"/>
  <c r="I504" i="8"/>
  <c r="F504" i="8"/>
  <c r="E504" i="8"/>
  <c r="D504" i="8"/>
  <c r="C504" i="8"/>
  <c r="B504" i="8"/>
  <c r="A504" i="8"/>
  <c r="K503" i="8"/>
  <c r="J503" i="8"/>
  <c r="I503" i="8"/>
  <c r="F503" i="8"/>
  <c r="E503" i="8"/>
  <c r="D503" i="8"/>
  <c r="C503" i="8"/>
  <c r="H503" i="8" s="1"/>
  <c r="B503" i="8"/>
  <c r="A503" i="8"/>
  <c r="K502" i="8"/>
  <c r="J502" i="8"/>
  <c r="I502" i="8"/>
  <c r="F502" i="8"/>
  <c r="E502" i="8"/>
  <c r="D502" i="8"/>
  <c r="C502" i="8"/>
  <c r="B502" i="8"/>
  <c r="A502" i="8"/>
  <c r="K501" i="8"/>
  <c r="J501" i="8"/>
  <c r="I501" i="8"/>
  <c r="F501" i="8"/>
  <c r="E501" i="8"/>
  <c r="D501" i="8"/>
  <c r="C501" i="8"/>
  <c r="H501" i="8" s="1"/>
  <c r="B501" i="8"/>
  <c r="A501" i="8"/>
  <c r="K500" i="8"/>
  <c r="J500" i="8"/>
  <c r="I500" i="8"/>
  <c r="F500" i="8"/>
  <c r="E500" i="8"/>
  <c r="D500" i="8"/>
  <c r="C500" i="8"/>
  <c r="B500" i="8"/>
  <c r="A500" i="8"/>
  <c r="K499" i="8"/>
  <c r="J499" i="8"/>
  <c r="I499" i="8"/>
  <c r="F499" i="8"/>
  <c r="E499" i="8"/>
  <c r="D499" i="8"/>
  <c r="C499" i="8"/>
  <c r="H499" i="8" s="1"/>
  <c r="B499" i="8"/>
  <c r="A499" i="8"/>
  <c r="K498" i="8"/>
  <c r="J498" i="8"/>
  <c r="I498" i="8"/>
  <c r="F498" i="8"/>
  <c r="E498" i="8"/>
  <c r="D498" i="8"/>
  <c r="C498" i="8"/>
  <c r="B498" i="8"/>
  <c r="A498" i="8"/>
  <c r="K497" i="8"/>
  <c r="J497" i="8"/>
  <c r="I497" i="8"/>
  <c r="F497" i="8"/>
  <c r="E497" i="8"/>
  <c r="D497" i="8"/>
  <c r="C497" i="8"/>
  <c r="H497" i="8" s="1"/>
  <c r="B497" i="8"/>
  <c r="A497" i="8"/>
  <c r="K496" i="8"/>
  <c r="J496" i="8"/>
  <c r="I496" i="8"/>
  <c r="F496" i="8"/>
  <c r="E496" i="8"/>
  <c r="D496" i="8"/>
  <c r="C496" i="8"/>
  <c r="B496" i="8"/>
  <c r="A496" i="8"/>
  <c r="K495" i="8"/>
  <c r="J495" i="8"/>
  <c r="I495" i="8"/>
  <c r="F495" i="8"/>
  <c r="E495" i="8"/>
  <c r="D495" i="8"/>
  <c r="C495" i="8"/>
  <c r="H495" i="8" s="1"/>
  <c r="B495" i="8"/>
  <c r="A495" i="8"/>
  <c r="K494" i="8"/>
  <c r="J494" i="8"/>
  <c r="I494" i="8"/>
  <c r="F494" i="8"/>
  <c r="E494" i="8"/>
  <c r="D494" i="8"/>
  <c r="C494" i="8"/>
  <c r="B494" i="8"/>
  <c r="A494" i="8"/>
  <c r="K493" i="8"/>
  <c r="J493" i="8"/>
  <c r="I493" i="8"/>
  <c r="F493" i="8"/>
  <c r="E493" i="8"/>
  <c r="D493" i="8"/>
  <c r="C493" i="8"/>
  <c r="H493" i="8" s="1"/>
  <c r="B493" i="8"/>
  <c r="A493" i="8"/>
  <c r="K492" i="8"/>
  <c r="J492" i="8"/>
  <c r="I492" i="8"/>
  <c r="F492" i="8"/>
  <c r="E492" i="8"/>
  <c r="D492" i="8"/>
  <c r="C492" i="8"/>
  <c r="B492" i="8"/>
  <c r="A492" i="8"/>
  <c r="K491" i="8"/>
  <c r="J491" i="8"/>
  <c r="I491" i="8"/>
  <c r="F491" i="8"/>
  <c r="E491" i="8"/>
  <c r="D491" i="8"/>
  <c r="C491" i="8"/>
  <c r="H491" i="8" s="1"/>
  <c r="B491" i="8"/>
  <c r="A491" i="8"/>
  <c r="K490" i="8"/>
  <c r="J490" i="8"/>
  <c r="I490" i="8"/>
  <c r="F490" i="8"/>
  <c r="E490" i="8"/>
  <c r="D490" i="8"/>
  <c r="C490" i="8"/>
  <c r="B490" i="8"/>
  <c r="A490" i="8"/>
  <c r="K489" i="8"/>
  <c r="J489" i="8"/>
  <c r="I489" i="8"/>
  <c r="F489" i="8"/>
  <c r="E489" i="8"/>
  <c r="D489" i="8"/>
  <c r="C489" i="8"/>
  <c r="H489" i="8" s="1"/>
  <c r="B489" i="8"/>
  <c r="A489" i="8"/>
  <c r="K488" i="8"/>
  <c r="J488" i="8"/>
  <c r="I488" i="8"/>
  <c r="F488" i="8"/>
  <c r="E488" i="8"/>
  <c r="D488" i="8"/>
  <c r="C488" i="8"/>
  <c r="B488" i="8"/>
  <c r="A488" i="8"/>
  <c r="K487" i="8"/>
  <c r="J487" i="8"/>
  <c r="I487" i="8"/>
  <c r="F487" i="8"/>
  <c r="E487" i="8"/>
  <c r="D487" i="8"/>
  <c r="C487" i="8"/>
  <c r="H487" i="8" s="1"/>
  <c r="B487" i="8"/>
  <c r="A487" i="8"/>
  <c r="K486" i="8"/>
  <c r="J486" i="8"/>
  <c r="I486" i="8"/>
  <c r="F486" i="8"/>
  <c r="E486" i="8"/>
  <c r="D486" i="8"/>
  <c r="C486" i="8"/>
  <c r="B486" i="8"/>
  <c r="A486" i="8"/>
  <c r="K485" i="8"/>
  <c r="J485" i="8"/>
  <c r="I485" i="8"/>
  <c r="F485" i="8"/>
  <c r="E485" i="8"/>
  <c r="D485" i="8"/>
  <c r="C485" i="8"/>
  <c r="H485" i="8" s="1"/>
  <c r="B485" i="8"/>
  <c r="A485" i="8"/>
  <c r="K484" i="8"/>
  <c r="J484" i="8"/>
  <c r="I484" i="8"/>
  <c r="F484" i="8"/>
  <c r="E484" i="8"/>
  <c r="D484" i="8"/>
  <c r="C484" i="8"/>
  <c r="B484" i="8"/>
  <c r="A484" i="8"/>
  <c r="K483" i="8"/>
  <c r="J483" i="8"/>
  <c r="I483" i="8"/>
  <c r="F483" i="8"/>
  <c r="E483" i="8"/>
  <c r="D483" i="8"/>
  <c r="C483" i="8"/>
  <c r="H483" i="8" s="1"/>
  <c r="B483" i="8"/>
  <c r="A483" i="8"/>
  <c r="K482" i="8"/>
  <c r="J482" i="8"/>
  <c r="I482" i="8"/>
  <c r="F482" i="8"/>
  <c r="E482" i="8"/>
  <c r="D482" i="8"/>
  <c r="C482" i="8"/>
  <c r="B482" i="8"/>
  <c r="A482" i="8"/>
  <c r="K481" i="8"/>
  <c r="J481" i="8"/>
  <c r="I481" i="8"/>
  <c r="F481" i="8"/>
  <c r="E481" i="8"/>
  <c r="D481" i="8"/>
  <c r="C481" i="8"/>
  <c r="H481" i="8" s="1"/>
  <c r="B481" i="8"/>
  <c r="A481" i="8"/>
  <c r="K480" i="8"/>
  <c r="J480" i="8"/>
  <c r="I480" i="8"/>
  <c r="F480" i="8"/>
  <c r="E480" i="8"/>
  <c r="D480" i="8"/>
  <c r="C480" i="8"/>
  <c r="B480" i="8"/>
  <c r="A480" i="8"/>
  <c r="K479" i="8"/>
  <c r="J479" i="8"/>
  <c r="I479" i="8"/>
  <c r="F479" i="8"/>
  <c r="E479" i="8"/>
  <c r="D479" i="8"/>
  <c r="C479" i="8"/>
  <c r="H479" i="8" s="1"/>
  <c r="B479" i="8"/>
  <c r="A479" i="8"/>
  <c r="K478" i="8"/>
  <c r="J478" i="8"/>
  <c r="I478" i="8"/>
  <c r="F478" i="8"/>
  <c r="E478" i="8"/>
  <c r="D478" i="8"/>
  <c r="C478" i="8"/>
  <c r="B478" i="8"/>
  <c r="A478" i="8"/>
  <c r="K477" i="8"/>
  <c r="J477" i="8"/>
  <c r="I477" i="8"/>
  <c r="F477" i="8"/>
  <c r="E477" i="8"/>
  <c r="D477" i="8"/>
  <c r="C477" i="8"/>
  <c r="H477" i="8" s="1"/>
  <c r="B477" i="8"/>
  <c r="A477" i="8"/>
  <c r="K476" i="8"/>
  <c r="J476" i="8"/>
  <c r="I476" i="8"/>
  <c r="F476" i="8"/>
  <c r="E476" i="8"/>
  <c r="D476" i="8"/>
  <c r="C476" i="8"/>
  <c r="B476" i="8"/>
  <c r="A476" i="8"/>
  <c r="K475" i="8"/>
  <c r="J475" i="8"/>
  <c r="I475" i="8"/>
  <c r="F475" i="8"/>
  <c r="E475" i="8"/>
  <c r="D475" i="8"/>
  <c r="C475" i="8"/>
  <c r="H475" i="8" s="1"/>
  <c r="B475" i="8"/>
  <c r="A475" i="8"/>
  <c r="K474" i="8"/>
  <c r="J474" i="8"/>
  <c r="I474" i="8"/>
  <c r="F474" i="8"/>
  <c r="E474" i="8"/>
  <c r="D474" i="8"/>
  <c r="C474" i="8"/>
  <c r="B474" i="8"/>
  <c r="A474" i="8"/>
  <c r="K473" i="8"/>
  <c r="J473" i="8"/>
  <c r="I473" i="8"/>
  <c r="F473" i="8"/>
  <c r="E473" i="8"/>
  <c r="D473" i="8"/>
  <c r="C473" i="8"/>
  <c r="H473" i="8" s="1"/>
  <c r="B473" i="8"/>
  <c r="A473" i="8"/>
  <c r="K472" i="8"/>
  <c r="J472" i="8"/>
  <c r="I472" i="8"/>
  <c r="F472" i="8"/>
  <c r="E472" i="8"/>
  <c r="D472" i="8"/>
  <c r="C472" i="8"/>
  <c r="B472" i="8"/>
  <c r="A472" i="8"/>
  <c r="K471" i="8"/>
  <c r="J471" i="8"/>
  <c r="I471" i="8"/>
  <c r="F471" i="8"/>
  <c r="E471" i="8"/>
  <c r="D471" i="8"/>
  <c r="C471" i="8"/>
  <c r="H471" i="8" s="1"/>
  <c r="B471" i="8"/>
  <c r="A471" i="8"/>
  <c r="K470" i="8"/>
  <c r="J470" i="8"/>
  <c r="I470" i="8"/>
  <c r="F470" i="8"/>
  <c r="E470" i="8"/>
  <c r="D470" i="8"/>
  <c r="C470" i="8"/>
  <c r="B470" i="8"/>
  <c r="A470" i="8"/>
  <c r="K469" i="8"/>
  <c r="J469" i="8"/>
  <c r="I469" i="8"/>
  <c r="F469" i="8"/>
  <c r="E469" i="8"/>
  <c r="D469" i="8"/>
  <c r="C469" i="8"/>
  <c r="H469" i="8" s="1"/>
  <c r="B469" i="8"/>
  <c r="A469" i="8"/>
  <c r="K468" i="8"/>
  <c r="J468" i="8"/>
  <c r="I468" i="8"/>
  <c r="F468" i="8"/>
  <c r="E468" i="8"/>
  <c r="D468" i="8"/>
  <c r="C468" i="8"/>
  <c r="B468" i="8"/>
  <c r="A468" i="8"/>
  <c r="K467" i="8"/>
  <c r="J467" i="8"/>
  <c r="I467" i="8"/>
  <c r="F467" i="8"/>
  <c r="E467" i="8"/>
  <c r="D467" i="8"/>
  <c r="C467" i="8"/>
  <c r="H467" i="8" s="1"/>
  <c r="B467" i="8"/>
  <c r="A467" i="8"/>
  <c r="K466" i="8"/>
  <c r="J466" i="8"/>
  <c r="I466" i="8"/>
  <c r="F466" i="8"/>
  <c r="E466" i="8"/>
  <c r="D466" i="8"/>
  <c r="C466" i="8"/>
  <c r="B466" i="8"/>
  <c r="A466" i="8"/>
  <c r="K465" i="8"/>
  <c r="J465" i="8"/>
  <c r="I465" i="8"/>
  <c r="F465" i="8"/>
  <c r="E465" i="8"/>
  <c r="D465" i="8"/>
  <c r="C465" i="8"/>
  <c r="H465" i="8" s="1"/>
  <c r="B465" i="8"/>
  <c r="A465" i="8"/>
  <c r="K464" i="8"/>
  <c r="J464" i="8"/>
  <c r="I464" i="8"/>
  <c r="F464" i="8"/>
  <c r="E464" i="8"/>
  <c r="D464" i="8"/>
  <c r="C464" i="8"/>
  <c r="B464" i="8"/>
  <c r="A464" i="8"/>
  <c r="K463" i="8"/>
  <c r="J463" i="8"/>
  <c r="I463" i="8"/>
  <c r="F463" i="8"/>
  <c r="E463" i="8"/>
  <c r="D463" i="8"/>
  <c r="C463" i="8"/>
  <c r="H463" i="8" s="1"/>
  <c r="B463" i="8"/>
  <c r="A463" i="8"/>
  <c r="K462" i="8"/>
  <c r="J462" i="8"/>
  <c r="I462" i="8"/>
  <c r="F462" i="8"/>
  <c r="E462" i="8"/>
  <c r="D462" i="8"/>
  <c r="C462" i="8"/>
  <c r="B462" i="8"/>
  <c r="A462" i="8"/>
  <c r="K461" i="8"/>
  <c r="J461" i="8"/>
  <c r="I461" i="8"/>
  <c r="F461" i="8"/>
  <c r="E461" i="8"/>
  <c r="D461" i="8"/>
  <c r="C461" i="8"/>
  <c r="H461" i="8" s="1"/>
  <c r="B461" i="8"/>
  <c r="A461" i="8"/>
  <c r="K460" i="8"/>
  <c r="J460" i="8"/>
  <c r="I460" i="8"/>
  <c r="F460" i="8"/>
  <c r="E460" i="8"/>
  <c r="D460" i="8"/>
  <c r="C460" i="8"/>
  <c r="B460" i="8"/>
  <c r="A460" i="8"/>
  <c r="K459" i="8"/>
  <c r="J459" i="8"/>
  <c r="I459" i="8"/>
  <c r="F459" i="8"/>
  <c r="E459" i="8"/>
  <c r="D459" i="8"/>
  <c r="C459" i="8"/>
  <c r="H459" i="8" s="1"/>
  <c r="B459" i="8"/>
  <c r="A459" i="8"/>
  <c r="K458" i="8"/>
  <c r="J458" i="8"/>
  <c r="I458" i="8"/>
  <c r="F458" i="8"/>
  <c r="E458" i="8"/>
  <c r="D458" i="8"/>
  <c r="C458" i="8"/>
  <c r="B458" i="8"/>
  <c r="A458" i="8"/>
  <c r="K457" i="8"/>
  <c r="J457" i="8"/>
  <c r="I457" i="8"/>
  <c r="F457" i="8"/>
  <c r="E457" i="8"/>
  <c r="D457" i="8"/>
  <c r="C457" i="8"/>
  <c r="H457" i="8" s="1"/>
  <c r="B457" i="8"/>
  <c r="A457" i="8"/>
  <c r="K456" i="8"/>
  <c r="J456" i="8"/>
  <c r="I456" i="8"/>
  <c r="F456" i="8"/>
  <c r="E456" i="8"/>
  <c r="D456" i="8"/>
  <c r="C456" i="8"/>
  <c r="B456" i="8"/>
  <c r="A456" i="8"/>
  <c r="K455" i="8"/>
  <c r="J455" i="8"/>
  <c r="I455" i="8"/>
  <c r="F455" i="8"/>
  <c r="E455" i="8"/>
  <c r="D455" i="8"/>
  <c r="C455" i="8"/>
  <c r="H455" i="8" s="1"/>
  <c r="B455" i="8"/>
  <c r="A455" i="8"/>
  <c r="K454" i="8"/>
  <c r="J454" i="8"/>
  <c r="I454" i="8"/>
  <c r="F454" i="8"/>
  <c r="E454" i="8"/>
  <c r="D454" i="8"/>
  <c r="C454" i="8"/>
  <c r="B454" i="8"/>
  <c r="A454" i="8"/>
  <c r="K453" i="8"/>
  <c r="J453" i="8"/>
  <c r="I453" i="8"/>
  <c r="F453" i="8"/>
  <c r="E453" i="8"/>
  <c r="D453" i="8"/>
  <c r="C453" i="8"/>
  <c r="H453" i="8" s="1"/>
  <c r="B453" i="8"/>
  <c r="A453" i="8"/>
  <c r="K452" i="8"/>
  <c r="J452" i="8"/>
  <c r="I452" i="8"/>
  <c r="F452" i="8"/>
  <c r="E452" i="8"/>
  <c r="D452" i="8"/>
  <c r="C452" i="8"/>
  <c r="B452" i="8"/>
  <c r="A452" i="8"/>
  <c r="K451" i="8"/>
  <c r="J451" i="8"/>
  <c r="I451" i="8"/>
  <c r="F451" i="8"/>
  <c r="E451" i="8"/>
  <c r="D451" i="8"/>
  <c r="C451" i="8"/>
  <c r="H451" i="8" s="1"/>
  <c r="B451" i="8"/>
  <c r="A451" i="8"/>
  <c r="K450" i="8"/>
  <c r="J450" i="8"/>
  <c r="I450" i="8"/>
  <c r="F450" i="8"/>
  <c r="E450" i="8"/>
  <c r="D450" i="8"/>
  <c r="C450" i="8"/>
  <c r="B450" i="8"/>
  <c r="A450" i="8"/>
  <c r="K449" i="8"/>
  <c r="J449" i="8"/>
  <c r="I449" i="8"/>
  <c r="F449" i="8"/>
  <c r="E449" i="8"/>
  <c r="D449" i="8"/>
  <c r="C449" i="8"/>
  <c r="H449" i="8" s="1"/>
  <c r="B449" i="8"/>
  <c r="A449" i="8"/>
  <c r="K448" i="8"/>
  <c r="J448" i="8"/>
  <c r="I448" i="8"/>
  <c r="F448" i="8"/>
  <c r="E448" i="8"/>
  <c r="D448" i="8"/>
  <c r="C448" i="8"/>
  <c r="B448" i="8"/>
  <c r="A448" i="8"/>
  <c r="K447" i="8"/>
  <c r="J447" i="8"/>
  <c r="I447" i="8"/>
  <c r="F447" i="8"/>
  <c r="E447" i="8"/>
  <c r="D447" i="8"/>
  <c r="C447" i="8"/>
  <c r="H447" i="8" s="1"/>
  <c r="B447" i="8"/>
  <c r="A447" i="8"/>
  <c r="K446" i="8"/>
  <c r="J446" i="8"/>
  <c r="I446" i="8"/>
  <c r="F446" i="8"/>
  <c r="E446" i="8"/>
  <c r="D446" i="8"/>
  <c r="C446" i="8"/>
  <c r="B446" i="8"/>
  <c r="A446" i="8"/>
  <c r="K445" i="8"/>
  <c r="J445" i="8"/>
  <c r="I445" i="8"/>
  <c r="F445" i="8"/>
  <c r="E445" i="8"/>
  <c r="D445" i="8"/>
  <c r="C445" i="8"/>
  <c r="H445" i="8" s="1"/>
  <c r="B445" i="8"/>
  <c r="A445" i="8"/>
  <c r="K444" i="8"/>
  <c r="J444" i="8"/>
  <c r="I444" i="8"/>
  <c r="F444" i="8"/>
  <c r="E444" i="8"/>
  <c r="D444" i="8"/>
  <c r="C444" i="8"/>
  <c r="B444" i="8"/>
  <c r="A444" i="8"/>
  <c r="K443" i="8"/>
  <c r="J443" i="8"/>
  <c r="I443" i="8"/>
  <c r="F443" i="8"/>
  <c r="E443" i="8"/>
  <c r="D443" i="8"/>
  <c r="C443" i="8"/>
  <c r="H443" i="8" s="1"/>
  <c r="B443" i="8"/>
  <c r="A443" i="8"/>
  <c r="K442" i="8"/>
  <c r="J442" i="8"/>
  <c r="I442" i="8"/>
  <c r="F442" i="8"/>
  <c r="E442" i="8"/>
  <c r="D442" i="8"/>
  <c r="C442" i="8"/>
  <c r="B442" i="8"/>
  <c r="A442" i="8"/>
  <c r="K441" i="8"/>
  <c r="J441" i="8"/>
  <c r="I441" i="8"/>
  <c r="F441" i="8"/>
  <c r="E441" i="8"/>
  <c r="D441" i="8"/>
  <c r="C441" i="8"/>
  <c r="H441" i="8" s="1"/>
  <c r="B441" i="8"/>
  <c r="A441" i="8"/>
  <c r="K440" i="8"/>
  <c r="J440" i="8"/>
  <c r="I440" i="8"/>
  <c r="F440" i="8"/>
  <c r="E440" i="8"/>
  <c r="D440" i="8"/>
  <c r="C440" i="8"/>
  <c r="B440" i="8"/>
  <c r="A440" i="8"/>
  <c r="K439" i="8"/>
  <c r="J439" i="8"/>
  <c r="I439" i="8"/>
  <c r="F439" i="8"/>
  <c r="E439" i="8"/>
  <c r="D439" i="8"/>
  <c r="C439" i="8"/>
  <c r="H439" i="8" s="1"/>
  <c r="B439" i="8"/>
  <c r="A439" i="8"/>
  <c r="K438" i="8"/>
  <c r="J438" i="8"/>
  <c r="I438" i="8"/>
  <c r="F438" i="8"/>
  <c r="E438" i="8"/>
  <c r="D438" i="8"/>
  <c r="C438" i="8"/>
  <c r="B438" i="8"/>
  <c r="A438" i="8"/>
  <c r="K437" i="8"/>
  <c r="J437" i="8"/>
  <c r="I437" i="8"/>
  <c r="F437" i="8"/>
  <c r="E437" i="8"/>
  <c r="D437" i="8"/>
  <c r="C437" i="8"/>
  <c r="H437" i="8" s="1"/>
  <c r="B437" i="8"/>
  <c r="A437" i="8"/>
  <c r="K436" i="8"/>
  <c r="J436" i="8"/>
  <c r="I436" i="8"/>
  <c r="F436" i="8"/>
  <c r="E436" i="8"/>
  <c r="D436" i="8"/>
  <c r="C436" i="8"/>
  <c r="B436" i="8"/>
  <c r="A436" i="8"/>
  <c r="K435" i="8"/>
  <c r="J435" i="8"/>
  <c r="I435" i="8"/>
  <c r="F435" i="8"/>
  <c r="E435" i="8"/>
  <c r="D435" i="8"/>
  <c r="C435" i="8"/>
  <c r="H435" i="8" s="1"/>
  <c r="B435" i="8"/>
  <c r="A435" i="8"/>
  <c r="K434" i="8"/>
  <c r="J434" i="8"/>
  <c r="I434" i="8"/>
  <c r="F434" i="8"/>
  <c r="E434" i="8"/>
  <c r="D434" i="8"/>
  <c r="C434" i="8"/>
  <c r="B434" i="8"/>
  <c r="A434" i="8"/>
  <c r="K433" i="8"/>
  <c r="J433" i="8"/>
  <c r="I433" i="8"/>
  <c r="F433" i="8"/>
  <c r="E433" i="8"/>
  <c r="D433" i="8"/>
  <c r="C433" i="8"/>
  <c r="H433" i="8" s="1"/>
  <c r="B433" i="8"/>
  <c r="A433" i="8"/>
  <c r="K432" i="8"/>
  <c r="J432" i="8"/>
  <c r="I432" i="8"/>
  <c r="F432" i="8"/>
  <c r="E432" i="8"/>
  <c r="D432" i="8"/>
  <c r="C432" i="8"/>
  <c r="B432" i="8"/>
  <c r="A432" i="8"/>
  <c r="K431" i="8"/>
  <c r="J431" i="8"/>
  <c r="I431" i="8"/>
  <c r="F431" i="8"/>
  <c r="E431" i="8"/>
  <c r="D431" i="8"/>
  <c r="C431" i="8"/>
  <c r="H431" i="8" s="1"/>
  <c r="B431" i="8"/>
  <c r="A431" i="8"/>
  <c r="K430" i="8"/>
  <c r="J430" i="8"/>
  <c r="I430" i="8"/>
  <c r="F430" i="8"/>
  <c r="E430" i="8"/>
  <c r="D430" i="8"/>
  <c r="C430" i="8"/>
  <c r="B430" i="8"/>
  <c r="A430" i="8"/>
  <c r="K429" i="8"/>
  <c r="J429" i="8"/>
  <c r="I429" i="8"/>
  <c r="F429" i="8"/>
  <c r="E429" i="8"/>
  <c r="D429" i="8"/>
  <c r="C429" i="8"/>
  <c r="H429" i="8" s="1"/>
  <c r="B429" i="8"/>
  <c r="A429" i="8"/>
  <c r="K428" i="8"/>
  <c r="J428" i="8"/>
  <c r="I428" i="8"/>
  <c r="F428" i="8"/>
  <c r="E428" i="8"/>
  <c r="D428" i="8"/>
  <c r="C428" i="8"/>
  <c r="B428" i="8"/>
  <c r="A428" i="8"/>
  <c r="K427" i="8"/>
  <c r="J427" i="8"/>
  <c r="I427" i="8"/>
  <c r="F427" i="8"/>
  <c r="E427" i="8"/>
  <c r="D427" i="8"/>
  <c r="C427" i="8"/>
  <c r="H427" i="8" s="1"/>
  <c r="B427" i="8"/>
  <c r="A427" i="8"/>
  <c r="K426" i="8"/>
  <c r="J426" i="8"/>
  <c r="I426" i="8"/>
  <c r="F426" i="8"/>
  <c r="E426" i="8"/>
  <c r="D426" i="8"/>
  <c r="C426" i="8"/>
  <c r="B426" i="8"/>
  <c r="A426" i="8"/>
  <c r="K425" i="8"/>
  <c r="J425" i="8"/>
  <c r="I425" i="8"/>
  <c r="F425" i="8"/>
  <c r="E425" i="8"/>
  <c r="D425" i="8"/>
  <c r="C425" i="8"/>
  <c r="H425" i="8" s="1"/>
  <c r="B425" i="8"/>
  <c r="A425" i="8"/>
  <c r="K424" i="8"/>
  <c r="J424" i="8"/>
  <c r="I424" i="8"/>
  <c r="F424" i="8"/>
  <c r="E424" i="8"/>
  <c r="D424" i="8"/>
  <c r="C424" i="8"/>
  <c r="B424" i="8"/>
  <c r="A424" i="8"/>
  <c r="K423" i="8"/>
  <c r="J423" i="8"/>
  <c r="I423" i="8"/>
  <c r="F423" i="8"/>
  <c r="E423" i="8"/>
  <c r="D423" i="8"/>
  <c r="C423" i="8"/>
  <c r="H423" i="8" s="1"/>
  <c r="B423" i="8"/>
  <c r="A423" i="8"/>
  <c r="K422" i="8"/>
  <c r="J422" i="8"/>
  <c r="I422" i="8"/>
  <c r="F422" i="8"/>
  <c r="E422" i="8"/>
  <c r="D422" i="8"/>
  <c r="C422" i="8"/>
  <c r="B422" i="8"/>
  <c r="A422" i="8"/>
  <c r="K421" i="8"/>
  <c r="J421" i="8"/>
  <c r="I421" i="8"/>
  <c r="F421" i="8"/>
  <c r="E421" i="8"/>
  <c r="D421" i="8"/>
  <c r="C421" i="8"/>
  <c r="H421" i="8" s="1"/>
  <c r="B421" i="8"/>
  <c r="A421" i="8"/>
  <c r="K420" i="8"/>
  <c r="J420" i="8"/>
  <c r="I420" i="8"/>
  <c r="F420" i="8"/>
  <c r="E420" i="8"/>
  <c r="D420" i="8"/>
  <c r="C420" i="8"/>
  <c r="B420" i="8"/>
  <c r="A420" i="8"/>
  <c r="K419" i="8"/>
  <c r="J419" i="8"/>
  <c r="I419" i="8"/>
  <c r="F419" i="8"/>
  <c r="E419" i="8"/>
  <c r="D419" i="8"/>
  <c r="C419" i="8"/>
  <c r="H419" i="8" s="1"/>
  <c r="B419" i="8"/>
  <c r="A419" i="8"/>
  <c r="K418" i="8"/>
  <c r="J418" i="8"/>
  <c r="I418" i="8"/>
  <c r="F418" i="8"/>
  <c r="E418" i="8"/>
  <c r="D418" i="8"/>
  <c r="C418" i="8"/>
  <c r="B418" i="8"/>
  <c r="A418" i="8"/>
  <c r="K417" i="8"/>
  <c r="J417" i="8"/>
  <c r="I417" i="8"/>
  <c r="F417" i="8"/>
  <c r="E417" i="8"/>
  <c r="D417" i="8"/>
  <c r="C417" i="8"/>
  <c r="H417" i="8" s="1"/>
  <c r="B417" i="8"/>
  <c r="A417" i="8"/>
  <c r="K416" i="8"/>
  <c r="J416" i="8"/>
  <c r="I416" i="8"/>
  <c r="F416" i="8"/>
  <c r="E416" i="8"/>
  <c r="D416" i="8"/>
  <c r="C416" i="8"/>
  <c r="B416" i="8"/>
  <c r="A416" i="8"/>
  <c r="K415" i="8"/>
  <c r="J415" i="8"/>
  <c r="I415" i="8"/>
  <c r="F415" i="8"/>
  <c r="E415" i="8"/>
  <c r="D415" i="8"/>
  <c r="C415" i="8"/>
  <c r="H415" i="8" s="1"/>
  <c r="B415" i="8"/>
  <c r="A415" i="8"/>
  <c r="K414" i="8"/>
  <c r="J414" i="8"/>
  <c r="I414" i="8"/>
  <c r="F414" i="8"/>
  <c r="E414" i="8"/>
  <c r="D414" i="8"/>
  <c r="C414" i="8"/>
  <c r="B414" i="8"/>
  <c r="A414" i="8"/>
  <c r="K413" i="8"/>
  <c r="J413" i="8"/>
  <c r="I413" i="8"/>
  <c r="F413" i="8"/>
  <c r="E413" i="8"/>
  <c r="D413" i="8"/>
  <c r="C413" i="8"/>
  <c r="H413" i="8" s="1"/>
  <c r="B413" i="8"/>
  <c r="A413" i="8"/>
  <c r="K412" i="8"/>
  <c r="J412" i="8"/>
  <c r="I412" i="8"/>
  <c r="F412" i="8"/>
  <c r="E412" i="8"/>
  <c r="D412" i="8"/>
  <c r="C412" i="8"/>
  <c r="B412" i="8"/>
  <c r="A412" i="8"/>
  <c r="K411" i="8"/>
  <c r="J411" i="8"/>
  <c r="I411" i="8"/>
  <c r="F411" i="8"/>
  <c r="E411" i="8"/>
  <c r="D411" i="8"/>
  <c r="C411" i="8"/>
  <c r="H411" i="8" s="1"/>
  <c r="B411" i="8"/>
  <c r="A411" i="8"/>
  <c r="K410" i="8"/>
  <c r="J410" i="8"/>
  <c r="I410" i="8"/>
  <c r="F410" i="8"/>
  <c r="E410" i="8"/>
  <c r="D410" i="8"/>
  <c r="C410" i="8"/>
  <c r="B410" i="8"/>
  <c r="A410" i="8"/>
  <c r="K409" i="8"/>
  <c r="J409" i="8"/>
  <c r="I409" i="8"/>
  <c r="F409" i="8"/>
  <c r="E409" i="8"/>
  <c r="D409" i="8"/>
  <c r="C409" i="8"/>
  <c r="H409" i="8" s="1"/>
  <c r="B409" i="8"/>
  <c r="A409" i="8"/>
  <c r="K408" i="8"/>
  <c r="J408" i="8"/>
  <c r="I408" i="8"/>
  <c r="F408" i="8"/>
  <c r="E408" i="8"/>
  <c r="D408" i="8"/>
  <c r="C408" i="8"/>
  <c r="B408" i="8"/>
  <c r="A408" i="8"/>
  <c r="K407" i="8"/>
  <c r="J407" i="8"/>
  <c r="I407" i="8"/>
  <c r="F407" i="8"/>
  <c r="E407" i="8"/>
  <c r="D407" i="8"/>
  <c r="C407" i="8"/>
  <c r="H407" i="8" s="1"/>
  <c r="B407" i="8"/>
  <c r="A407" i="8"/>
  <c r="K406" i="8"/>
  <c r="J406" i="8"/>
  <c r="I406" i="8"/>
  <c r="F406" i="8"/>
  <c r="E406" i="8"/>
  <c r="D406" i="8"/>
  <c r="C406" i="8"/>
  <c r="B406" i="8"/>
  <c r="A406" i="8"/>
  <c r="K405" i="8"/>
  <c r="J405" i="8"/>
  <c r="I405" i="8"/>
  <c r="F405" i="8"/>
  <c r="E405" i="8"/>
  <c r="D405" i="8"/>
  <c r="C405" i="8"/>
  <c r="H405" i="8" s="1"/>
  <c r="B405" i="8"/>
  <c r="A405" i="8"/>
  <c r="K404" i="8"/>
  <c r="J404" i="8"/>
  <c r="I404" i="8"/>
  <c r="F404" i="8"/>
  <c r="E404" i="8"/>
  <c r="D404" i="8"/>
  <c r="C404" i="8"/>
  <c r="B404" i="8"/>
  <c r="A404" i="8"/>
  <c r="K403" i="8"/>
  <c r="J403" i="8"/>
  <c r="I403" i="8"/>
  <c r="F403" i="8"/>
  <c r="E403" i="8"/>
  <c r="D403" i="8"/>
  <c r="C403" i="8"/>
  <c r="H403" i="8" s="1"/>
  <c r="B403" i="8"/>
  <c r="A403" i="8"/>
  <c r="K402" i="8"/>
  <c r="J402" i="8"/>
  <c r="I402" i="8"/>
  <c r="F402" i="8"/>
  <c r="E402" i="8"/>
  <c r="D402" i="8"/>
  <c r="C402" i="8"/>
  <c r="B402" i="8"/>
  <c r="A402" i="8"/>
  <c r="K401" i="8"/>
  <c r="J401" i="8"/>
  <c r="I401" i="8"/>
  <c r="F401" i="8"/>
  <c r="E401" i="8"/>
  <c r="D401" i="8"/>
  <c r="C401" i="8"/>
  <c r="H401" i="8" s="1"/>
  <c r="B401" i="8"/>
  <c r="A401" i="8"/>
  <c r="K400" i="8"/>
  <c r="J400" i="8"/>
  <c r="I400" i="8"/>
  <c r="F400" i="8"/>
  <c r="E400" i="8"/>
  <c r="D400" i="8"/>
  <c r="C400" i="8"/>
  <c r="B400" i="8"/>
  <c r="A400" i="8"/>
  <c r="K399" i="8"/>
  <c r="J399" i="8"/>
  <c r="I399" i="8"/>
  <c r="F399" i="8"/>
  <c r="E399" i="8"/>
  <c r="D399" i="8"/>
  <c r="C399" i="8"/>
  <c r="H399" i="8" s="1"/>
  <c r="B399" i="8"/>
  <c r="A399" i="8"/>
  <c r="K398" i="8"/>
  <c r="J398" i="8"/>
  <c r="I398" i="8"/>
  <c r="F398" i="8"/>
  <c r="E398" i="8"/>
  <c r="D398" i="8"/>
  <c r="C398" i="8"/>
  <c r="B398" i="8"/>
  <c r="A398" i="8"/>
  <c r="K397" i="8"/>
  <c r="J397" i="8"/>
  <c r="I397" i="8"/>
  <c r="F397" i="8"/>
  <c r="E397" i="8"/>
  <c r="D397" i="8"/>
  <c r="C397" i="8"/>
  <c r="H397" i="8" s="1"/>
  <c r="B397" i="8"/>
  <c r="A397" i="8"/>
  <c r="K396" i="8"/>
  <c r="J396" i="8"/>
  <c r="I396" i="8"/>
  <c r="F396" i="8"/>
  <c r="E396" i="8"/>
  <c r="D396" i="8"/>
  <c r="C396" i="8"/>
  <c r="B396" i="8"/>
  <c r="A396" i="8"/>
  <c r="K395" i="8"/>
  <c r="J395" i="8"/>
  <c r="I395" i="8"/>
  <c r="F395" i="8"/>
  <c r="E395" i="8"/>
  <c r="D395" i="8"/>
  <c r="C395" i="8"/>
  <c r="H395" i="8" s="1"/>
  <c r="B395" i="8"/>
  <c r="A395" i="8"/>
  <c r="K394" i="8"/>
  <c r="J394" i="8"/>
  <c r="I394" i="8"/>
  <c r="F394" i="8"/>
  <c r="E394" i="8"/>
  <c r="D394" i="8"/>
  <c r="C394" i="8"/>
  <c r="B394" i="8"/>
  <c r="A394" i="8"/>
  <c r="K393" i="8"/>
  <c r="J393" i="8"/>
  <c r="I393" i="8"/>
  <c r="F393" i="8"/>
  <c r="E393" i="8"/>
  <c r="D393" i="8"/>
  <c r="C393" i="8"/>
  <c r="H393" i="8" s="1"/>
  <c r="B393" i="8"/>
  <c r="A393" i="8"/>
  <c r="K392" i="8"/>
  <c r="J392" i="8"/>
  <c r="I392" i="8"/>
  <c r="F392" i="8"/>
  <c r="E392" i="8"/>
  <c r="D392" i="8"/>
  <c r="C392" i="8"/>
  <c r="B392" i="8"/>
  <c r="A392" i="8"/>
  <c r="K391" i="8"/>
  <c r="J391" i="8"/>
  <c r="I391" i="8"/>
  <c r="F391" i="8"/>
  <c r="E391" i="8"/>
  <c r="D391" i="8"/>
  <c r="C391" i="8"/>
  <c r="H391" i="8" s="1"/>
  <c r="B391" i="8"/>
  <c r="A391" i="8"/>
  <c r="K390" i="8"/>
  <c r="J390" i="8"/>
  <c r="I390" i="8"/>
  <c r="F390" i="8"/>
  <c r="E390" i="8"/>
  <c r="D390" i="8"/>
  <c r="C390" i="8"/>
  <c r="B390" i="8"/>
  <c r="A390" i="8"/>
  <c r="K389" i="8"/>
  <c r="J389" i="8"/>
  <c r="I389" i="8"/>
  <c r="F389" i="8"/>
  <c r="E389" i="8"/>
  <c r="D389" i="8"/>
  <c r="C389" i="8"/>
  <c r="H389" i="8" s="1"/>
  <c r="B389" i="8"/>
  <c r="A389" i="8"/>
  <c r="K388" i="8"/>
  <c r="J388" i="8"/>
  <c r="I388" i="8"/>
  <c r="F388" i="8"/>
  <c r="E388" i="8"/>
  <c r="D388" i="8"/>
  <c r="C388" i="8"/>
  <c r="B388" i="8"/>
  <c r="A388" i="8"/>
  <c r="K387" i="8"/>
  <c r="J387" i="8"/>
  <c r="I387" i="8"/>
  <c r="F387" i="8"/>
  <c r="E387" i="8"/>
  <c r="D387" i="8"/>
  <c r="C387" i="8"/>
  <c r="H387" i="8" s="1"/>
  <c r="B387" i="8"/>
  <c r="A387" i="8"/>
  <c r="K386" i="8"/>
  <c r="J386" i="8"/>
  <c r="I386" i="8"/>
  <c r="F386" i="8"/>
  <c r="E386" i="8"/>
  <c r="D386" i="8"/>
  <c r="C386" i="8"/>
  <c r="B386" i="8"/>
  <c r="A386" i="8"/>
  <c r="K385" i="8"/>
  <c r="J385" i="8"/>
  <c r="I385" i="8"/>
  <c r="F385" i="8"/>
  <c r="E385" i="8"/>
  <c r="D385" i="8"/>
  <c r="C385" i="8"/>
  <c r="H385" i="8" s="1"/>
  <c r="B385" i="8"/>
  <c r="A385" i="8"/>
  <c r="K384" i="8"/>
  <c r="J384" i="8"/>
  <c r="I384" i="8"/>
  <c r="F384" i="8"/>
  <c r="E384" i="8"/>
  <c r="D384" i="8"/>
  <c r="C384" i="8"/>
  <c r="B384" i="8"/>
  <c r="A384" i="8"/>
  <c r="K383" i="8"/>
  <c r="J383" i="8"/>
  <c r="I383" i="8"/>
  <c r="F383" i="8"/>
  <c r="E383" i="8"/>
  <c r="D383" i="8"/>
  <c r="C383" i="8"/>
  <c r="H383" i="8" s="1"/>
  <c r="B383" i="8"/>
  <c r="A383" i="8"/>
  <c r="K382" i="8"/>
  <c r="J382" i="8"/>
  <c r="I382" i="8"/>
  <c r="F382" i="8"/>
  <c r="E382" i="8"/>
  <c r="D382" i="8"/>
  <c r="C382" i="8"/>
  <c r="B382" i="8"/>
  <c r="A382" i="8"/>
  <c r="K381" i="8"/>
  <c r="J381" i="8"/>
  <c r="I381" i="8"/>
  <c r="F381" i="8"/>
  <c r="E381" i="8"/>
  <c r="D381" i="8"/>
  <c r="C381" i="8"/>
  <c r="H381" i="8" s="1"/>
  <c r="B381" i="8"/>
  <c r="A381" i="8"/>
  <c r="K380" i="8"/>
  <c r="J380" i="8"/>
  <c r="I380" i="8"/>
  <c r="F380" i="8"/>
  <c r="E380" i="8"/>
  <c r="D380" i="8"/>
  <c r="C380" i="8"/>
  <c r="B380" i="8"/>
  <c r="A380" i="8"/>
  <c r="K379" i="8"/>
  <c r="J379" i="8"/>
  <c r="I379" i="8"/>
  <c r="F379" i="8"/>
  <c r="E379" i="8"/>
  <c r="D379" i="8"/>
  <c r="C379" i="8"/>
  <c r="H379" i="8" s="1"/>
  <c r="B379" i="8"/>
  <c r="A379" i="8"/>
  <c r="K378" i="8"/>
  <c r="J378" i="8"/>
  <c r="I378" i="8"/>
  <c r="F378" i="8"/>
  <c r="E378" i="8"/>
  <c r="D378" i="8"/>
  <c r="C378" i="8"/>
  <c r="B378" i="8"/>
  <c r="A378" i="8"/>
  <c r="K377" i="8"/>
  <c r="J377" i="8"/>
  <c r="I377" i="8"/>
  <c r="F377" i="8"/>
  <c r="E377" i="8"/>
  <c r="D377" i="8"/>
  <c r="C377" i="8"/>
  <c r="H377" i="8" s="1"/>
  <c r="B377" i="8"/>
  <c r="A377" i="8"/>
  <c r="K376" i="8"/>
  <c r="J376" i="8"/>
  <c r="I376" i="8"/>
  <c r="F376" i="8"/>
  <c r="E376" i="8"/>
  <c r="D376" i="8"/>
  <c r="C376" i="8"/>
  <c r="B376" i="8"/>
  <c r="A376" i="8"/>
  <c r="K375" i="8"/>
  <c r="J375" i="8"/>
  <c r="I375" i="8"/>
  <c r="F375" i="8"/>
  <c r="E375" i="8"/>
  <c r="D375" i="8"/>
  <c r="C375" i="8"/>
  <c r="H375" i="8" s="1"/>
  <c r="B375" i="8"/>
  <c r="A375" i="8"/>
  <c r="K374" i="8"/>
  <c r="J374" i="8"/>
  <c r="I374" i="8"/>
  <c r="F374" i="8"/>
  <c r="E374" i="8"/>
  <c r="D374" i="8"/>
  <c r="C374" i="8"/>
  <c r="B374" i="8"/>
  <c r="A374" i="8"/>
  <c r="K373" i="8"/>
  <c r="J373" i="8"/>
  <c r="I373" i="8"/>
  <c r="F373" i="8"/>
  <c r="E373" i="8"/>
  <c r="D373" i="8"/>
  <c r="C373" i="8"/>
  <c r="H373" i="8" s="1"/>
  <c r="B373" i="8"/>
  <c r="A373" i="8"/>
  <c r="K372" i="8"/>
  <c r="J372" i="8"/>
  <c r="I372" i="8"/>
  <c r="F372" i="8"/>
  <c r="E372" i="8"/>
  <c r="D372" i="8"/>
  <c r="C372" i="8"/>
  <c r="B372" i="8"/>
  <c r="A372" i="8"/>
  <c r="K371" i="8"/>
  <c r="J371" i="8"/>
  <c r="I371" i="8"/>
  <c r="F371" i="8"/>
  <c r="E371" i="8"/>
  <c r="D371" i="8"/>
  <c r="C371" i="8"/>
  <c r="H371" i="8" s="1"/>
  <c r="B371" i="8"/>
  <c r="A371" i="8"/>
  <c r="K370" i="8"/>
  <c r="J370" i="8"/>
  <c r="I370" i="8"/>
  <c r="F370" i="8"/>
  <c r="E370" i="8"/>
  <c r="D370" i="8"/>
  <c r="C370" i="8"/>
  <c r="B370" i="8"/>
  <c r="A370" i="8"/>
  <c r="K369" i="8"/>
  <c r="J369" i="8"/>
  <c r="I369" i="8"/>
  <c r="F369" i="8"/>
  <c r="E369" i="8"/>
  <c r="D369" i="8"/>
  <c r="C369" i="8"/>
  <c r="H369" i="8" s="1"/>
  <c r="B369" i="8"/>
  <c r="A369" i="8"/>
  <c r="K368" i="8"/>
  <c r="J368" i="8"/>
  <c r="I368" i="8"/>
  <c r="F368" i="8"/>
  <c r="E368" i="8"/>
  <c r="D368" i="8"/>
  <c r="C368" i="8"/>
  <c r="B368" i="8"/>
  <c r="A368" i="8"/>
  <c r="K367" i="8"/>
  <c r="J367" i="8"/>
  <c r="I367" i="8"/>
  <c r="F367" i="8"/>
  <c r="E367" i="8"/>
  <c r="D367" i="8"/>
  <c r="C367" i="8"/>
  <c r="H367" i="8" s="1"/>
  <c r="B367" i="8"/>
  <c r="A367" i="8"/>
  <c r="K366" i="8"/>
  <c r="J366" i="8"/>
  <c r="I366" i="8"/>
  <c r="F366" i="8"/>
  <c r="E366" i="8"/>
  <c r="D366" i="8"/>
  <c r="C366" i="8"/>
  <c r="B366" i="8"/>
  <c r="A366" i="8"/>
  <c r="K365" i="8"/>
  <c r="J365" i="8"/>
  <c r="I365" i="8"/>
  <c r="F365" i="8"/>
  <c r="E365" i="8"/>
  <c r="D365" i="8"/>
  <c r="C365" i="8"/>
  <c r="H365" i="8" s="1"/>
  <c r="B365" i="8"/>
  <c r="A365" i="8"/>
  <c r="K364" i="8"/>
  <c r="J364" i="8"/>
  <c r="I364" i="8"/>
  <c r="F364" i="8"/>
  <c r="E364" i="8"/>
  <c r="D364" i="8"/>
  <c r="C364" i="8"/>
  <c r="B364" i="8"/>
  <c r="A364" i="8"/>
  <c r="K363" i="8"/>
  <c r="J363" i="8"/>
  <c r="I363" i="8"/>
  <c r="F363" i="8"/>
  <c r="E363" i="8"/>
  <c r="D363" i="8"/>
  <c r="C363" i="8"/>
  <c r="H363" i="8" s="1"/>
  <c r="B363" i="8"/>
  <c r="A363" i="8"/>
  <c r="K362" i="8"/>
  <c r="J362" i="8"/>
  <c r="I362" i="8"/>
  <c r="F362" i="8"/>
  <c r="E362" i="8"/>
  <c r="D362" i="8"/>
  <c r="C362" i="8"/>
  <c r="B362" i="8"/>
  <c r="A362" i="8"/>
  <c r="K361" i="8"/>
  <c r="J361" i="8"/>
  <c r="I361" i="8"/>
  <c r="F361" i="8"/>
  <c r="E361" i="8"/>
  <c r="D361" i="8"/>
  <c r="C361" i="8"/>
  <c r="H361" i="8" s="1"/>
  <c r="B361" i="8"/>
  <c r="A361" i="8"/>
  <c r="K360" i="8"/>
  <c r="J360" i="8"/>
  <c r="I360" i="8"/>
  <c r="F360" i="8"/>
  <c r="E360" i="8"/>
  <c r="D360" i="8"/>
  <c r="C360" i="8"/>
  <c r="B360" i="8"/>
  <c r="A360" i="8"/>
  <c r="K359" i="8"/>
  <c r="J359" i="8"/>
  <c r="I359" i="8"/>
  <c r="F359" i="8"/>
  <c r="E359" i="8"/>
  <c r="D359" i="8"/>
  <c r="C359" i="8"/>
  <c r="H359" i="8" s="1"/>
  <c r="B359" i="8"/>
  <c r="A359" i="8"/>
  <c r="K358" i="8"/>
  <c r="J358" i="8"/>
  <c r="I358" i="8"/>
  <c r="F358" i="8"/>
  <c r="E358" i="8"/>
  <c r="D358" i="8"/>
  <c r="C358" i="8"/>
  <c r="B358" i="8"/>
  <c r="A358" i="8"/>
  <c r="K357" i="8"/>
  <c r="J357" i="8"/>
  <c r="I357" i="8"/>
  <c r="F357" i="8"/>
  <c r="D357" i="8"/>
  <c r="C357" i="8"/>
  <c r="B357" i="8"/>
  <c r="A357" i="8"/>
  <c r="K356" i="8"/>
  <c r="J356" i="8"/>
  <c r="I356" i="8"/>
  <c r="F356" i="8"/>
  <c r="E356" i="8"/>
  <c r="D356" i="8"/>
  <c r="C356" i="8"/>
  <c r="B356" i="8"/>
  <c r="A356" i="8"/>
  <c r="K355" i="8"/>
  <c r="J355" i="8"/>
  <c r="I355" i="8"/>
  <c r="F355" i="8"/>
  <c r="E355" i="8"/>
  <c r="D355" i="8"/>
  <c r="C355" i="8"/>
  <c r="B355" i="8"/>
  <c r="A355" i="8"/>
  <c r="K354" i="8"/>
  <c r="J354" i="8"/>
  <c r="I354" i="8"/>
  <c r="F354" i="8"/>
  <c r="E354" i="8"/>
  <c r="D354" i="8"/>
  <c r="C354" i="8"/>
  <c r="B354" i="8"/>
  <c r="A354" i="8"/>
  <c r="K353" i="8"/>
  <c r="J353" i="8"/>
  <c r="I353" i="8"/>
  <c r="F353" i="8"/>
  <c r="E353" i="8"/>
  <c r="D353" i="8"/>
  <c r="C353" i="8"/>
  <c r="B353" i="8"/>
  <c r="A353" i="8"/>
  <c r="K352" i="8"/>
  <c r="J352" i="8"/>
  <c r="I352" i="8"/>
  <c r="F352" i="8"/>
  <c r="E352" i="8"/>
  <c r="D352" i="8"/>
  <c r="C352" i="8"/>
  <c r="B352" i="8"/>
  <c r="A352" i="8"/>
  <c r="K351" i="8"/>
  <c r="J351" i="8"/>
  <c r="I351" i="8"/>
  <c r="F351" i="8"/>
  <c r="E351" i="8"/>
  <c r="D351" i="8"/>
  <c r="C351" i="8"/>
  <c r="B351" i="8"/>
  <c r="A351" i="8"/>
  <c r="K350" i="8"/>
  <c r="J350" i="8"/>
  <c r="I350" i="8"/>
  <c r="F350" i="8"/>
  <c r="E350" i="8"/>
  <c r="D350" i="8"/>
  <c r="C350" i="8"/>
  <c r="B350" i="8"/>
  <c r="A350" i="8"/>
  <c r="K349" i="8"/>
  <c r="J349" i="8"/>
  <c r="I349" i="8"/>
  <c r="F349" i="8"/>
  <c r="E349" i="8"/>
  <c r="D349" i="8"/>
  <c r="C349" i="8"/>
  <c r="B349" i="8"/>
  <c r="A349" i="8"/>
  <c r="K348" i="8"/>
  <c r="J348" i="8"/>
  <c r="I348" i="8"/>
  <c r="F348" i="8"/>
  <c r="E348" i="8"/>
  <c r="D348" i="8"/>
  <c r="C348" i="8"/>
  <c r="B348" i="8"/>
  <c r="A348" i="8"/>
  <c r="K347" i="8"/>
  <c r="J347" i="8"/>
  <c r="I347" i="8"/>
  <c r="F347" i="8"/>
  <c r="E347" i="8"/>
  <c r="D347" i="8"/>
  <c r="C347" i="8"/>
  <c r="B347" i="8"/>
  <c r="A347" i="8"/>
  <c r="K346" i="8"/>
  <c r="J346" i="8"/>
  <c r="I346" i="8"/>
  <c r="F346" i="8"/>
  <c r="E346" i="8"/>
  <c r="D346" i="8"/>
  <c r="C346" i="8"/>
  <c r="B346" i="8"/>
  <c r="A346" i="8"/>
  <c r="K345" i="8"/>
  <c r="J345" i="8"/>
  <c r="I345" i="8"/>
  <c r="F345" i="8"/>
  <c r="E345" i="8"/>
  <c r="D345" i="8"/>
  <c r="C345" i="8"/>
  <c r="B345" i="8"/>
  <c r="A345" i="8"/>
  <c r="K344" i="8"/>
  <c r="J344" i="8"/>
  <c r="I344" i="8"/>
  <c r="F344" i="8"/>
  <c r="E344" i="8"/>
  <c r="D344" i="8"/>
  <c r="C344" i="8"/>
  <c r="B344" i="8"/>
  <c r="A344" i="8"/>
  <c r="K343" i="8"/>
  <c r="J343" i="8"/>
  <c r="I343" i="8"/>
  <c r="F343" i="8"/>
  <c r="E343" i="8"/>
  <c r="D343" i="8"/>
  <c r="C343" i="8"/>
  <c r="B343" i="8"/>
  <c r="A343" i="8"/>
  <c r="K342" i="8"/>
  <c r="J342" i="8"/>
  <c r="I342" i="8"/>
  <c r="F342" i="8"/>
  <c r="E342" i="8"/>
  <c r="D342" i="8"/>
  <c r="C342" i="8"/>
  <c r="B342" i="8"/>
  <c r="A342" i="8"/>
  <c r="K341" i="8"/>
  <c r="J341" i="8"/>
  <c r="I341" i="8"/>
  <c r="F341" i="8"/>
  <c r="E341" i="8"/>
  <c r="D341" i="8"/>
  <c r="C341" i="8"/>
  <c r="B341" i="8"/>
  <c r="A341" i="8"/>
  <c r="K340" i="8"/>
  <c r="J340" i="8"/>
  <c r="I340" i="8"/>
  <c r="F340" i="8"/>
  <c r="E340" i="8"/>
  <c r="D340" i="8"/>
  <c r="C340" i="8"/>
  <c r="B340" i="8"/>
  <c r="A340" i="8"/>
  <c r="K339" i="8"/>
  <c r="J339" i="8"/>
  <c r="I339" i="8"/>
  <c r="F339" i="8"/>
  <c r="E339" i="8"/>
  <c r="D339" i="8"/>
  <c r="C339" i="8"/>
  <c r="B339" i="8"/>
  <c r="A339" i="8"/>
  <c r="K338" i="8"/>
  <c r="J338" i="8"/>
  <c r="I338" i="8"/>
  <c r="F338" i="8"/>
  <c r="E338" i="8"/>
  <c r="D338" i="8"/>
  <c r="C338" i="8"/>
  <c r="B338" i="8"/>
  <c r="A338" i="8"/>
  <c r="K337" i="8"/>
  <c r="J337" i="8"/>
  <c r="I337" i="8"/>
  <c r="F337" i="8"/>
  <c r="E337" i="8"/>
  <c r="D337" i="8"/>
  <c r="C337" i="8"/>
  <c r="B337" i="8"/>
  <c r="A337" i="8"/>
  <c r="K336" i="8"/>
  <c r="J336" i="8"/>
  <c r="I336" i="8"/>
  <c r="F336" i="8"/>
  <c r="E336" i="8"/>
  <c r="D336" i="8"/>
  <c r="C336" i="8"/>
  <c r="B336" i="8"/>
  <c r="A336" i="8"/>
  <c r="K335" i="8"/>
  <c r="J335" i="8"/>
  <c r="I335" i="8"/>
  <c r="F335" i="8"/>
  <c r="E335" i="8"/>
  <c r="D335" i="8"/>
  <c r="C335" i="8"/>
  <c r="B335" i="8"/>
  <c r="A335" i="8"/>
  <c r="K334" i="8"/>
  <c r="J334" i="8"/>
  <c r="I334" i="8"/>
  <c r="F334" i="8"/>
  <c r="E334" i="8"/>
  <c r="D334" i="8"/>
  <c r="C334" i="8"/>
  <c r="B334" i="8"/>
  <c r="A334" i="8"/>
  <c r="K333" i="8"/>
  <c r="J333" i="8"/>
  <c r="I333" i="8"/>
  <c r="F333" i="8"/>
  <c r="E333" i="8"/>
  <c r="D333" i="8"/>
  <c r="C333" i="8"/>
  <c r="B333" i="8"/>
  <c r="A333" i="8"/>
  <c r="K332" i="8"/>
  <c r="J332" i="8"/>
  <c r="I332" i="8"/>
  <c r="F332" i="8"/>
  <c r="E332" i="8"/>
  <c r="D332" i="8"/>
  <c r="C332" i="8"/>
  <c r="B332" i="8"/>
  <c r="A332" i="8"/>
  <c r="K331" i="8"/>
  <c r="J331" i="8"/>
  <c r="I331" i="8"/>
  <c r="F331" i="8"/>
  <c r="E331" i="8"/>
  <c r="D331" i="8"/>
  <c r="C331" i="8"/>
  <c r="B331" i="8"/>
  <c r="A331" i="8"/>
  <c r="K330" i="8"/>
  <c r="J330" i="8"/>
  <c r="I330" i="8"/>
  <c r="F330" i="8"/>
  <c r="E330" i="8"/>
  <c r="D330" i="8"/>
  <c r="C330" i="8"/>
  <c r="B330" i="8"/>
  <c r="A330" i="8"/>
  <c r="K329" i="8"/>
  <c r="J329" i="8"/>
  <c r="I329" i="8"/>
  <c r="F329" i="8"/>
  <c r="E329" i="8"/>
  <c r="D329" i="8"/>
  <c r="C329" i="8"/>
  <c r="B329" i="8"/>
  <c r="A329" i="8"/>
  <c r="K328" i="8"/>
  <c r="J328" i="8"/>
  <c r="I328" i="8"/>
  <c r="F328" i="8"/>
  <c r="E328" i="8"/>
  <c r="D328" i="8"/>
  <c r="C328" i="8"/>
  <c r="B328" i="8"/>
  <c r="A328" i="8"/>
  <c r="K327" i="8"/>
  <c r="J327" i="8"/>
  <c r="I327" i="8"/>
  <c r="F327" i="8"/>
  <c r="E327" i="8"/>
  <c r="D327" i="8"/>
  <c r="C327" i="8"/>
  <c r="B327" i="8"/>
  <c r="A327" i="8"/>
  <c r="K326" i="8"/>
  <c r="J326" i="8"/>
  <c r="I326" i="8"/>
  <c r="F326" i="8"/>
  <c r="E326" i="8"/>
  <c r="D326" i="8"/>
  <c r="C326" i="8"/>
  <c r="B326" i="8"/>
  <c r="A326" i="8"/>
  <c r="K325" i="8"/>
  <c r="J325" i="8"/>
  <c r="I325" i="8"/>
  <c r="F325" i="8"/>
  <c r="E325" i="8"/>
  <c r="D325" i="8"/>
  <c r="C325" i="8"/>
  <c r="B325" i="8"/>
  <c r="A325" i="8"/>
  <c r="K324" i="8"/>
  <c r="J324" i="8"/>
  <c r="I324" i="8"/>
  <c r="F324" i="8"/>
  <c r="E324" i="8"/>
  <c r="D324" i="8"/>
  <c r="C324" i="8"/>
  <c r="B324" i="8"/>
  <c r="A324" i="8"/>
  <c r="K323" i="8"/>
  <c r="J323" i="8"/>
  <c r="I323" i="8"/>
  <c r="F323" i="8"/>
  <c r="E323" i="8"/>
  <c r="D323" i="8"/>
  <c r="C323" i="8"/>
  <c r="B323" i="8"/>
  <c r="A323" i="8"/>
  <c r="K322" i="8"/>
  <c r="J322" i="8"/>
  <c r="I322" i="8"/>
  <c r="F322" i="8"/>
  <c r="E322" i="8"/>
  <c r="D322" i="8"/>
  <c r="C322" i="8"/>
  <c r="B322" i="8"/>
  <c r="A322" i="8"/>
  <c r="K321" i="8"/>
  <c r="J321" i="8"/>
  <c r="I321" i="8"/>
  <c r="F321" i="8"/>
  <c r="E321" i="8"/>
  <c r="D321" i="8"/>
  <c r="C321" i="8"/>
  <c r="B321" i="8"/>
  <c r="A321" i="8"/>
  <c r="K320" i="8"/>
  <c r="J320" i="8"/>
  <c r="I320" i="8"/>
  <c r="F320" i="8"/>
  <c r="E320" i="8"/>
  <c r="D320" i="8"/>
  <c r="C320" i="8"/>
  <c r="B320" i="8"/>
  <c r="A320" i="8"/>
  <c r="K319" i="8"/>
  <c r="J319" i="8"/>
  <c r="I319" i="8"/>
  <c r="F319" i="8"/>
  <c r="E319" i="8"/>
  <c r="D319" i="8"/>
  <c r="C319" i="8"/>
  <c r="B319" i="8"/>
  <c r="A319" i="8"/>
  <c r="K318" i="8"/>
  <c r="J318" i="8"/>
  <c r="I318" i="8"/>
  <c r="F318" i="8"/>
  <c r="E318" i="8"/>
  <c r="D318" i="8"/>
  <c r="C318" i="8"/>
  <c r="B318" i="8"/>
  <c r="A318" i="8"/>
  <c r="K317" i="8"/>
  <c r="J317" i="8"/>
  <c r="I317" i="8"/>
  <c r="F317" i="8"/>
  <c r="E317" i="8"/>
  <c r="D317" i="8"/>
  <c r="C317" i="8"/>
  <c r="B317" i="8"/>
  <c r="A317" i="8"/>
  <c r="K316" i="8"/>
  <c r="J316" i="8"/>
  <c r="I316" i="8"/>
  <c r="F316" i="8"/>
  <c r="E316" i="8"/>
  <c r="D316" i="8"/>
  <c r="C316" i="8"/>
  <c r="B316" i="8"/>
  <c r="A316" i="8"/>
  <c r="K315" i="8"/>
  <c r="J315" i="8"/>
  <c r="I315" i="8"/>
  <c r="F315" i="8"/>
  <c r="E315" i="8"/>
  <c r="D315" i="8"/>
  <c r="C315" i="8"/>
  <c r="B315" i="8"/>
  <c r="A315" i="8"/>
  <c r="K314" i="8"/>
  <c r="J314" i="8"/>
  <c r="I314" i="8"/>
  <c r="F314" i="8"/>
  <c r="E314" i="8"/>
  <c r="D314" i="8"/>
  <c r="C314" i="8"/>
  <c r="B314" i="8"/>
  <c r="A314" i="8"/>
  <c r="K313" i="8"/>
  <c r="J313" i="8"/>
  <c r="I313" i="8"/>
  <c r="F313" i="8"/>
  <c r="E313" i="8"/>
  <c r="D313" i="8"/>
  <c r="C313" i="8"/>
  <c r="B313" i="8"/>
  <c r="A313" i="8"/>
  <c r="K312" i="8"/>
  <c r="J312" i="8"/>
  <c r="I312" i="8"/>
  <c r="F312" i="8"/>
  <c r="E312" i="8"/>
  <c r="D312" i="8"/>
  <c r="C312" i="8"/>
  <c r="B312" i="8"/>
  <c r="A312" i="8"/>
  <c r="K311" i="8"/>
  <c r="J311" i="8"/>
  <c r="I311" i="8"/>
  <c r="F311" i="8"/>
  <c r="E311" i="8"/>
  <c r="D311" i="8"/>
  <c r="C311" i="8"/>
  <c r="B311" i="8"/>
  <c r="A311" i="8"/>
  <c r="K310" i="8"/>
  <c r="J310" i="8"/>
  <c r="I310" i="8"/>
  <c r="F310" i="8"/>
  <c r="E310" i="8"/>
  <c r="D310" i="8"/>
  <c r="C310" i="8"/>
  <c r="B310" i="8"/>
  <c r="A310" i="8"/>
  <c r="K309" i="8"/>
  <c r="J309" i="8"/>
  <c r="I309" i="8"/>
  <c r="F309" i="8"/>
  <c r="E309" i="8"/>
  <c r="D309" i="8"/>
  <c r="C309" i="8"/>
  <c r="B309" i="8"/>
  <c r="A309" i="8"/>
  <c r="K308" i="8"/>
  <c r="J308" i="8"/>
  <c r="I308" i="8"/>
  <c r="F308" i="8"/>
  <c r="E308" i="8"/>
  <c r="D308" i="8"/>
  <c r="C308" i="8"/>
  <c r="B308" i="8"/>
  <c r="A308" i="8"/>
  <c r="K307" i="8"/>
  <c r="J307" i="8"/>
  <c r="I307" i="8"/>
  <c r="F307" i="8"/>
  <c r="E307" i="8"/>
  <c r="D307" i="8"/>
  <c r="C307" i="8"/>
  <c r="B307" i="8"/>
  <c r="A307" i="8"/>
  <c r="K306" i="8"/>
  <c r="J306" i="8"/>
  <c r="I306" i="8"/>
  <c r="F306" i="8"/>
  <c r="E306" i="8"/>
  <c r="D306" i="8"/>
  <c r="C306" i="8"/>
  <c r="B306" i="8"/>
  <c r="A306" i="8"/>
  <c r="K305" i="8"/>
  <c r="J305" i="8"/>
  <c r="I305" i="8"/>
  <c r="F305" i="8"/>
  <c r="E305" i="8"/>
  <c r="D305" i="8"/>
  <c r="C305" i="8"/>
  <c r="B305" i="8"/>
  <c r="A305" i="8"/>
  <c r="K304" i="8"/>
  <c r="J304" i="8"/>
  <c r="I304" i="8"/>
  <c r="F304" i="8"/>
  <c r="E304" i="8"/>
  <c r="D304" i="8"/>
  <c r="C304" i="8"/>
  <c r="B304" i="8"/>
  <c r="A304" i="8"/>
  <c r="K303" i="8"/>
  <c r="J303" i="8"/>
  <c r="I303" i="8"/>
  <c r="F303" i="8"/>
  <c r="E303" i="8"/>
  <c r="D303" i="8"/>
  <c r="C303" i="8"/>
  <c r="B303" i="8"/>
  <c r="A303" i="8"/>
  <c r="K302" i="8"/>
  <c r="J302" i="8"/>
  <c r="I302" i="8"/>
  <c r="F302" i="8"/>
  <c r="E302" i="8"/>
  <c r="D302" i="8"/>
  <c r="C302" i="8"/>
  <c r="B302" i="8"/>
  <c r="A302" i="8"/>
  <c r="K301" i="8"/>
  <c r="J301" i="8"/>
  <c r="I301" i="8"/>
  <c r="F301" i="8"/>
  <c r="E301" i="8"/>
  <c r="D301" i="8"/>
  <c r="C301" i="8"/>
  <c r="B301" i="8"/>
  <c r="A301" i="8"/>
  <c r="K300" i="8"/>
  <c r="J300" i="8"/>
  <c r="I300" i="8"/>
  <c r="F300" i="8"/>
  <c r="E300" i="8"/>
  <c r="D300" i="8"/>
  <c r="C300" i="8"/>
  <c r="B300" i="8"/>
  <c r="A300" i="8"/>
  <c r="K299" i="8"/>
  <c r="J299" i="8"/>
  <c r="I299" i="8"/>
  <c r="F299" i="8"/>
  <c r="E299" i="8"/>
  <c r="D299" i="8"/>
  <c r="C299" i="8"/>
  <c r="B299" i="8"/>
  <c r="A299" i="8"/>
  <c r="K298" i="8"/>
  <c r="J298" i="8"/>
  <c r="I298" i="8"/>
  <c r="F298" i="8"/>
  <c r="E298" i="8"/>
  <c r="D298" i="8"/>
  <c r="C298" i="8"/>
  <c r="B298" i="8"/>
  <c r="A298" i="8"/>
  <c r="K297" i="8"/>
  <c r="J297" i="8"/>
  <c r="I297" i="8"/>
  <c r="F297" i="8"/>
  <c r="E297" i="8"/>
  <c r="D297" i="8"/>
  <c r="C297" i="8"/>
  <c r="B297" i="8"/>
  <c r="A297" i="8"/>
  <c r="K296" i="8"/>
  <c r="J296" i="8"/>
  <c r="I296" i="8"/>
  <c r="F296" i="8"/>
  <c r="E296" i="8"/>
  <c r="D296" i="8"/>
  <c r="C296" i="8"/>
  <c r="B296" i="8"/>
  <c r="A296" i="8"/>
  <c r="K295" i="8"/>
  <c r="J295" i="8"/>
  <c r="I295" i="8"/>
  <c r="F295" i="8"/>
  <c r="E295" i="8"/>
  <c r="D295" i="8"/>
  <c r="C295" i="8"/>
  <c r="B295" i="8"/>
  <c r="A295" i="8"/>
  <c r="K294" i="8"/>
  <c r="J294" i="8"/>
  <c r="I294" i="8"/>
  <c r="F294" i="8"/>
  <c r="E294" i="8"/>
  <c r="D294" i="8"/>
  <c r="C294" i="8"/>
  <c r="B294" i="8"/>
  <c r="A294" i="8"/>
  <c r="K293" i="8"/>
  <c r="J293" i="8"/>
  <c r="I293" i="8"/>
  <c r="F293" i="8"/>
  <c r="E293" i="8"/>
  <c r="D293" i="8"/>
  <c r="C293" i="8"/>
  <c r="B293" i="8"/>
  <c r="A293" i="8"/>
  <c r="K292" i="8"/>
  <c r="J292" i="8"/>
  <c r="I292" i="8"/>
  <c r="F292" i="8"/>
  <c r="E292" i="8"/>
  <c r="D292" i="8"/>
  <c r="C292" i="8"/>
  <c r="B292" i="8"/>
  <c r="A292" i="8"/>
  <c r="K291" i="8"/>
  <c r="J291" i="8"/>
  <c r="I291" i="8"/>
  <c r="F291" i="8"/>
  <c r="E291" i="8"/>
  <c r="D291" i="8"/>
  <c r="C291" i="8"/>
  <c r="B291" i="8"/>
  <c r="A291" i="8"/>
  <c r="K290" i="8"/>
  <c r="J290" i="8"/>
  <c r="I290" i="8"/>
  <c r="F290" i="8"/>
  <c r="E290" i="8"/>
  <c r="D290" i="8"/>
  <c r="C290" i="8"/>
  <c r="B290" i="8"/>
  <c r="A290" i="8"/>
  <c r="K289" i="8"/>
  <c r="J289" i="8"/>
  <c r="I289" i="8"/>
  <c r="F289" i="8"/>
  <c r="E289" i="8"/>
  <c r="D289" i="8"/>
  <c r="C289" i="8"/>
  <c r="B289" i="8"/>
  <c r="A289" i="8"/>
  <c r="K288" i="8"/>
  <c r="J288" i="8"/>
  <c r="I288" i="8"/>
  <c r="F288" i="8"/>
  <c r="E288" i="8"/>
  <c r="D288" i="8"/>
  <c r="C288" i="8"/>
  <c r="B288" i="8"/>
  <c r="A288" i="8"/>
  <c r="K287" i="8"/>
  <c r="J287" i="8"/>
  <c r="I287" i="8"/>
  <c r="F287" i="8"/>
  <c r="E287" i="8"/>
  <c r="D287" i="8"/>
  <c r="C287" i="8"/>
  <c r="B287" i="8"/>
  <c r="A287" i="8"/>
  <c r="K286" i="8"/>
  <c r="J286" i="8"/>
  <c r="I286" i="8"/>
  <c r="F286" i="8"/>
  <c r="E286" i="8"/>
  <c r="D286" i="8"/>
  <c r="C286" i="8"/>
  <c r="B286" i="8"/>
  <c r="A286" i="8"/>
  <c r="K285" i="8"/>
  <c r="J285" i="8"/>
  <c r="I285" i="8"/>
  <c r="F285" i="8"/>
  <c r="E285" i="8"/>
  <c r="D285" i="8"/>
  <c r="C285" i="8"/>
  <c r="B285" i="8"/>
  <c r="A285" i="8"/>
  <c r="K284" i="8"/>
  <c r="J284" i="8"/>
  <c r="I284" i="8"/>
  <c r="F284" i="8"/>
  <c r="E284" i="8"/>
  <c r="D284" i="8"/>
  <c r="C284" i="8"/>
  <c r="B284" i="8"/>
  <c r="A284" i="8"/>
  <c r="K283" i="8"/>
  <c r="J283" i="8"/>
  <c r="I283" i="8"/>
  <c r="F283" i="8"/>
  <c r="E283" i="8"/>
  <c r="D283" i="8"/>
  <c r="C283" i="8"/>
  <c r="B283" i="8"/>
  <c r="A283" i="8"/>
  <c r="K282" i="8"/>
  <c r="J282" i="8"/>
  <c r="I282" i="8"/>
  <c r="F282" i="8"/>
  <c r="E282" i="8"/>
  <c r="D282" i="8"/>
  <c r="C282" i="8"/>
  <c r="B282" i="8"/>
  <c r="A282" i="8"/>
  <c r="K281" i="8"/>
  <c r="J281" i="8"/>
  <c r="I281" i="8"/>
  <c r="F281" i="8"/>
  <c r="E281" i="8"/>
  <c r="D281" i="8"/>
  <c r="C281" i="8"/>
  <c r="B281" i="8"/>
  <c r="A281" i="8"/>
  <c r="K280" i="8"/>
  <c r="J280" i="8"/>
  <c r="I280" i="8"/>
  <c r="F280" i="8"/>
  <c r="E280" i="8"/>
  <c r="D280" i="8"/>
  <c r="C280" i="8"/>
  <c r="B280" i="8"/>
  <c r="A280" i="8"/>
  <c r="K279" i="8"/>
  <c r="J279" i="8"/>
  <c r="I279" i="8"/>
  <c r="F279" i="8"/>
  <c r="E279" i="8"/>
  <c r="D279" i="8"/>
  <c r="C279" i="8"/>
  <c r="B279" i="8"/>
  <c r="A279" i="8"/>
  <c r="K278" i="8"/>
  <c r="J278" i="8"/>
  <c r="I278" i="8"/>
  <c r="F278" i="8"/>
  <c r="E278" i="8"/>
  <c r="D278" i="8"/>
  <c r="C278" i="8"/>
  <c r="B278" i="8"/>
  <c r="A278" i="8"/>
  <c r="K277" i="8"/>
  <c r="J277" i="8"/>
  <c r="I277" i="8"/>
  <c r="F277" i="8"/>
  <c r="E277" i="8"/>
  <c r="D277" i="8"/>
  <c r="C277" i="8"/>
  <c r="B277" i="8"/>
  <c r="A277" i="8"/>
  <c r="K276" i="8"/>
  <c r="J276" i="8"/>
  <c r="I276" i="8"/>
  <c r="F276" i="8"/>
  <c r="E276" i="8"/>
  <c r="D276" i="8"/>
  <c r="C276" i="8"/>
  <c r="B276" i="8"/>
  <c r="A276" i="8"/>
  <c r="K275" i="8"/>
  <c r="J275" i="8"/>
  <c r="I275" i="8"/>
  <c r="F275" i="8"/>
  <c r="E275" i="8"/>
  <c r="D275" i="8"/>
  <c r="C275" i="8"/>
  <c r="B275" i="8"/>
  <c r="A275" i="8"/>
  <c r="K274" i="8"/>
  <c r="J274" i="8"/>
  <c r="I274" i="8"/>
  <c r="F274" i="8"/>
  <c r="E274" i="8"/>
  <c r="D274" i="8"/>
  <c r="C274" i="8"/>
  <c r="B274" i="8"/>
  <c r="A274" i="8"/>
  <c r="K273" i="8"/>
  <c r="J273" i="8"/>
  <c r="I273" i="8"/>
  <c r="F273" i="8"/>
  <c r="E273" i="8"/>
  <c r="D273" i="8"/>
  <c r="C273" i="8"/>
  <c r="B273" i="8"/>
  <c r="A273" i="8"/>
  <c r="K272" i="8"/>
  <c r="J272" i="8"/>
  <c r="I272" i="8"/>
  <c r="F272" i="8"/>
  <c r="E272" i="8"/>
  <c r="D272" i="8"/>
  <c r="C272" i="8"/>
  <c r="B272" i="8"/>
  <c r="A272" i="8"/>
  <c r="K271" i="8"/>
  <c r="J271" i="8"/>
  <c r="I271" i="8"/>
  <c r="F271" i="8"/>
  <c r="E271" i="8"/>
  <c r="D271" i="8"/>
  <c r="C271" i="8"/>
  <c r="B271" i="8"/>
  <c r="A271" i="8"/>
  <c r="K270" i="8"/>
  <c r="J270" i="8"/>
  <c r="I270" i="8"/>
  <c r="F270" i="8"/>
  <c r="E270" i="8"/>
  <c r="D270" i="8"/>
  <c r="C270" i="8"/>
  <c r="B270" i="8"/>
  <c r="A270" i="8"/>
  <c r="K269" i="8"/>
  <c r="J269" i="8"/>
  <c r="I269" i="8"/>
  <c r="F269" i="8"/>
  <c r="E269" i="8"/>
  <c r="D269" i="8"/>
  <c r="C269" i="8"/>
  <c r="B269" i="8"/>
  <c r="A269" i="8"/>
  <c r="K268" i="8"/>
  <c r="J268" i="8"/>
  <c r="I268" i="8"/>
  <c r="F268" i="8"/>
  <c r="E268" i="8"/>
  <c r="D268" i="8"/>
  <c r="C268" i="8"/>
  <c r="B268" i="8"/>
  <c r="A268" i="8"/>
  <c r="K267" i="8"/>
  <c r="J267" i="8"/>
  <c r="I267" i="8"/>
  <c r="F267" i="8"/>
  <c r="E267" i="8"/>
  <c r="D267" i="8"/>
  <c r="C267" i="8"/>
  <c r="B267" i="8"/>
  <c r="A267" i="8"/>
  <c r="K266" i="8"/>
  <c r="J266" i="8"/>
  <c r="I266" i="8"/>
  <c r="F266" i="8"/>
  <c r="E266" i="8"/>
  <c r="D266" i="8"/>
  <c r="C266" i="8"/>
  <c r="B266" i="8"/>
  <c r="A266" i="8"/>
  <c r="K265" i="8"/>
  <c r="J265" i="8"/>
  <c r="I265" i="8"/>
  <c r="F265" i="8"/>
  <c r="E265" i="8"/>
  <c r="D265" i="8"/>
  <c r="C265" i="8"/>
  <c r="B265" i="8"/>
  <c r="A265" i="8"/>
  <c r="K264" i="8"/>
  <c r="J264" i="8"/>
  <c r="I264" i="8"/>
  <c r="F264" i="8"/>
  <c r="E264" i="8"/>
  <c r="D264" i="8"/>
  <c r="C264" i="8"/>
  <c r="B264" i="8"/>
  <c r="A264" i="8"/>
  <c r="K263" i="8"/>
  <c r="J263" i="8"/>
  <c r="I263" i="8"/>
  <c r="F263" i="8"/>
  <c r="E263" i="8"/>
  <c r="D263" i="8"/>
  <c r="C263" i="8"/>
  <c r="B263" i="8"/>
  <c r="A263" i="8"/>
  <c r="K262" i="8"/>
  <c r="J262" i="8"/>
  <c r="I262" i="8"/>
  <c r="F262" i="8"/>
  <c r="E262" i="8"/>
  <c r="D262" i="8"/>
  <c r="C262" i="8"/>
  <c r="B262" i="8"/>
  <c r="A262" i="8"/>
  <c r="K261" i="8"/>
  <c r="J261" i="8"/>
  <c r="I261" i="8"/>
  <c r="F261" i="8"/>
  <c r="E261" i="8"/>
  <c r="D261" i="8"/>
  <c r="C261" i="8"/>
  <c r="B261" i="8"/>
  <c r="A261" i="8"/>
  <c r="K260" i="8"/>
  <c r="J260" i="8"/>
  <c r="I260" i="8"/>
  <c r="F260" i="8"/>
  <c r="E260" i="8"/>
  <c r="D260" i="8"/>
  <c r="C260" i="8"/>
  <c r="B260" i="8"/>
  <c r="A260" i="8"/>
  <c r="K259" i="8"/>
  <c r="J259" i="8"/>
  <c r="I259" i="8"/>
  <c r="F259" i="8"/>
  <c r="E259" i="8"/>
  <c r="D259" i="8"/>
  <c r="C259" i="8"/>
  <c r="B259" i="8"/>
  <c r="A259" i="8"/>
  <c r="K258" i="8"/>
  <c r="J258" i="8"/>
  <c r="I258" i="8"/>
  <c r="F258" i="8"/>
  <c r="E258" i="8"/>
  <c r="D258" i="8"/>
  <c r="C258" i="8"/>
  <c r="B258" i="8"/>
  <c r="A258" i="8"/>
  <c r="K257" i="8"/>
  <c r="J257" i="8"/>
  <c r="I257" i="8"/>
  <c r="F257" i="8"/>
  <c r="E257" i="8"/>
  <c r="D257" i="8"/>
  <c r="C257" i="8"/>
  <c r="B257" i="8"/>
  <c r="A257" i="8"/>
  <c r="K256" i="8"/>
  <c r="J256" i="8"/>
  <c r="I256" i="8"/>
  <c r="F256" i="8"/>
  <c r="E256" i="8"/>
  <c r="D256" i="8"/>
  <c r="C256" i="8"/>
  <c r="B256" i="8"/>
  <c r="A256" i="8"/>
  <c r="K255" i="8"/>
  <c r="J255" i="8"/>
  <c r="I255" i="8"/>
  <c r="F255" i="8"/>
  <c r="E255" i="8"/>
  <c r="D255" i="8"/>
  <c r="C255" i="8"/>
  <c r="B255" i="8"/>
  <c r="A255" i="8"/>
  <c r="K254" i="8"/>
  <c r="J254" i="8"/>
  <c r="I254" i="8"/>
  <c r="F254" i="8"/>
  <c r="E254" i="8"/>
  <c r="D254" i="8"/>
  <c r="C254" i="8"/>
  <c r="B254" i="8"/>
  <c r="A254" i="8"/>
  <c r="K253" i="8"/>
  <c r="J253" i="8"/>
  <c r="I253" i="8"/>
  <c r="F253" i="8"/>
  <c r="E253" i="8"/>
  <c r="D253" i="8"/>
  <c r="C253" i="8"/>
  <c r="B253" i="8"/>
  <c r="A253" i="8"/>
  <c r="K252" i="8"/>
  <c r="J252" i="8"/>
  <c r="I252" i="8"/>
  <c r="F252" i="8"/>
  <c r="E252" i="8"/>
  <c r="D252" i="8"/>
  <c r="C252" i="8"/>
  <c r="B252" i="8"/>
  <c r="A252" i="8"/>
  <c r="K251" i="8"/>
  <c r="J251" i="8"/>
  <c r="I251" i="8"/>
  <c r="F251" i="8"/>
  <c r="E251" i="8"/>
  <c r="D251" i="8"/>
  <c r="C251" i="8"/>
  <c r="B251" i="8"/>
  <c r="A251" i="8"/>
  <c r="K250" i="8"/>
  <c r="J250" i="8"/>
  <c r="I250" i="8"/>
  <c r="F250" i="8"/>
  <c r="E250" i="8"/>
  <c r="D250" i="8"/>
  <c r="C250" i="8"/>
  <c r="B250" i="8"/>
  <c r="A250" i="8"/>
  <c r="K249" i="8"/>
  <c r="J249" i="8"/>
  <c r="I249" i="8"/>
  <c r="F249" i="8"/>
  <c r="E249" i="8"/>
  <c r="D249" i="8"/>
  <c r="C249" i="8"/>
  <c r="B249" i="8"/>
  <c r="A249" i="8"/>
  <c r="K248" i="8"/>
  <c r="J248" i="8"/>
  <c r="I248" i="8"/>
  <c r="F248" i="8"/>
  <c r="E248" i="8"/>
  <c r="D248" i="8"/>
  <c r="C248" i="8"/>
  <c r="B248" i="8"/>
  <c r="A248" i="8"/>
  <c r="K247" i="8"/>
  <c r="J247" i="8"/>
  <c r="I247" i="8"/>
  <c r="F247" i="8"/>
  <c r="E247" i="8"/>
  <c r="D247" i="8"/>
  <c r="C247" i="8"/>
  <c r="B247" i="8"/>
  <c r="A247" i="8"/>
  <c r="K246" i="8"/>
  <c r="J246" i="8"/>
  <c r="I246" i="8"/>
  <c r="F246" i="8"/>
  <c r="E246" i="8"/>
  <c r="D246" i="8"/>
  <c r="C246" i="8"/>
  <c r="B246" i="8"/>
  <c r="A246" i="8"/>
  <c r="K245" i="8"/>
  <c r="J245" i="8"/>
  <c r="I245" i="8"/>
  <c r="F245" i="8"/>
  <c r="E245" i="8"/>
  <c r="D245" i="8"/>
  <c r="C245" i="8"/>
  <c r="B245" i="8"/>
  <c r="A245" i="8"/>
  <c r="K244" i="8"/>
  <c r="J244" i="8"/>
  <c r="I244" i="8"/>
  <c r="F244" i="8"/>
  <c r="E244" i="8"/>
  <c r="D244" i="8"/>
  <c r="C244" i="8"/>
  <c r="B244" i="8"/>
  <c r="A244" i="8"/>
  <c r="K243" i="8"/>
  <c r="J243" i="8"/>
  <c r="I243" i="8"/>
  <c r="F243" i="8"/>
  <c r="E243" i="8"/>
  <c r="D243" i="8"/>
  <c r="C243" i="8"/>
  <c r="B243" i="8"/>
  <c r="A243" i="8"/>
  <c r="K242" i="8"/>
  <c r="J242" i="8"/>
  <c r="I242" i="8"/>
  <c r="F242" i="8"/>
  <c r="E242" i="8"/>
  <c r="D242" i="8"/>
  <c r="C242" i="8"/>
  <c r="B242" i="8"/>
  <c r="A242" i="8"/>
  <c r="K241" i="8"/>
  <c r="J241" i="8"/>
  <c r="I241" i="8"/>
  <c r="F241" i="8"/>
  <c r="E241" i="8"/>
  <c r="D241" i="8"/>
  <c r="C241" i="8"/>
  <c r="B241" i="8"/>
  <c r="A241" i="8"/>
  <c r="K240" i="8"/>
  <c r="J240" i="8"/>
  <c r="I240" i="8"/>
  <c r="F240" i="8"/>
  <c r="E240" i="8"/>
  <c r="D240" i="8"/>
  <c r="C240" i="8"/>
  <c r="B240" i="8"/>
  <c r="A240" i="8"/>
  <c r="K239" i="8"/>
  <c r="J239" i="8"/>
  <c r="I239" i="8"/>
  <c r="F239" i="8"/>
  <c r="E239" i="8"/>
  <c r="D239" i="8"/>
  <c r="C239" i="8"/>
  <c r="B239" i="8"/>
  <c r="A239" i="8"/>
  <c r="K238" i="8"/>
  <c r="J238" i="8"/>
  <c r="I238" i="8"/>
  <c r="F238" i="8"/>
  <c r="E238" i="8"/>
  <c r="D238" i="8"/>
  <c r="C238" i="8"/>
  <c r="B238" i="8"/>
  <c r="A238" i="8"/>
  <c r="K237" i="8"/>
  <c r="J237" i="8"/>
  <c r="I237" i="8"/>
  <c r="F237" i="8"/>
  <c r="E237" i="8"/>
  <c r="D237" i="8"/>
  <c r="C237" i="8"/>
  <c r="B237" i="8"/>
  <c r="A237" i="8"/>
  <c r="K236" i="8"/>
  <c r="J236" i="8"/>
  <c r="I236" i="8"/>
  <c r="F236" i="8"/>
  <c r="E236" i="8"/>
  <c r="D236" i="8"/>
  <c r="C236" i="8"/>
  <c r="B236" i="8"/>
  <c r="A236" i="8"/>
  <c r="K235" i="8"/>
  <c r="J235" i="8"/>
  <c r="I235" i="8"/>
  <c r="F235" i="8"/>
  <c r="E235" i="8"/>
  <c r="D235" i="8"/>
  <c r="C235" i="8"/>
  <c r="B235" i="8"/>
  <c r="A235" i="8"/>
  <c r="K234" i="8"/>
  <c r="J234" i="8"/>
  <c r="I234" i="8"/>
  <c r="F234" i="8"/>
  <c r="E234" i="8"/>
  <c r="D234" i="8"/>
  <c r="C234" i="8"/>
  <c r="B234" i="8"/>
  <c r="A234" i="8"/>
  <c r="K233" i="8"/>
  <c r="J233" i="8"/>
  <c r="I233" i="8"/>
  <c r="F233" i="8"/>
  <c r="E233" i="8"/>
  <c r="D233" i="8"/>
  <c r="C233" i="8"/>
  <c r="B233" i="8"/>
  <c r="A233" i="8"/>
  <c r="K232" i="8"/>
  <c r="J232" i="8"/>
  <c r="I232" i="8"/>
  <c r="F232" i="8"/>
  <c r="E232" i="8"/>
  <c r="D232" i="8"/>
  <c r="C232" i="8"/>
  <c r="B232" i="8"/>
  <c r="A232" i="8"/>
  <c r="K231" i="8"/>
  <c r="J231" i="8"/>
  <c r="I231" i="8"/>
  <c r="F231" i="8"/>
  <c r="E231" i="8"/>
  <c r="D231" i="8"/>
  <c r="C231" i="8"/>
  <c r="B231" i="8"/>
  <c r="A231" i="8"/>
  <c r="K230" i="8"/>
  <c r="J230" i="8"/>
  <c r="I230" i="8"/>
  <c r="F230" i="8"/>
  <c r="E230" i="8"/>
  <c r="D230" i="8"/>
  <c r="C230" i="8"/>
  <c r="B230" i="8"/>
  <c r="A230" i="8"/>
  <c r="K229" i="8"/>
  <c r="J229" i="8"/>
  <c r="I229" i="8"/>
  <c r="F229" i="8"/>
  <c r="E229" i="8"/>
  <c r="D229" i="8"/>
  <c r="C229" i="8"/>
  <c r="B229" i="8"/>
  <c r="A229" i="8"/>
  <c r="K228" i="8"/>
  <c r="J228" i="8"/>
  <c r="I228" i="8"/>
  <c r="F228" i="8"/>
  <c r="E228" i="8"/>
  <c r="D228" i="8"/>
  <c r="C228" i="8"/>
  <c r="B228" i="8"/>
  <c r="A228" i="8"/>
  <c r="K227" i="8"/>
  <c r="J227" i="8"/>
  <c r="I227" i="8"/>
  <c r="F227" i="8"/>
  <c r="E227" i="8"/>
  <c r="D227" i="8"/>
  <c r="C227" i="8"/>
  <c r="B227" i="8"/>
  <c r="A227" i="8"/>
  <c r="K226" i="8"/>
  <c r="J226" i="8"/>
  <c r="I226" i="8"/>
  <c r="F226" i="8"/>
  <c r="E226" i="8"/>
  <c r="D226" i="8"/>
  <c r="C226" i="8"/>
  <c r="B226" i="8"/>
  <c r="A226" i="8"/>
  <c r="K225" i="8"/>
  <c r="J225" i="8"/>
  <c r="I225" i="8"/>
  <c r="F225" i="8"/>
  <c r="E225" i="8"/>
  <c r="D225" i="8"/>
  <c r="C225" i="8"/>
  <c r="B225" i="8"/>
  <c r="A225" i="8"/>
  <c r="K224" i="8"/>
  <c r="J224" i="8"/>
  <c r="I224" i="8"/>
  <c r="F224" i="8"/>
  <c r="E224" i="8"/>
  <c r="D224" i="8"/>
  <c r="C224" i="8"/>
  <c r="B224" i="8"/>
  <c r="A224" i="8"/>
  <c r="K223" i="8"/>
  <c r="J223" i="8"/>
  <c r="I223" i="8"/>
  <c r="F223" i="8"/>
  <c r="E223" i="8"/>
  <c r="D223" i="8"/>
  <c r="C223" i="8"/>
  <c r="B223" i="8"/>
  <c r="A223" i="8"/>
  <c r="K222" i="8"/>
  <c r="J222" i="8"/>
  <c r="I222" i="8"/>
  <c r="F222" i="8"/>
  <c r="E222" i="8"/>
  <c r="D222" i="8"/>
  <c r="C222" i="8"/>
  <c r="B222" i="8"/>
  <c r="A222" i="8"/>
  <c r="K221" i="8"/>
  <c r="J221" i="8"/>
  <c r="I221" i="8"/>
  <c r="F221" i="8"/>
  <c r="E221" i="8"/>
  <c r="D221" i="8"/>
  <c r="C221" i="8"/>
  <c r="B221" i="8"/>
  <c r="A221" i="8"/>
  <c r="K220" i="8"/>
  <c r="J220" i="8"/>
  <c r="I220" i="8"/>
  <c r="F220" i="8"/>
  <c r="E220" i="8"/>
  <c r="D220" i="8"/>
  <c r="C220" i="8"/>
  <c r="B220" i="8"/>
  <c r="A220" i="8"/>
  <c r="K219" i="8"/>
  <c r="J219" i="8"/>
  <c r="I219" i="8"/>
  <c r="F219" i="8"/>
  <c r="E219" i="8"/>
  <c r="D219" i="8"/>
  <c r="C219" i="8"/>
  <c r="B219" i="8"/>
  <c r="A219" i="8"/>
  <c r="K218" i="8"/>
  <c r="J218" i="8"/>
  <c r="I218" i="8"/>
  <c r="F218" i="8"/>
  <c r="E218" i="8"/>
  <c r="D218" i="8"/>
  <c r="C218" i="8"/>
  <c r="B218" i="8"/>
  <c r="A218" i="8"/>
  <c r="K217" i="8"/>
  <c r="J217" i="8"/>
  <c r="I217" i="8"/>
  <c r="F217" i="8"/>
  <c r="E217" i="8"/>
  <c r="D217" i="8"/>
  <c r="C217" i="8"/>
  <c r="B217" i="8"/>
  <c r="A217" i="8"/>
  <c r="K216" i="8"/>
  <c r="J216" i="8"/>
  <c r="I216" i="8"/>
  <c r="F216" i="8"/>
  <c r="E216" i="8"/>
  <c r="D216" i="8"/>
  <c r="C216" i="8"/>
  <c r="B216" i="8"/>
  <c r="A216" i="8"/>
  <c r="K215" i="8"/>
  <c r="J215" i="8"/>
  <c r="I215" i="8"/>
  <c r="F215" i="8"/>
  <c r="E215" i="8"/>
  <c r="D215" i="8"/>
  <c r="C215" i="8"/>
  <c r="B215" i="8"/>
  <c r="A215" i="8"/>
  <c r="K214" i="8"/>
  <c r="J214" i="8"/>
  <c r="I214" i="8"/>
  <c r="F214" i="8"/>
  <c r="E214" i="8"/>
  <c r="D214" i="8"/>
  <c r="C214" i="8"/>
  <c r="B214" i="8"/>
  <c r="A214" i="8"/>
  <c r="K213" i="8"/>
  <c r="J213" i="8"/>
  <c r="I213" i="8"/>
  <c r="F213" i="8"/>
  <c r="E213" i="8"/>
  <c r="D213" i="8"/>
  <c r="C213" i="8"/>
  <c r="B213" i="8"/>
  <c r="A213" i="8"/>
  <c r="K212" i="8"/>
  <c r="J212" i="8"/>
  <c r="I212" i="8"/>
  <c r="F212" i="8"/>
  <c r="E212" i="8"/>
  <c r="D212" i="8"/>
  <c r="C212" i="8"/>
  <c r="B212" i="8"/>
  <c r="A212" i="8"/>
  <c r="K211" i="8"/>
  <c r="J211" i="8"/>
  <c r="I211" i="8"/>
  <c r="F211" i="8"/>
  <c r="E211" i="8"/>
  <c r="D211" i="8"/>
  <c r="C211" i="8"/>
  <c r="B211" i="8"/>
  <c r="A211" i="8"/>
  <c r="K210" i="8"/>
  <c r="J210" i="8"/>
  <c r="I210" i="8"/>
  <c r="F210" i="8"/>
  <c r="E210" i="8"/>
  <c r="D210" i="8"/>
  <c r="C210" i="8"/>
  <c r="B210" i="8"/>
  <c r="A210" i="8"/>
  <c r="K209" i="8"/>
  <c r="J209" i="8"/>
  <c r="I209" i="8"/>
  <c r="F209" i="8"/>
  <c r="E209" i="8"/>
  <c r="D209" i="8"/>
  <c r="C209" i="8"/>
  <c r="B209" i="8"/>
  <c r="A209" i="8"/>
  <c r="K208" i="8"/>
  <c r="J208" i="8"/>
  <c r="I208" i="8"/>
  <c r="F208" i="8"/>
  <c r="E208" i="8"/>
  <c r="D208" i="8"/>
  <c r="C208" i="8"/>
  <c r="B208" i="8"/>
  <c r="A208" i="8"/>
  <c r="K207" i="8"/>
  <c r="J207" i="8"/>
  <c r="I207" i="8"/>
  <c r="F207" i="8"/>
  <c r="E207" i="8"/>
  <c r="D207" i="8"/>
  <c r="C207" i="8"/>
  <c r="B207" i="8"/>
  <c r="A207" i="8"/>
  <c r="K206" i="8"/>
  <c r="J206" i="8"/>
  <c r="I206" i="8"/>
  <c r="F206" i="8"/>
  <c r="E206" i="8"/>
  <c r="D206" i="8"/>
  <c r="C206" i="8"/>
  <c r="B206" i="8"/>
  <c r="A206" i="8"/>
  <c r="K205" i="8"/>
  <c r="J205" i="8"/>
  <c r="I205" i="8"/>
  <c r="F205" i="8"/>
  <c r="E205" i="8"/>
  <c r="D205" i="8"/>
  <c r="C205" i="8"/>
  <c r="B205" i="8"/>
  <c r="A205" i="8"/>
  <c r="K204" i="8"/>
  <c r="J204" i="8"/>
  <c r="I204" i="8"/>
  <c r="F204" i="8"/>
  <c r="E204" i="8"/>
  <c r="D204" i="8"/>
  <c r="C204" i="8"/>
  <c r="B204" i="8"/>
  <c r="A204" i="8"/>
  <c r="K203" i="8"/>
  <c r="J203" i="8"/>
  <c r="I203" i="8"/>
  <c r="F203" i="8"/>
  <c r="E203" i="8"/>
  <c r="D203" i="8"/>
  <c r="C203" i="8"/>
  <c r="B203" i="8"/>
  <c r="A203" i="8"/>
  <c r="K202" i="8"/>
  <c r="J202" i="8"/>
  <c r="I202" i="8"/>
  <c r="F202" i="8"/>
  <c r="E202" i="8"/>
  <c r="D202" i="8"/>
  <c r="C202" i="8"/>
  <c r="B202" i="8"/>
  <c r="A202" i="8"/>
  <c r="K201" i="8"/>
  <c r="J201" i="8"/>
  <c r="I201" i="8"/>
  <c r="F201" i="8"/>
  <c r="E201" i="8"/>
  <c r="D201" i="8"/>
  <c r="C201" i="8"/>
  <c r="B201" i="8"/>
  <c r="A201" i="8"/>
  <c r="K200" i="8"/>
  <c r="J200" i="8"/>
  <c r="I200" i="8"/>
  <c r="F200" i="8"/>
  <c r="E200" i="8"/>
  <c r="D200" i="8"/>
  <c r="C200" i="8"/>
  <c r="B200" i="8"/>
  <c r="A200" i="8"/>
  <c r="K199" i="8"/>
  <c r="J199" i="8"/>
  <c r="I199" i="8"/>
  <c r="F199" i="8"/>
  <c r="E199" i="8"/>
  <c r="D199" i="8"/>
  <c r="C199" i="8"/>
  <c r="B199" i="8"/>
  <c r="A199" i="8"/>
  <c r="K198" i="8"/>
  <c r="J198" i="8"/>
  <c r="I198" i="8"/>
  <c r="F198" i="8"/>
  <c r="E198" i="8"/>
  <c r="D198" i="8"/>
  <c r="C198" i="8"/>
  <c r="B198" i="8"/>
  <c r="A198" i="8"/>
  <c r="K197" i="8"/>
  <c r="J197" i="8"/>
  <c r="I197" i="8"/>
  <c r="F197" i="8"/>
  <c r="E197" i="8"/>
  <c r="D197" i="8"/>
  <c r="C197" i="8"/>
  <c r="B197" i="8"/>
  <c r="A197" i="8"/>
  <c r="K196" i="8"/>
  <c r="J196" i="8"/>
  <c r="I196" i="8"/>
  <c r="F196" i="8"/>
  <c r="E196" i="8"/>
  <c r="D196" i="8"/>
  <c r="C196" i="8"/>
  <c r="B196" i="8"/>
  <c r="A196" i="8"/>
  <c r="K195" i="8"/>
  <c r="J195" i="8"/>
  <c r="I195" i="8"/>
  <c r="F195" i="8"/>
  <c r="E195" i="8"/>
  <c r="D195" i="8"/>
  <c r="C195" i="8"/>
  <c r="B195" i="8"/>
  <c r="A195" i="8"/>
  <c r="K194" i="8"/>
  <c r="J194" i="8"/>
  <c r="I194" i="8"/>
  <c r="F194" i="8"/>
  <c r="E194" i="8"/>
  <c r="D194" i="8"/>
  <c r="C194" i="8"/>
  <c r="B194" i="8"/>
  <c r="A194" i="8"/>
  <c r="K193" i="8"/>
  <c r="J193" i="8"/>
  <c r="I193" i="8"/>
  <c r="F193" i="8"/>
  <c r="E193" i="8"/>
  <c r="D193" i="8"/>
  <c r="C193" i="8"/>
  <c r="B193" i="8"/>
  <c r="A193" i="8"/>
  <c r="K192" i="8"/>
  <c r="J192" i="8"/>
  <c r="I192" i="8"/>
  <c r="F192" i="8"/>
  <c r="E192" i="8"/>
  <c r="D192" i="8"/>
  <c r="C192" i="8"/>
  <c r="B192" i="8"/>
  <c r="A192" i="8"/>
  <c r="K191" i="8"/>
  <c r="J191" i="8"/>
  <c r="I191" i="8"/>
  <c r="F191" i="8"/>
  <c r="E191" i="8"/>
  <c r="D191" i="8"/>
  <c r="C191" i="8"/>
  <c r="B191" i="8"/>
  <c r="A191" i="8"/>
  <c r="K190" i="8"/>
  <c r="J190" i="8"/>
  <c r="I190" i="8"/>
  <c r="F190" i="8"/>
  <c r="E190" i="8"/>
  <c r="D190" i="8"/>
  <c r="C190" i="8"/>
  <c r="B190" i="8"/>
  <c r="A190" i="8"/>
  <c r="K189" i="8"/>
  <c r="J189" i="8"/>
  <c r="I189" i="8"/>
  <c r="F189" i="8"/>
  <c r="E189" i="8"/>
  <c r="D189" i="8"/>
  <c r="C189" i="8"/>
  <c r="B189" i="8"/>
  <c r="A189" i="8"/>
  <c r="K188" i="8"/>
  <c r="J188" i="8"/>
  <c r="I188" i="8"/>
  <c r="F188" i="8"/>
  <c r="E188" i="8"/>
  <c r="D188" i="8"/>
  <c r="C188" i="8"/>
  <c r="B188" i="8"/>
  <c r="A188" i="8"/>
  <c r="K187" i="8"/>
  <c r="J187" i="8"/>
  <c r="I187" i="8"/>
  <c r="F187" i="8"/>
  <c r="E187" i="8"/>
  <c r="D187" i="8"/>
  <c r="C187" i="8"/>
  <c r="B187" i="8"/>
  <c r="A187" i="8"/>
  <c r="K186" i="8"/>
  <c r="J186" i="8"/>
  <c r="I186" i="8"/>
  <c r="F186" i="8"/>
  <c r="E186" i="8"/>
  <c r="D186" i="8"/>
  <c r="C186" i="8"/>
  <c r="B186" i="8"/>
  <c r="A186" i="8"/>
  <c r="K185" i="8"/>
  <c r="J185" i="8"/>
  <c r="I185" i="8"/>
  <c r="F185" i="8"/>
  <c r="E185" i="8"/>
  <c r="D185" i="8"/>
  <c r="C185" i="8"/>
  <c r="B185" i="8"/>
  <c r="A185" i="8"/>
  <c r="K184" i="8"/>
  <c r="J184" i="8"/>
  <c r="I184" i="8"/>
  <c r="F184" i="8"/>
  <c r="E184" i="8"/>
  <c r="D184" i="8"/>
  <c r="C184" i="8"/>
  <c r="B184" i="8"/>
  <c r="A184" i="8"/>
  <c r="K183" i="8"/>
  <c r="J183" i="8"/>
  <c r="I183" i="8"/>
  <c r="F183" i="8"/>
  <c r="E183" i="8"/>
  <c r="D183" i="8"/>
  <c r="C183" i="8"/>
  <c r="B183" i="8"/>
  <c r="A183" i="8"/>
  <c r="K182" i="8"/>
  <c r="J182" i="8"/>
  <c r="I182" i="8"/>
  <c r="F182" i="8"/>
  <c r="E182" i="8"/>
  <c r="D182" i="8"/>
  <c r="C182" i="8"/>
  <c r="B182" i="8"/>
  <c r="A182" i="8"/>
  <c r="K181" i="8"/>
  <c r="J181" i="8"/>
  <c r="I181" i="8"/>
  <c r="F181" i="8"/>
  <c r="E181" i="8"/>
  <c r="D181" i="8"/>
  <c r="C181" i="8"/>
  <c r="B181" i="8"/>
  <c r="A181" i="8"/>
  <c r="K180" i="8"/>
  <c r="J180" i="8"/>
  <c r="I180" i="8"/>
  <c r="F180" i="8"/>
  <c r="E180" i="8"/>
  <c r="D180" i="8"/>
  <c r="C180" i="8"/>
  <c r="B180" i="8"/>
  <c r="A180" i="8"/>
  <c r="K179" i="8"/>
  <c r="J179" i="8"/>
  <c r="I179" i="8"/>
  <c r="F179" i="8"/>
  <c r="E179" i="8"/>
  <c r="D179" i="8"/>
  <c r="C179" i="8"/>
  <c r="B179" i="8"/>
  <c r="A179" i="8"/>
  <c r="K178" i="8"/>
  <c r="J178" i="8"/>
  <c r="I178" i="8"/>
  <c r="F178" i="8"/>
  <c r="E178" i="8"/>
  <c r="D178" i="8"/>
  <c r="C178" i="8"/>
  <c r="B178" i="8"/>
  <c r="A178" i="8"/>
  <c r="K177" i="8"/>
  <c r="J177" i="8"/>
  <c r="I177" i="8"/>
  <c r="F177" i="8"/>
  <c r="E177" i="8"/>
  <c r="D177" i="8"/>
  <c r="C177" i="8"/>
  <c r="B177" i="8"/>
  <c r="A177" i="8"/>
  <c r="K176" i="8"/>
  <c r="J176" i="8"/>
  <c r="I176" i="8"/>
  <c r="F176" i="8"/>
  <c r="E176" i="8"/>
  <c r="D176" i="8"/>
  <c r="C176" i="8"/>
  <c r="B176" i="8"/>
  <c r="A176" i="8"/>
  <c r="K175" i="8"/>
  <c r="J175" i="8"/>
  <c r="I175" i="8"/>
  <c r="F175" i="8"/>
  <c r="E175" i="8"/>
  <c r="D175" i="8"/>
  <c r="C175" i="8"/>
  <c r="B175" i="8"/>
  <c r="A175" i="8"/>
  <c r="K174" i="8"/>
  <c r="J174" i="8"/>
  <c r="I174" i="8"/>
  <c r="F174" i="8"/>
  <c r="E174" i="8"/>
  <c r="D174" i="8"/>
  <c r="C174" i="8"/>
  <c r="B174" i="8"/>
  <c r="A174" i="8"/>
  <c r="K173" i="8"/>
  <c r="J173" i="8"/>
  <c r="I173" i="8"/>
  <c r="F173" i="8"/>
  <c r="E173" i="8"/>
  <c r="D173" i="8"/>
  <c r="C173" i="8"/>
  <c r="B173" i="8"/>
  <c r="A173" i="8"/>
  <c r="K172" i="8"/>
  <c r="J172" i="8"/>
  <c r="I172" i="8"/>
  <c r="F172" i="8"/>
  <c r="E172" i="8"/>
  <c r="D172" i="8"/>
  <c r="C172" i="8"/>
  <c r="B172" i="8"/>
  <c r="A172" i="8"/>
  <c r="K171" i="8"/>
  <c r="J171" i="8"/>
  <c r="I171" i="8"/>
  <c r="F171" i="8"/>
  <c r="E171" i="8"/>
  <c r="D171" i="8"/>
  <c r="C171" i="8"/>
  <c r="B171" i="8"/>
  <c r="A171" i="8"/>
  <c r="K170" i="8"/>
  <c r="J170" i="8"/>
  <c r="I170" i="8"/>
  <c r="F170" i="8"/>
  <c r="E170" i="8"/>
  <c r="D170" i="8"/>
  <c r="C170" i="8"/>
  <c r="B170" i="8"/>
  <c r="A170" i="8"/>
  <c r="K169" i="8"/>
  <c r="J169" i="8"/>
  <c r="I169" i="8"/>
  <c r="F169" i="8"/>
  <c r="E169" i="8"/>
  <c r="D169" i="8"/>
  <c r="C169" i="8"/>
  <c r="B169" i="8"/>
  <c r="A169" i="8"/>
  <c r="K168" i="8"/>
  <c r="J168" i="8"/>
  <c r="I168" i="8"/>
  <c r="F168" i="8"/>
  <c r="E168" i="8"/>
  <c r="D168" i="8"/>
  <c r="C168" i="8"/>
  <c r="B168" i="8"/>
  <c r="A168" i="8"/>
  <c r="K167" i="8"/>
  <c r="J167" i="8"/>
  <c r="I167" i="8"/>
  <c r="F167" i="8"/>
  <c r="E167" i="8"/>
  <c r="D167" i="8"/>
  <c r="C167" i="8"/>
  <c r="B167" i="8"/>
  <c r="A167" i="8"/>
  <c r="K166" i="8"/>
  <c r="J166" i="8"/>
  <c r="I166" i="8"/>
  <c r="F166" i="8"/>
  <c r="E166" i="8"/>
  <c r="D166" i="8"/>
  <c r="C166" i="8"/>
  <c r="B166" i="8"/>
  <c r="A166" i="8"/>
  <c r="K165" i="8"/>
  <c r="J165" i="8"/>
  <c r="I165" i="8"/>
  <c r="F165" i="8"/>
  <c r="E165" i="8"/>
  <c r="D165" i="8"/>
  <c r="C165" i="8"/>
  <c r="B165" i="8"/>
  <c r="A165" i="8"/>
  <c r="K164" i="8"/>
  <c r="J164" i="8"/>
  <c r="I164" i="8"/>
  <c r="F164" i="8"/>
  <c r="E164" i="8"/>
  <c r="D164" i="8"/>
  <c r="C164" i="8"/>
  <c r="B164" i="8"/>
  <c r="A164" i="8"/>
  <c r="K163" i="8"/>
  <c r="J163" i="8"/>
  <c r="I163" i="8"/>
  <c r="F163" i="8"/>
  <c r="E163" i="8"/>
  <c r="D163" i="8"/>
  <c r="C163" i="8"/>
  <c r="B163" i="8"/>
  <c r="A163" i="8"/>
  <c r="K162" i="8"/>
  <c r="J162" i="8"/>
  <c r="I162" i="8"/>
  <c r="F162" i="8"/>
  <c r="E162" i="8"/>
  <c r="D162" i="8"/>
  <c r="C162" i="8"/>
  <c r="B162" i="8"/>
  <c r="A162" i="8"/>
  <c r="K161" i="8"/>
  <c r="J161" i="8"/>
  <c r="I161" i="8"/>
  <c r="F161" i="8"/>
  <c r="E161" i="8"/>
  <c r="D161" i="8"/>
  <c r="C161" i="8"/>
  <c r="B161" i="8"/>
  <c r="A161" i="8"/>
  <c r="K160" i="8"/>
  <c r="J160" i="8"/>
  <c r="I160" i="8"/>
  <c r="F160" i="8"/>
  <c r="E160" i="8"/>
  <c r="D160" i="8"/>
  <c r="C160" i="8"/>
  <c r="B160" i="8"/>
  <c r="A160" i="8"/>
  <c r="K159" i="8"/>
  <c r="J159" i="8"/>
  <c r="I159" i="8"/>
  <c r="F159" i="8"/>
  <c r="E159" i="8"/>
  <c r="D159" i="8"/>
  <c r="C159" i="8"/>
  <c r="B159" i="8"/>
  <c r="A159" i="8"/>
  <c r="K158" i="8"/>
  <c r="J158" i="8"/>
  <c r="I158" i="8"/>
  <c r="F158" i="8"/>
  <c r="E158" i="8"/>
  <c r="D158" i="8"/>
  <c r="C158" i="8"/>
  <c r="B158" i="8"/>
  <c r="A158" i="8"/>
  <c r="K157" i="8"/>
  <c r="J157" i="8"/>
  <c r="I157" i="8"/>
  <c r="F157" i="8"/>
  <c r="E157" i="8"/>
  <c r="D157" i="8"/>
  <c r="C157" i="8"/>
  <c r="B157" i="8"/>
  <c r="A157" i="8"/>
  <c r="K156" i="8"/>
  <c r="J156" i="8"/>
  <c r="I156" i="8"/>
  <c r="F156" i="8"/>
  <c r="E156" i="8"/>
  <c r="D156" i="8"/>
  <c r="C156" i="8"/>
  <c r="B156" i="8"/>
  <c r="A156" i="8"/>
  <c r="K155" i="8"/>
  <c r="J155" i="8"/>
  <c r="I155" i="8"/>
  <c r="F155" i="8"/>
  <c r="E155" i="8"/>
  <c r="D155" i="8"/>
  <c r="C155" i="8"/>
  <c r="B155" i="8"/>
  <c r="A155" i="8"/>
  <c r="K154" i="8"/>
  <c r="J154" i="8"/>
  <c r="I154" i="8"/>
  <c r="F154" i="8"/>
  <c r="E154" i="8"/>
  <c r="D154" i="8"/>
  <c r="C154" i="8"/>
  <c r="B154" i="8"/>
  <c r="A154" i="8"/>
  <c r="K153" i="8"/>
  <c r="J153" i="8"/>
  <c r="I153" i="8"/>
  <c r="F153" i="8"/>
  <c r="E153" i="8"/>
  <c r="D153" i="8"/>
  <c r="C153" i="8"/>
  <c r="B153" i="8"/>
  <c r="A153" i="8"/>
  <c r="K152" i="8"/>
  <c r="J152" i="8"/>
  <c r="I152" i="8"/>
  <c r="F152" i="8"/>
  <c r="E152" i="8"/>
  <c r="D152" i="8"/>
  <c r="C152" i="8"/>
  <c r="B152" i="8"/>
  <c r="A152" i="8"/>
  <c r="K151" i="8"/>
  <c r="J151" i="8"/>
  <c r="I151" i="8"/>
  <c r="F151" i="8"/>
  <c r="E151" i="8"/>
  <c r="D151" i="8"/>
  <c r="C151" i="8"/>
  <c r="B151" i="8"/>
  <c r="A151" i="8"/>
  <c r="K150" i="8"/>
  <c r="J150" i="8"/>
  <c r="I150" i="8"/>
  <c r="F150" i="8"/>
  <c r="E150" i="8"/>
  <c r="D150" i="8"/>
  <c r="C150" i="8"/>
  <c r="B150" i="8"/>
  <c r="A150" i="8"/>
  <c r="K149" i="8"/>
  <c r="J149" i="8"/>
  <c r="I149" i="8"/>
  <c r="F149" i="8"/>
  <c r="E149" i="8"/>
  <c r="D149" i="8"/>
  <c r="C149" i="8"/>
  <c r="B149" i="8"/>
  <c r="A149" i="8"/>
  <c r="K148" i="8"/>
  <c r="J148" i="8"/>
  <c r="I148" i="8"/>
  <c r="F148" i="8"/>
  <c r="E148" i="8"/>
  <c r="D148" i="8"/>
  <c r="C148" i="8"/>
  <c r="B148" i="8"/>
  <c r="A148" i="8"/>
  <c r="K147" i="8"/>
  <c r="J147" i="8"/>
  <c r="I147" i="8"/>
  <c r="F147" i="8"/>
  <c r="E147" i="8"/>
  <c r="D147" i="8"/>
  <c r="C147" i="8"/>
  <c r="B147" i="8"/>
  <c r="A147" i="8"/>
  <c r="K146" i="8"/>
  <c r="J146" i="8"/>
  <c r="I146" i="8"/>
  <c r="F146" i="8"/>
  <c r="E146" i="8"/>
  <c r="D146" i="8"/>
  <c r="C146" i="8"/>
  <c r="B146" i="8"/>
  <c r="A146" i="8"/>
  <c r="K145" i="8"/>
  <c r="J145" i="8"/>
  <c r="I145" i="8"/>
  <c r="F145" i="8"/>
  <c r="E145" i="8"/>
  <c r="D145" i="8"/>
  <c r="C145" i="8"/>
  <c r="B145" i="8"/>
  <c r="A145" i="8"/>
  <c r="K144" i="8"/>
  <c r="J144" i="8"/>
  <c r="I144" i="8"/>
  <c r="F144" i="8"/>
  <c r="E144" i="8"/>
  <c r="D144" i="8"/>
  <c r="C144" i="8"/>
  <c r="B144" i="8"/>
  <c r="A144" i="8"/>
  <c r="K143" i="8"/>
  <c r="J143" i="8"/>
  <c r="I143" i="8"/>
  <c r="F143" i="8"/>
  <c r="E143" i="8"/>
  <c r="D143" i="8"/>
  <c r="C143" i="8"/>
  <c r="B143" i="8"/>
  <c r="A143" i="8"/>
  <c r="K142" i="8"/>
  <c r="J142" i="8"/>
  <c r="I142" i="8"/>
  <c r="F142" i="8"/>
  <c r="E142" i="8"/>
  <c r="D142" i="8"/>
  <c r="C142" i="8"/>
  <c r="B142" i="8"/>
  <c r="A142" i="8"/>
  <c r="K141" i="8"/>
  <c r="J141" i="8"/>
  <c r="I141" i="8"/>
  <c r="F141" i="8"/>
  <c r="E141" i="8"/>
  <c r="D141" i="8"/>
  <c r="C141" i="8"/>
  <c r="B141" i="8"/>
  <c r="A141" i="8"/>
  <c r="K140" i="8"/>
  <c r="J140" i="8"/>
  <c r="I140" i="8"/>
  <c r="F140" i="8"/>
  <c r="E140" i="8"/>
  <c r="D140" i="8"/>
  <c r="C140" i="8"/>
  <c r="B140" i="8"/>
  <c r="A140" i="8"/>
  <c r="K139" i="8"/>
  <c r="J139" i="8"/>
  <c r="I139" i="8"/>
  <c r="F139" i="8"/>
  <c r="E139" i="8"/>
  <c r="D139" i="8"/>
  <c r="C139" i="8"/>
  <c r="B139" i="8"/>
  <c r="A139" i="8"/>
  <c r="K138" i="8"/>
  <c r="J138" i="8"/>
  <c r="I138" i="8"/>
  <c r="F138" i="8"/>
  <c r="E138" i="8"/>
  <c r="D138" i="8"/>
  <c r="C138" i="8"/>
  <c r="B138" i="8"/>
  <c r="A138" i="8"/>
  <c r="K137" i="8"/>
  <c r="J137" i="8"/>
  <c r="I137" i="8"/>
  <c r="F137" i="8"/>
  <c r="E137" i="8"/>
  <c r="D137" i="8"/>
  <c r="C137" i="8"/>
  <c r="B137" i="8"/>
  <c r="A137" i="8"/>
  <c r="K136" i="8"/>
  <c r="J136" i="8"/>
  <c r="I136" i="8"/>
  <c r="F136" i="8"/>
  <c r="E136" i="8"/>
  <c r="D136" i="8"/>
  <c r="C136" i="8"/>
  <c r="B136" i="8"/>
  <c r="A136" i="8"/>
  <c r="K135" i="8"/>
  <c r="J135" i="8"/>
  <c r="I135" i="8"/>
  <c r="F135" i="8"/>
  <c r="E135" i="8"/>
  <c r="D135" i="8"/>
  <c r="C135" i="8"/>
  <c r="B135" i="8"/>
  <c r="A135" i="8"/>
  <c r="K134" i="8"/>
  <c r="J134" i="8"/>
  <c r="I134" i="8"/>
  <c r="F134" i="8"/>
  <c r="E134" i="8"/>
  <c r="D134" i="8"/>
  <c r="C134" i="8"/>
  <c r="B134" i="8"/>
  <c r="A134" i="8"/>
  <c r="K133" i="8"/>
  <c r="J133" i="8"/>
  <c r="I133" i="8"/>
  <c r="F133" i="8"/>
  <c r="E133" i="8"/>
  <c r="D133" i="8"/>
  <c r="C133" i="8"/>
  <c r="B133" i="8"/>
  <c r="A133" i="8"/>
  <c r="K132" i="8"/>
  <c r="J132" i="8"/>
  <c r="I132" i="8"/>
  <c r="F132" i="8"/>
  <c r="E132" i="8"/>
  <c r="D132" i="8"/>
  <c r="C132" i="8"/>
  <c r="B132" i="8"/>
  <c r="A132" i="8"/>
  <c r="K131" i="8"/>
  <c r="J131" i="8"/>
  <c r="I131" i="8"/>
  <c r="F131" i="8"/>
  <c r="E131" i="8"/>
  <c r="D131" i="8"/>
  <c r="C131" i="8"/>
  <c r="B131" i="8"/>
  <c r="A131" i="8"/>
  <c r="K130" i="8"/>
  <c r="J130" i="8"/>
  <c r="I130" i="8"/>
  <c r="F130" i="8"/>
  <c r="E130" i="8"/>
  <c r="D130" i="8"/>
  <c r="C130" i="8"/>
  <c r="B130" i="8"/>
  <c r="A130" i="8"/>
  <c r="K129" i="8"/>
  <c r="J129" i="8"/>
  <c r="I129" i="8"/>
  <c r="F129" i="8"/>
  <c r="E129" i="8"/>
  <c r="D129" i="8"/>
  <c r="C129" i="8"/>
  <c r="B129" i="8"/>
  <c r="A129" i="8"/>
  <c r="K128" i="8"/>
  <c r="J128" i="8"/>
  <c r="I128" i="8"/>
  <c r="F128" i="8"/>
  <c r="E128" i="8"/>
  <c r="D128" i="8"/>
  <c r="C128" i="8"/>
  <c r="B128" i="8"/>
  <c r="A128" i="8"/>
  <c r="K127" i="8"/>
  <c r="J127" i="8"/>
  <c r="I127" i="8"/>
  <c r="F127" i="8"/>
  <c r="E127" i="8"/>
  <c r="D127" i="8"/>
  <c r="C127" i="8"/>
  <c r="B127" i="8"/>
  <c r="A127" i="8"/>
  <c r="K126" i="8"/>
  <c r="J126" i="8"/>
  <c r="I126" i="8"/>
  <c r="F126" i="8"/>
  <c r="E126" i="8"/>
  <c r="D126" i="8"/>
  <c r="C126" i="8"/>
  <c r="B126" i="8"/>
  <c r="A126" i="8"/>
  <c r="K125" i="8"/>
  <c r="J125" i="8"/>
  <c r="I125" i="8"/>
  <c r="F125" i="8"/>
  <c r="E125" i="8"/>
  <c r="D125" i="8"/>
  <c r="C125" i="8"/>
  <c r="B125" i="8"/>
  <c r="A125" i="8"/>
  <c r="K124" i="8"/>
  <c r="J124" i="8"/>
  <c r="I124" i="8"/>
  <c r="F124" i="8"/>
  <c r="E124" i="8"/>
  <c r="D124" i="8"/>
  <c r="C124" i="8"/>
  <c r="B124" i="8"/>
  <c r="A124" i="8"/>
  <c r="K123" i="8"/>
  <c r="J123" i="8"/>
  <c r="I123" i="8"/>
  <c r="F123" i="8"/>
  <c r="E123" i="8"/>
  <c r="D123" i="8"/>
  <c r="C123" i="8"/>
  <c r="B123" i="8"/>
  <c r="A123" i="8"/>
  <c r="K122" i="8"/>
  <c r="J122" i="8"/>
  <c r="I122" i="8"/>
  <c r="F122" i="8"/>
  <c r="E122" i="8"/>
  <c r="D122" i="8"/>
  <c r="C122" i="8"/>
  <c r="B122" i="8"/>
  <c r="A122" i="8"/>
  <c r="K121" i="8"/>
  <c r="J121" i="8"/>
  <c r="I121" i="8"/>
  <c r="F121" i="8"/>
  <c r="E121" i="8"/>
  <c r="D121" i="8"/>
  <c r="C121" i="8"/>
  <c r="B121" i="8"/>
  <c r="A121" i="8"/>
  <c r="K120" i="8"/>
  <c r="J120" i="8"/>
  <c r="I120" i="8"/>
  <c r="F120" i="8"/>
  <c r="E120" i="8"/>
  <c r="D120" i="8"/>
  <c r="C120" i="8"/>
  <c r="B120" i="8"/>
  <c r="A120" i="8"/>
  <c r="K119" i="8"/>
  <c r="J119" i="8"/>
  <c r="I119" i="8"/>
  <c r="F119" i="8"/>
  <c r="E119" i="8"/>
  <c r="D119" i="8"/>
  <c r="C119" i="8"/>
  <c r="B119" i="8"/>
  <c r="A119" i="8"/>
  <c r="K118" i="8"/>
  <c r="J118" i="8"/>
  <c r="I118" i="8"/>
  <c r="F118" i="8"/>
  <c r="E118" i="8"/>
  <c r="D118" i="8"/>
  <c r="C118" i="8"/>
  <c r="B118" i="8"/>
  <c r="A118" i="8"/>
  <c r="K117" i="8"/>
  <c r="J117" i="8"/>
  <c r="I117" i="8"/>
  <c r="F117" i="8"/>
  <c r="E117" i="8"/>
  <c r="D117" i="8"/>
  <c r="C117" i="8"/>
  <c r="B117" i="8"/>
  <c r="A117" i="8"/>
  <c r="K116" i="8"/>
  <c r="J116" i="8"/>
  <c r="I116" i="8"/>
  <c r="F116" i="8"/>
  <c r="E116" i="8"/>
  <c r="D116" i="8"/>
  <c r="C116" i="8"/>
  <c r="B116" i="8"/>
  <c r="A116" i="8"/>
  <c r="K115" i="8"/>
  <c r="J115" i="8"/>
  <c r="I115" i="8"/>
  <c r="F115" i="8"/>
  <c r="E115" i="8"/>
  <c r="D115" i="8"/>
  <c r="C115" i="8"/>
  <c r="B115" i="8"/>
  <c r="A115" i="8"/>
  <c r="K114" i="8"/>
  <c r="J114" i="8"/>
  <c r="I114" i="8"/>
  <c r="F114" i="8"/>
  <c r="E114" i="8"/>
  <c r="D114" i="8"/>
  <c r="C114" i="8"/>
  <c r="B114" i="8"/>
  <c r="A114" i="8"/>
  <c r="K113" i="8"/>
  <c r="J113" i="8"/>
  <c r="I113" i="8"/>
  <c r="F113" i="8"/>
  <c r="E113" i="8"/>
  <c r="D113" i="8"/>
  <c r="C113" i="8"/>
  <c r="B113" i="8"/>
  <c r="A113" i="8"/>
  <c r="K112" i="8"/>
  <c r="J112" i="8"/>
  <c r="I112" i="8"/>
  <c r="F112" i="8"/>
  <c r="E112" i="8"/>
  <c r="D112" i="8"/>
  <c r="C112" i="8"/>
  <c r="B112" i="8"/>
  <c r="A112" i="8"/>
  <c r="K111" i="8"/>
  <c r="J111" i="8"/>
  <c r="I111" i="8"/>
  <c r="F111" i="8"/>
  <c r="E111" i="8"/>
  <c r="D111" i="8"/>
  <c r="C111" i="8"/>
  <c r="B111" i="8"/>
  <c r="A111" i="8"/>
  <c r="K110" i="8"/>
  <c r="J110" i="8"/>
  <c r="I110" i="8"/>
  <c r="F110" i="8"/>
  <c r="E110" i="8"/>
  <c r="D110" i="8"/>
  <c r="C110" i="8"/>
  <c r="B110" i="8"/>
  <c r="A110" i="8"/>
  <c r="K109" i="8"/>
  <c r="J109" i="8"/>
  <c r="I109" i="8"/>
  <c r="F109" i="8"/>
  <c r="E109" i="8"/>
  <c r="D109" i="8"/>
  <c r="C109" i="8"/>
  <c r="B109" i="8"/>
  <c r="A109" i="8"/>
  <c r="K108" i="8"/>
  <c r="J108" i="8"/>
  <c r="I108" i="8"/>
  <c r="F108" i="8"/>
  <c r="E108" i="8"/>
  <c r="D108" i="8"/>
  <c r="C108" i="8"/>
  <c r="B108" i="8"/>
  <c r="A108" i="8"/>
  <c r="K107" i="8"/>
  <c r="J107" i="8"/>
  <c r="I107" i="8"/>
  <c r="F107" i="8"/>
  <c r="E107" i="8"/>
  <c r="D107" i="8"/>
  <c r="C107" i="8"/>
  <c r="B107" i="8"/>
  <c r="A107" i="8"/>
  <c r="K106" i="8"/>
  <c r="J106" i="8"/>
  <c r="I106" i="8"/>
  <c r="F106" i="8"/>
  <c r="E106" i="8"/>
  <c r="D106" i="8"/>
  <c r="C106" i="8"/>
  <c r="B106" i="8"/>
  <c r="A106" i="8"/>
  <c r="K105" i="8"/>
  <c r="J105" i="8"/>
  <c r="I105" i="8"/>
  <c r="F105" i="8"/>
  <c r="E105" i="8"/>
  <c r="D105" i="8"/>
  <c r="C105" i="8"/>
  <c r="B105" i="8"/>
  <c r="A105" i="8"/>
  <c r="K104" i="8"/>
  <c r="J104" i="8"/>
  <c r="I104" i="8"/>
  <c r="F104" i="8"/>
  <c r="E104" i="8"/>
  <c r="D104" i="8"/>
  <c r="C104" i="8"/>
  <c r="B104" i="8"/>
  <c r="A104" i="8"/>
  <c r="K103" i="8"/>
  <c r="J103" i="8"/>
  <c r="I103" i="8"/>
  <c r="F103" i="8"/>
  <c r="E103" i="8"/>
  <c r="D103" i="8"/>
  <c r="C103" i="8"/>
  <c r="B103" i="8"/>
  <c r="A103" i="8"/>
  <c r="K102" i="8"/>
  <c r="J102" i="8"/>
  <c r="I102" i="8"/>
  <c r="F102" i="8"/>
  <c r="E102" i="8"/>
  <c r="D102" i="8"/>
  <c r="C102" i="8"/>
  <c r="B102" i="8"/>
  <c r="A102" i="8"/>
  <c r="K101" i="8"/>
  <c r="J101" i="8"/>
  <c r="I101" i="8"/>
  <c r="F101" i="8"/>
  <c r="E101" i="8"/>
  <c r="D101" i="8"/>
  <c r="C101" i="8"/>
  <c r="B101" i="8"/>
  <c r="A101" i="8"/>
  <c r="K100" i="8"/>
  <c r="J100" i="8"/>
  <c r="I100" i="8"/>
  <c r="F100" i="8"/>
  <c r="E100" i="8"/>
  <c r="D100" i="8"/>
  <c r="C100" i="8"/>
  <c r="B100" i="8"/>
  <c r="A100" i="8"/>
  <c r="K99" i="8"/>
  <c r="J99" i="8"/>
  <c r="I99" i="8"/>
  <c r="F99" i="8"/>
  <c r="E99" i="8"/>
  <c r="D99" i="8"/>
  <c r="C99" i="8"/>
  <c r="B99" i="8"/>
  <c r="A99" i="8"/>
  <c r="K98" i="8"/>
  <c r="J98" i="8"/>
  <c r="I98" i="8"/>
  <c r="F98" i="8"/>
  <c r="E98" i="8"/>
  <c r="D98" i="8"/>
  <c r="C98" i="8"/>
  <c r="B98" i="8"/>
  <c r="A98" i="8"/>
  <c r="K97" i="8"/>
  <c r="J97" i="8"/>
  <c r="I97" i="8"/>
  <c r="F97" i="8"/>
  <c r="E97" i="8"/>
  <c r="D97" i="8"/>
  <c r="C97" i="8"/>
  <c r="B97" i="8"/>
  <c r="A97" i="8"/>
  <c r="K96" i="8"/>
  <c r="J96" i="8"/>
  <c r="I96" i="8"/>
  <c r="F96" i="8"/>
  <c r="E96" i="8"/>
  <c r="D96" i="8"/>
  <c r="C96" i="8"/>
  <c r="B96" i="8"/>
  <c r="A96" i="8"/>
  <c r="K95" i="8"/>
  <c r="J95" i="8"/>
  <c r="I95" i="8"/>
  <c r="F95" i="8"/>
  <c r="E95" i="8"/>
  <c r="D95" i="8"/>
  <c r="C95" i="8"/>
  <c r="B95" i="8"/>
  <c r="A95" i="8"/>
  <c r="K94" i="8"/>
  <c r="J94" i="8"/>
  <c r="I94" i="8"/>
  <c r="F94" i="8"/>
  <c r="E94" i="8"/>
  <c r="D94" i="8"/>
  <c r="C94" i="8"/>
  <c r="B94" i="8"/>
  <c r="A94" i="8"/>
  <c r="K93" i="8"/>
  <c r="J93" i="8"/>
  <c r="I93" i="8"/>
  <c r="F93" i="8"/>
  <c r="E93" i="8"/>
  <c r="D93" i="8"/>
  <c r="C93" i="8"/>
  <c r="B93" i="8"/>
  <c r="A93" i="8"/>
  <c r="K92" i="8"/>
  <c r="J92" i="8"/>
  <c r="I92" i="8"/>
  <c r="F92" i="8"/>
  <c r="E92" i="8"/>
  <c r="D92" i="8"/>
  <c r="C92" i="8"/>
  <c r="B92" i="8"/>
  <c r="A92" i="8"/>
  <c r="K91" i="8"/>
  <c r="J91" i="8"/>
  <c r="I91" i="8"/>
  <c r="F91" i="8"/>
  <c r="E91" i="8"/>
  <c r="D91" i="8"/>
  <c r="C91" i="8"/>
  <c r="B91" i="8"/>
  <c r="A91" i="8"/>
  <c r="K90" i="8"/>
  <c r="J90" i="8"/>
  <c r="I90" i="8"/>
  <c r="F90" i="8"/>
  <c r="E90" i="8"/>
  <c r="D90" i="8"/>
  <c r="C90" i="8"/>
  <c r="B90" i="8"/>
  <c r="A90" i="8"/>
  <c r="K89" i="8"/>
  <c r="J89" i="8"/>
  <c r="I89" i="8"/>
  <c r="F89" i="8"/>
  <c r="E89" i="8"/>
  <c r="D89" i="8"/>
  <c r="C89" i="8"/>
  <c r="B89" i="8"/>
  <c r="A89" i="8"/>
  <c r="K88" i="8"/>
  <c r="J88" i="8"/>
  <c r="I88" i="8"/>
  <c r="F88" i="8"/>
  <c r="E88" i="8"/>
  <c r="D88" i="8"/>
  <c r="C88" i="8"/>
  <c r="B88" i="8"/>
  <c r="A88" i="8"/>
  <c r="K87" i="8"/>
  <c r="J87" i="8"/>
  <c r="I87" i="8"/>
  <c r="F87" i="8"/>
  <c r="E87" i="8"/>
  <c r="D87" i="8"/>
  <c r="C87" i="8"/>
  <c r="B87" i="8"/>
  <c r="A87" i="8"/>
  <c r="K86" i="8"/>
  <c r="J86" i="8"/>
  <c r="I86" i="8"/>
  <c r="F86" i="8"/>
  <c r="E86" i="8"/>
  <c r="D86" i="8"/>
  <c r="C86" i="8"/>
  <c r="B86" i="8"/>
  <c r="A86" i="8"/>
  <c r="K85" i="8"/>
  <c r="J85" i="8"/>
  <c r="I85" i="8"/>
  <c r="F85" i="8"/>
  <c r="E85" i="8"/>
  <c r="D85" i="8"/>
  <c r="C85" i="8"/>
  <c r="B85" i="8"/>
  <c r="A85" i="8"/>
  <c r="K84" i="8"/>
  <c r="J84" i="8"/>
  <c r="I84" i="8"/>
  <c r="F84" i="8"/>
  <c r="E84" i="8"/>
  <c r="D84" i="8"/>
  <c r="C84" i="8"/>
  <c r="B84" i="8"/>
  <c r="A84" i="8"/>
  <c r="K83" i="8"/>
  <c r="J83" i="8"/>
  <c r="I83" i="8"/>
  <c r="F83" i="8"/>
  <c r="E83" i="8"/>
  <c r="D83" i="8"/>
  <c r="C83" i="8"/>
  <c r="B83" i="8"/>
  <c r="A83" i="8"/>
  <c r="K82" i="8"/>
  <c r="J82" i="8"/>
  <c r="I82" i="8"/>
  <c r="F82" i="8"/>
  <c r="E82" i="8"/>
  <c r="D82" i="8"/>
  <c r="C82" i="8"/>
  <c r="B82" i="8"/>
  <c r="A82" i="8"/>
  <c r="K81" i="8"/>
  <c r="J81" i="8"/>
  <c r="I81" i="8"/>
  <c r="F81" i="8"/>
  <c r="E81" i="8"/>
  <c r="D81" i="8"/>
  <c r="C81" i="8"/>
  <c r="B81" i="8"/>
  <c r="A81" i="8"/>
  <c r="K80" i="8"/>
  <c r="J80" i="8"/>
  <c r="I80" i="8"/>
  <c r="F80" i="8"/>
  <c r="E80" i="8"/>
  <c r="D80" i="8"/>
  <c r="C80" i="8"/>
  <c r="B80" i="8"/>
  <c r="A80" i="8"/>
  <c r="K79" i="8"/>
  <c r="J79" i="8"/>
  <c r="I79" i="8"/>
  <c r="F79" i="8"/>
  <c r="E79" i="8"/>
  <c r="D79" i="8"/>
  <c r="C79" i="8"/>
  <c r="B79" i="8"/>
  <c r="A79" i="8"/>
  <c r="K78" i="8"/>
  <c r="J78" i="8"/>
  <c r="I78" i="8"/>
  <c r="F78" i="8"/>
  <c r="E78" i="8"/>
  <c r="D78" i="8"/>
  <c r="C78" i="8"/>
  <c r="B78" i="8"/>
  <c r="A78" i="8"/>
  <c r="K77" i="8"/>
  <c r="J77" i="8"/>
  <c r="I77" i="8"/>
  <c r="F77" i="8"/>
  <c r="E77" i="8"/>
  <c r="D77" i="8"/>
  <c r="C77" i="8"/>
  <c r="B77" i="8"/>
  <c r="A77" i="8"/>
  <c r="K76" i="8"/>
  <c r="J76" i="8"/>
  <c r="I76" i="8"/>
  <c r="F76" i="8"/>
  <c r="E76" i="8"/>
  <c r="D76" i="8"/>
  <c r="C76" i="8"/>
  <c r="B76" i="8"/>
  <c r="A76" i="8"/>
  <c r="K75" i="8"/>
  <c r="J75" i="8"/>
  <c r="I75" i="8"/>
  <c r="F75" i="8"/>
  <c r="E75" i="8"/>
  <c r="D75" i="8"/>
  <c r="C75" i="8"/>
  <c r="B75" i="8"/>
  <c r="A75" i="8"/>
  <c r="K74" i="8"/>
  <c r="J74" i="8"/>
  <c r="I74" i="8"/>
  <c r="F74" i="8"/>
  <c r="E74" i="8"/>
  <c r="D74" i="8"/>
  <c r="C74" i="8"/>
  <c r="B74" i="8"/>
  <c r="A74" i="8"/>
  <c r="K73" i="8"/>
  <c r="J73" i="8"/>
  <c r="I73" i="8"/>
  <c r="F73" i="8"/>
  <c r="E73" i="8"/>
  <c r="D73" i="8"/>
  <c r="C73" i="8"/>
  <c r="B73" i="8"/>
  <c r="A73" i="8"/>
  <c r="K72" i="8"/>
  <c r="J72" i="8"/>
  <c r="I72" i="8"/>
  <c r="F72" i="8"/>
  <c r="E72" i="8"/>
  <c r="D72" i="8"/>
  <c r="C72" i="8"/>
  <c r="B72" i="8"/>
  <c r="A72" i="8"/>
  <c r="K71" i="8"/>
  <c r="J71" i="8"/>
  <c r="I71" i="8"/>
  <c r="F71" i="8"/>
  <c r="E71" i="8"/>
  <c r="D71" i="8"/>
  <c r="C71" i="8"/>
  <c r="B71" i="8"/>
  <c r="A71" i="8"/>
  <c r="K70" i="8"/>
  <c r="J70" i="8"/>
  <c r="I70" i="8"/>
  <c r="F70" i="8"/>
  <c r="E70" i="8"/>
  <c r="D70" i="8"/>
  <c r="C70" i="8"/>
  <c r="B70" i="8"/>
  <c r="A70" i="8"/>
  <c r="K69" i="8"/>
  <c r="J69" i="8"/>
  <c r="I69" i="8"/>
  <c r="F69" i="8"/>
  <c r="E69" i="8"/>
  <c r="D69" i="8"/>
  <c r="C69" i="8"/>
  <c r="B69" i="8"/>
  <c r="A69" i="8"/>
  <c r="K68" i="8"/>
  <c r="J68" i="8"/>
  <c r="I68" i="8"/>
  <c r="F68" i="8"/>
  <c r="E68" i="8"/>
  <c r="D68" i="8"/>
  <c r="C68" i="8"/>
  <c r="B68" i="8"/>
  <c r="A68" i="8"/>
  <c r="K67" i="8"/>
  <c r="J67" i="8"/>
  <c r="I67" i="8"/>
  <c r="F67" i="8"/>
  <c r="E67" i="8"/>
  <c r="D67" i="8"/>
  <c r="C67" i="8"/>
  <c r="B67" i="8"/>
  <c r="A67" i="8"/>
  <c r="K66" i="8"/>
  <c r="J66" i="8"/>
  <c r="I66" i="8"/>
  <c r="F66" i="8"/>
  <c r="E66" i="8"/>
  <c r="D66" i="8"/>
  <c r="C66" i="8"/>
  <c r="B66" i="8"/>
  <c r="A66" i="8"/>
  <c r="K65" i="8"/>
  <c r="J65" i="8"/>
  <c r="I65" i="8"/>
  <c r="F65" i="8"/>
  <c r="E65" i="8"/>
  <c r="D65" i="8"/>
  <c r="C65" i="8"/>
  <c r="B65" i="8"/>
  <c r="A65" i="8"/>
  <c r="K64" i="8"/>
  <c r="J64" i="8"/>
  <c r="I64" i="8"/>
  <c r="F64" i="8"/>
  <c r="E64" i="8"/>
  <c r="D64" i="8"/>
  <c r="C64" i="8"/>
  <c r="B64" i="8"/>
  <c r="A64" i="8"/>
  <c r="K63" i="8"/>
  <c r="J63" i="8"/>
  <c r="I63" i="8"/>
  <c r="F63" i="8"/>
  <c r="E63" i="8"/>
  <c r="D63" i="8"/>
  <c r="C63" i="8"/>
  <c r="B63" i="8"/>
  <c r="A63" i="8"/>
  <c r="K62" i="8"/>
  <c r="J62" i="8"/>
  <c r="I62" i="8"/>
  <c r="F62" i="8"/>
  <c r="E62" i="8"/>
  <c r="D62" i="8"/>
  <c r="C62" i="8"/>
  <c r="B62" i="8"/>
  <c r="A62" i="8"/>
  <c r="K61" i="8"/>
  <c r="J61" i="8"/>
  <c r="I61" i="8"/>
  <c r="F61" i="8"/>
  <c r="E61" i="8"/>
  <c r="D61" i="8"/>
  <c r="C61" i="8"/>
  <c r="B61" i="8"/>
  <c r="A61" i="8"/>
  <c r="K60" i="8"/>
  <c r="J60" i="8"/>
  <c r="I60" i="8"/>
  <c r="F60" i="8"/>
  <c r="E60" i="8"/>
  <c r="D60" i="8"/>
  <c r="C60" i="8"/>
  <c r="B60" i="8"/>
  <c r="A60" i="8"/>
  <c r="K59" i="8"/>
  <c r="J59" i="8"/>
  <c r="I59" i="8"/>
  <c r="F59" i="8"/>
  <c r="E59" i="8"/>
  <c r="D59" i="8"/>
  <c r="C59" i="8"/>
  <c r="B59" i="8"/>
  <c r="A59" i="8"/>
  <c r="K58" i="8"/>
  <c r="J58" i="8"/>
  <c r="I58" i="8"/>
  <c r="F58" i="8"/>
  <c r="E58" i="8"/>
  <c r="D58" i="8"/>
  <c r="C58" i="8"/>
  <c r="B58" i="8"/>
  <c r="A58" i="8"/>
  <c r="K57" i="8"/>
  <c r="J57" i="8"/>
  <c r="I57" i="8"/>
  <c r="F57" i="8"/>
  <c r="E57" i="8"/>
  <c r="D57" i="8"/>
  <c r="C57" i="8"/>
  <c r="B57" i="8"/>
  <c r="A57" i="8"/>
  <c r="K56" i="8"/>
  <c r="J56" i="8"/>
  <c r="I56" i="8"/>
  <c r="F56" i="8"/>
  <c r="E56" i="8"/>
  <c r="D56" i="8"/>
  <c r="C56" i="8"/>
  <c r="B56" i="8"/>
  <c r="A56" i="8"/>
  <c r="K55" i="8"/>
  <c r="J55" i="8"/>
  <c r="I55" i="8"/>
  <c r="F55" i="8"/>
  <c r="E55" i="8"/>
  <c r="D55" i="8"/>
  <c r="C55" i="8"/>
  <c r="B55" i="8"/>
  <c r="A55" i="8"/>
  <c r="K54" i="8"/>
  <c r="J54" i="8"/>
  <c r="I54" i="8"/>
  <c r="F54" i="8"/>
  <c r="E54" i="8"/>
  <c r="D54" i="8"/>
  <c r="C54" i="8"/>
  <c r="B54" i="8"/>
  <c r="A54" i="8"/>
  <c r="K53" i="8"/>
  <c r="J53" i="8"/>
  <c r="I53" i="8"/>
  <c r="F53" i="8"/>
  <c r="E53" i="8"/>
  <c r="D53" i="8"/>
  <c r="C53" i="8"/>
  <c r="B53" i="8"/>
  <c r="A53" i="8"/>
  <c r="K52" i="8"/>
  <c r="J52" i="8"/>
  <c r="I52" i="8"/>
  <c r="F52" i="8"/>
  <c r="E52" i="8"/>
  <c r="D52" i="8"/>
  <c r="C52" i="8"/>
  <c r="B52" i="8"/>
  <c r="A52" i="8"/>
  <c r="K51" i="8"/>
  <c r="J51" i="8"/>
  <c r="I51" i="8"/>
  <c r="F51" i="8"/>
  <c r="E51" i="8"/>
  <c r="D51" i="8"/>
  <c r="C51" i="8"/>
  <c r="B51" i="8"/>
  <c r="A51" i="8"/>
  <c r="K50" i="8"/>
  <c r="J50" i="8"/>
  <c r="I50" i="8"/>
  <c r="F50" i="8"/>
  <c r="E50" i="8"/>
  <c r="D50" i="8"/>
  <c r="C50" i="8"/>
  <c r="B50" i="8"/>
  <c r="A50" i="8"/>
  <c r="K49" i="8"/>
  <c r="J49" i="8"/>
  <c r="I49" i="8"/>
  <c r="F49" i="8"/>
  <c r="E49" i="8"/>
  <c r="D49" i="8"/>
  <c r="C49" i="8"/>
  <c r="B49" i="8"/>
  <c r="A49" i="8"/>
  <c r="K48" i="8"/>
  <c r="J48" i="8"/>
  <c r="I48" i="8"/>
  <c r="F48" i="8"/>
  <c r="E48" i="8"/>
  <c r="D48" i="8"/>
  <c r="C48" i="8"/>
  <c r="B48" i="8"/>
  <c r="A48" i="8"/>
  <c r="K47" i="8"/>
  <c r="J47" i="8"/>
  <c r="I47" i="8"/>
  <c r="F47" i="8"/>
  <c r="E47" i="8"/>
  <c r="D47" i="8"/>
  <c r="C47" i="8"/>
  <c r="B47" i="8"/>
  <c r="A47" i="8"/>
  <c r="K46" i="8"/>
  <c r="J46" i="8"/>
  <c r="I46" i="8"/>
  <c r="F46" i="8"/>
  <c r="E46" i="8"/>
  <c r="D46" i="8"/>
  <c r="C46" i="8"/>
  <c r="B46" i="8"/>
  <c r="A46" i="8"/>
  <c r="K45" i="8"/>
  <c r="J45" i="8"/>
  <c r="I45" i="8"/>
  <c r="F45" i="8"/>
  <c r="E45" i="8"/>
  <c r="D45" i="8"/>
  <c r="C45" i="8"/>
  <c r="B45" i="8"/>
  <c r="A45" i="8"/>
  <c r="K44" i="8"/>
  <c r="J44" i="8"/>
  <c r="I44" i="8"/>
  <c r="F44" i="8"/>
  <c r="E44" i="8"/>
  <c r="D44" i="8"/>
  <c r="C44" i="8"/>
  <c r="B44" i="8"/>
  <c r="A44" i="8"/>
  <c r="K43" i="8"/>
  <c r="J43" i="8"/>
  <c r="I43" i="8"/>
  <c r="F43" i="8"/>
  <c r="E43" i="8"/>
  <c r="D43" i="8"/>
  <c r="C43" i="8"/>
  <c r="B43" i="8"/>
  <c r="A43" i="8"/>
  <c r="K42" i="8"/>
  <c r="J42" i="8"/>
  <c r="I42" i="8"/>
  <c r="F42" i="8"/>
  <c r="E42" i="8"/>
  <c r="D42" i="8"/>
  <c r="C42" i="8"/>
  <c r="B42" i="8"/>
  <c r="A42" i="8"/>
  <c r="K41" i="8"/>
  <c r="J41" i="8"/>
  <c r="I41" i="8"/>
  <c r="F41" i="8"/>
  <c r="E41" i="8"/>
  <c r="D41" i="8"/>
  <c r="C41" i="8"/>
  <c r="B41" i="8"/>
  <c r="A41" i="8"/>
  <c r="K40" i="8"/>
  <c r="J40" i="8"/>
  <c r="I40" i="8"/>
  <c r="F40" i="8"/>
  <c r="E40" i="8"/>
  <c r="D40" i="8"/>
  <c r="C40" i="8"/>
  <c r="B40" i="8"/>
  <c r="A40" i="8"/>
  <c r="K39" i="8"/>
  <c r="J39" i="8"/>
  <c r="I39" i="8"/>
  <c r="F39" i="8"/>
  <c r="E39" i="8"/>
  <c r="D39" i="8"/>
  <c r="C39" i="8"/>
  <c r="B39" i="8"/>
  <c r="A39" i="8"/>
  <c r="K38" i="8"/>
  <c r="J38" i="8"/>
  <c r="I38" i="8"/>
  <c r="F38" i="8"/>
  <c r="E38" i="8"/>
  <c r="D38" i="8"/>
  <c r="C38" i="8"/>
  <c r="B38" i="8"/>
  <c r="A38" i="8"/>
  <c r="K37" i="8"/>
  <c r="J37" i="8"/>
  <c r="I37" i="8"/>
  <c r="F37" i="8"/>
  <c r="E37" i="8"/>
  <c r="D37" i="8"/>
  <c r="C37" i="8"/>
  <c r="B37" i="8"/>
  <c r="A37" i="8"/>
  <c r="K36" i="8"/>
  <c r="J36" i="8"/>
  <c r="I36" i="8"/>
  <c r="F36" i="8"/>
  <c r="E36" i="8"/>
  <c r="D36" i="8"/>
  <c r="C36" i="8"/>
  <c r="B36" i="8"/>
  <c r="A36" i="8"/>
  <c r="K35" i="8"/>
  <c r="J35" i="8"/>
  <c r="I35" i="8"/>
  <c r="F35" i="8"/>
  <c r="E35" i="8"/>
  <c r="D35" i="8"/>
  <c r="C35" i="8"/>
  <c r="B35" i="8"/>
  <c r="A35" i="8"/>
  <c r="K34" i="8"/>
  <c r="J34" i="8"/>
  <c r="I34" i="8"/>
  <c r="F34" i="8"/>
  <c r="E34" i="8"/>
  <c r="D34" i="8"/>
  <c r="C34" i="8"/>
  <c r="B34" i="8"/>
  <c r="A34" i="8"/>
  <c r="K33" i="8"/>
  <c r="J33" i="8"/>
  <c r="I33" i="8"/>
  <c r="F33" i="8"/>
  <c r="E33" i="8"/>
  <c r="D33" i="8"/>
  <c r="C33" i="8"/>
  <c r="B33" i="8"/>
  <c r="A33" i="8"/>
  <c r="K32" i="8"/>
  <c r="J32" i="8"/>
  <c r="I32" i="8"/>
  <c r="F32" i="8"/>
  <c r="E32" i="8"/>
  <c r="D32" i="8"/>
  <c r="C32" i="8"/>
  <c r="B32" i="8"/>
  <c r="A32" i="8"/>
  <c r="K31" i="8"/>
  <c r="J31" i="8"/>
  <c r="I31" i="8"/>
  <c r="F31" i="8"/>
  <c r="E31" i="8"/>
  <c r="D31" i="8"/>
  <c r="C31" i="8"/>
  <c r="B31" i="8"/>
  <c r="A31" i="8"/>
  <c r="K30" i="8"/>
  <c r="J30" i="8"/>
  <c r="I30" i="8"/>
  <c r="F30" i="8"/>
  <c r="E30" i="8"/>
  <c r="D30" i="8"/>
  <c r="C30" i="8"/>
  <c r="B30" i="8"/>
  <c r="A30" i="8"/>
  <c r="K29" i="8"/>
  <c r="J29" i="8"/>
  <c r="I29" i="8"/>
  <c r="F29" i="8"/>
  <c r="E29" i="8"/>
  <c r="D29" i="8"/>
  <c r="C29" i="8"/>
  <c r="B29" i="8"/>
  <c r="A29" i="8"/>
  <c r="K28" i="8"/>
  <c r="J28" i="8"/>
  <c r="I28" i="8"/>
  <c r="F28" i="8"/>
  <c r="E28" i="8"/>
  <c r="D28" i="8"/>
  <c r="C28" i="8"/>
  <c r="B28" i="8"/>
  <c r="A28" i="8"/>
  <c r="K27" i="8"/>
  <c r="J27" i="8"/>
  <c r="I27" i="8"/>
  <c r="F27" i="8"/>
  <c r="E27" i="8"/>
  <c r="D27" i="8"/>
  <c r="C27" i="8"/>
  <c r="B27" i="8"/>
  <c r="A27" i="8"/>
  <c r="K26" i="8"/>
  <c r="J26" i="8"/>
  <c r="I26" i="8"/>
  <c r="F26" i="8"/>
  <c r="E26" i="8"/>
  <c r="D26" i="8"/>
  <c r="C26" i="8"/>
  <c r="B26" i="8"/>
  <c r="A26" i="8"/>
  <c r="K25" i="8"/>
  <c r="J25" i="8"/>
  <c r="I25" i="8"/>
  <c r="F25" i="8"/>
  <c r="E25" i="8"/>
  <c r="D25" i="8"/>
  <c r="C25" i="8"/>
  <c r="B25" i="8"/>
  <c r="A25" i="8"/>
  <c r="K24" i="8"/>
  <c r="J24" i="8"/>
  <c r="I24" i="8"/>
  <c r="F24" i="8"/>
  <c r="E24" i="8"/>
  <c r="D24" i="8"/>
  <c r="C24" i="8"/>
  <c r="B24" i="8"/>
  <c r="A24" i="8"/>
  <c r="K23" i="8"/>
  <c r="J23" i="8"/>
  <c r="I23" i="8"/>
  <c r="F23" i="8"/>
  <c r="E23" i="8"/>
  <c r="D23" i="8"/>
  <c r="C23" i="8"/>
  <c r="B23" i="8"/>
  <c r="A23" i="8"/>
  <c r="K22" i="8"/>
  <c r="J22" i="8"/>
  <c r="I22" i="8"/>
  <c r="F22" i="8"/>
  <c r="E22" i="8"/>
  <c r="D22" i="8"/>
  <c r="C22" i="8"/>
  <c r="B22" i="8"/>
  <c r="A22" i="8"/>
  <c r="K21" i="8"/>
  <c r="J21" i="8"/>
  <c r="I21" i="8"/>
  <c r="F21" i="8"/>
  <c r="E21" i="8"/>
  <c r="D21" i="8"/>
  <c r="C21" i="8"/>
  <c r="B21" i="8"/>
  <c r="A21" i="8"/>
  <c r="K20" i="8"/>
  <c r="J20" i="8"/>
  <c r="I20" i="8"/>
  <c r="F20" i="8"/>
  <c r="E20" i="8"/>
  <c r="D20" i="8"/>
  <c r="C20" i="8"/>
  <c r="B20" i="8"/>
  <c r="A20" i="8"/>
  <c r="K19" i="8"/>
  <c r="J19" i="8"/>
  <c r="I19" i="8"/>
  <c r="F19" i="8"/>
  <c r="E19" i="8"/>
  <c r="D19" i="8"/>
  <c r="C19" i="8"/>
  <c r="B19" i="8"/>
  <c r="A19" i="8"/>
  <c r="K18" i="8"/>
  <c r="J18" i="8"/>
  <c r="I18" i="8"/>
  <c r="F18" i="8"/>
  <c r="E18" i="8"/>
  <c r="D18" i="8"/>
  <c r="C18" i="8"/>
  <c r="B18" i="8"/>
  <c r="A18" i="8"/>
  <c r="K17" i="8"/>
  <c r="J17" i="8"/>
  <c r="I17" i="8"/>
  <c r="F17" i="8"/>
  <c r="E17" i="8"/>
  <c r="D17" i="8"/>
  <c r="C17" i="8"/>
  <c r="B17" i="8"/>
  <c r="A17" i="8"/>
  <c r="K16" i="8"/>
  <c r="J16" i="8"/>
  <c r="I16" i="8"/>
  <c r="F16" i="8"/>
  <c r="E16" i="8"/>
  <c r="D16" i="8"/>
  <c r="C16" i="8"/>
  <c r="B16" i="8"/>
  <c r="A16" i="8"/>
  <c r="K15" i="8"/>
  <c r="J15" i="8"/>
  <c r="I15" i="8"/>
  <c r="F15" i="8"/>
  <c r="E15" i="8"/>
  <c r="D15" i="8"/>
  <c r="C15" i="8"/>
  <c r="B15" i="8"/>
  <c r="A15" i="8"/>
  <c r="K14" i="8"/>
  <c r="J14" i="8"/>
  <c r="I14" i="8"/>
  <c r="F14" i="8"/>
  <c r="E14" i="8"/>
  <c r="D14" i="8"/>
  <c r="C14" i="8"/>
  <c r="B14" i="8"/>
  <c r="A14" i="8"/>
  <c r="K13" i="8"/>
  <c r="J13" i="8"/>
  <c r="I13" i="8"/>
  <c r="F13" i="8"/>
  <c r="E13" i="8"/>
  <c r="D13" i="8"/>
  <c r="C13" i="8"/>
  <c r="B13" i="8"/>
  <c r="A13" i="8"/>
  <c r="K12" i="8"/>
  <c r="J12" i="8"/>
  <c r="I12" i="8"/>
  <c r="F12" i="8"/>
  <c r="E12" i="8"/>
  <c r="D12" i="8"/>
  <c r="C12" i="8"/>
  <c r="B12" i="8"/>
  <c r="A12" i="8"/>
  <c r="K11" i="8"/>
  <c r="J11" i="8"/>
  <c r="I11" i="8"/>
  <c r="F11" i="8"/>
  <c r="E11" i="8"/>
  <c r="D11" i="8"/>
  <c r="C11" i="8"/>
  <c r="B11" i="8"/>
  <c r="A11" i="8"/>
  <c r="K10" i="8"/>
  <c r="J10" i="8"/>
  <c r="I10" i="8"/>
  <c r="F10" i="8"/>
  <c r="E10" i="8"/>
  <c r="D10" i="8"/>
  <c r="C10" i="8"/>
  <c r="B10" i="8"/>
  <c r="A10" i="8"/>
  <c r="K9" i="8"/>
  <c r="J9" i="8"/>
  <c r="I9" i="8"/>
  <c r="F9" i="8"/>
  <c r="E9" i="8"/>
  <c r="D9" i="8"/>
  <c r="C9" i="8"/>
  <c r="B9" i="8"/>
  <c r="A9" i="8"/>
  <c r="K8" i="8"/>
  <c r="J8" i="8"/>
  <c r="I8" i="8"/>
  <c r="F8" i="8"/>
  <c r="E8" i="8"/>
  <c r="D8" i="8"/>
  <c r="C8" i="8"/>
  <c r="B8" i="8"/>
  <c r="A8" i="8"/>
  <c r="K7" i="8"/>
  <c r="J7" i="8"/>
  <c r="I7" i="8"/>
  <c r="F7" i="8"/>
  <c r="E7" i="8"/>
  <c r="D7" i="8"/>
  <c r="C7" i="8"/>
  <c r="B7" i="8"/>
  <c r="A7" i="8"/>
  <c r="K6" i="8"/>
  <c r="J6" i="8"/>
  <c r="I6" i="8"/>
  <c r="F6" i="8"/>
  <c r="E6" i="8"/>
  <c r="D6" i="8"/>
  <c r="C6" i="8"/>
  <c r="B6" i="8"/>
  <c r="A6" i="8"/>
  <c r="K5" i="8"/>
  <c r="J5" i="8"/>
  <c r="I5" i="8"/>
  <c r="F5" i="8"/>
  <c r="E5" i="8"/>
  <c r="D5" i="8"/>
  <c r="C5" i="8"/>
  <c r="B5" i="8"/>
  <c r="A5" i="8"/>
  <c r="K4" i="8"/>
  <c r="J4" i="8"/>
  <c r="I4" i="8"/>
  <c r="F4" i="8"/>
  <c r="E4" i="8"/>
  <c r="D4" i="8"/>
  <c r="C4" i="8"/>
  <c r="B4" i="8"/>
  <c r="A4" i="8"/>
  <c r="K3" i="8"/>
  <c r="J3" i="8"/>
  <c r="I3" i="8"/>
  <c r="F3" i="8"/>
  <c r="E3" i="8"/>
  <c r="D3" i="8"/>
  <c r="C3" i="8"/>
  <c r="B3" i="8"/>
  <c r="A3" i="8"/>
  <c r="K2" i="8"/>
  <c r="J2" i="8"/>
  <c r="I2" i="8"/>
  <c r="L2" i="8" s="1" a="1"/>
  <c r="H5618" i="8"/>
  <c r="H5610" i="8"/>
  <c r="H5602" i="8"/>
  <c r="H5594" i="8"/>
  <c r="H5586" i="8"/>
  <c r="H5578" i="8"/>
  <c r="H5570" i="8"/>
  <c r="H5562" i="8"/>
  <c r="H5554" i="8"/>
  <c r="H5546" i="8"/>
  <c r="H5538" i="8"/>
  <c r="H5530" i="8"/>
  <c r="H5522" i="8"/>
  <c r="H5514" i="8"/>
  <c r="H5506" i="8"/>
  <c r="H5498" i="8"/>
  <c r="H5490" i="8"/>
  <c r="H5482" i="8"/>
  <c r="H5474" i="8"/>
  <c r="H5466" i="8"/>
  <c r="H5458" i="8"/>
  <c r="H5450" i="8"/>
  <c r="H5442" i="8"/>
  <c r="H5434" i="8"/>
  <c r="H5426" i="8"/>
  <c r="H5418" i="8"/>
  <c r="H5410" i="8"/>
  <c r="H5402" i="8"/>
  <c r="H5394" i="8"/>
  <c r="H5386" i="8"/>
  <c r="H5378" i="8"/>
  <c r="H5370" i="8"/>
  <c r="H5362" i="8"/>
  <c r="H5354" i="8"/>
  <c r="H5346" i="8"/>
  <c r="H5338" i="8"/>
  <c r="H5330" i="8"/>
  <c r="H5322" i="8"/>
  <c r="H5314" i="8"/>
  <c r="H5306" i="8"/>
  <c r="H5298" i="8"/>
  <c r="H5290" i="8"/>
  <c r="H5282" i="8"/>
  <c r="H5274" i="8"/>
  <c r="H5266" i="8"/>
  <c r="H5258" i="8"/>
  <c r="H5250" i="8"/>
  <c r="H5242" i="8"/>
  <c r="H5234" i="8"/>
  <c r="H5226" i="8"/>
  <c r="H5218" i="8"/>
  <c r="H5210" i="8"/>
  <c r="H5202" i="8"/>
  <c r="H5194" i="8"/>
  <c r="H5186" i="8"/>
  <c r="H5178" i="8"/>
  <c r="H5170" i="8"/>
  <c r="H5162" i="8"/>
  <c r="H5154" i="8"/>
  <c r="H5146" i="8"/>
  <c r="H5138" i="8"/>
  <c r="H5130" i="8"/>
  <c r="H5122" i="8"/>
  <c r="H5114" i="8"/>
  <c r="H5106" i="8"/>
  <c r="H5098" i="8"/>
  <c r="H5090" i="8"/>
  <c r="H5082" i="8"/>
  <c r="H5074" i="8"/>
  <c r="H5066" i="8"/>
  <c r="H5058" i="8"/>
  <c r="H5050" i="8"/>
  <c r="H5042" i="8"/>
  <c r="H5034" i="8"/>
  <c r="H5026" i="8"/>
  <c r="H5018" i="8"/>
  <c r="H5010" i="8"/>
  <c r="H5002" i="8"/>
  <c r="H4994" i="8"/>
  <c r="H4986" i="8"/>
  <c r="H4978" i="8"/>
  <c r="H4970" i="8"/>
  <c r="H4962" i="8"/>
  <c r="H4954" i="8"/>
  <c r="H4946" i="8"/>
  <c r="H4938" i="8"/>
  <c r="H4930" i="8"/>
  <c r="H4922" i="8"/>
  <c r="H4914" i="8"/>
  <c r="H4906" i="8"/>
  <c r="H4898" i="8"/>
  <c r="H4890" i="8"/>
  <c r="H4882" i="8"/>
  <c r="H4874" i="8"/>
  <c r="H4866" i="8"/>
  <c r="H4858" i="8"/>
  <c r="H4850" i="8"/>
  <c r="H4842" i="8"/>
  <c r="H4834" i="8"/>
  <c r="H4826" i="8"/>
  <c r="H4818" i="8"/>
  <c r="H4810" i="8"/>
  <c r="H4802" i="8"/>
  <c r="H4794" i="8"/>
  <c r="H4786" i="8"/>
  <c r="H4778" i="8"/>
  <c r="H4770" i="8"/>
  <c r="H4762" i="8"/>
  <c r="H4754" i="8"/>
  <c r="H4746" i="8"/>
  <c r="H4738" i="8"/>
  <c r="H4730" i="8"/>
  <c r="H4722" i="8"/>
  <c r="H4714" i="8"/>
  <c r="H4706" i="8"/>
  <c r="H4698" i="8"/>
  <c r="H4690" i="8"/>
  <c r="H4682" i="8"/>
  <c r="H4674" i="8"/>
  <c r="H4666" i="8"/>
  <c r="H4658" i="8"/>
  <c r="H4650" i="8"/>
  <c r="H4642" i="8"/>
  <c r="H4634" i="8"/>
  <c r="H4626" i="8"/>
  <c r="H4618" i="8"/>
  <c r="H4610" i="8"/>
  <c r="H4602" i="8"/>
  <c r="H4594" i="8"/>
  <c r="H4586" i="8"/>
  <c r="H4578" i="8"/>
  <c r="H4570" i="8"/>
  <c r="H4562" i="8"/>
  <c r="H4554" i="8"/>
  <c r="H4546" i="8"/>
  <c r="H4538" i="8"/>
  <c r="H4530" i="8"/>
  <c r="H4522" i="8"/>
  <c r="H4514" i="8"/>
  <c r="H4506" i="8"/>
  <c r="H4498" i="8"/>
  <c r="H4490" i="8"/>
  <c r="H4482" i="8"/>
  <c r="H4474" i="8"/>
  <c r="H4466" i="8"/>
  <c r="H4458" i="8"/>
  <c r="H4450" i="8"/>
  <c r="H4442" i="8"/>
  <c r="H4434" i="8"/>
  <c r="H4426" i="8"/>
  <c r="H4418" i="8"/>
  <c r="H4410" i="8"/>
  <c r="H4402" i="8"/>
  <c r="H4394" i="8"/>
  <c r="H4386" i="8"/>
  <c r="H4378" i="8"/>
  <c r="H4370" i="8"/>
  <c r="H4362" i="8"/>
  <c r="H4354" i="8"/>
  <c r="H4346" i="8"/>
  <c r="H4338" i="8"/>
  <c r="H4330" i="8"/>
  <c r="H4322" i="8"/>
  <c r="H4314" i="8"/>
  <c r="H4306" i="8"/>
  <c r="H4298" i="8"/>
  <c r="H4290" i="8"/>
  <c r="H4282" i="8"/>
  <c r="H4274" i="8"/>
  <c r="H4266" i="8"/>
  <c r="H4258" i="8"/>
  <c r="H4251" i="8"/>
  <c r="H4247" i="8"/>
  <c r="H4243" i="8"/>
  <c r="H4239" i="8"/>
  <c r="H4235" i="8"/>
  <c r="H4231" i="8"/>
  <c r="H4227" i="8"/>
  <c r="H4223" i="8"/>
  <c r="H4219" i="8"/>
  <c r="H4215" i="8"/>
  <c r="H4211" i="8"/>
  <c r="H4207" i="8"/>
  <c r="H4203" i="8"/>
  <c r="H4199" i="8"/>
  <c r="H4195" i="8"/>
  <c r="H4191" i="8"/>
  <c r="H4187" i="8"/>
  <c r="H4183" i="8"/>
  <c r="H4179" i="8"/>
  <c r="H4175" i="8"/>
  <c r="H4171" i="8"/>
  <c r="H4167" i="8"/>
  <c r="H4163" i="8"/>
  <c r="H4159" i="8"/>
  <c r="H4155" i="8"/>
  <c r="H4151" i="8"/>
  <c r="H4147" i="8"/>
  <c r="H4143" i="8"/>
  <c r="H4139" i="8"/>
  <c r="H4135" i="8"/>
  <c r="H4131" i="8"/>
  <c r="H4127" i="8"/>
  <c r="H4123" i="8"/>
  <c r="H4119" i="8"/>
  <c r="H4115" i="8"/>
  <c r="H4111" i="8"/>
  <c r="H4107" i="8"/>
  <c r="H4103" i="8"/>
  <c r="H4099" i="8"/>
  <c r="H4095" i="8"/>
  <c r="H4091" i="8"/>
  <c r="H4087" i="8"/>
  <c r="H4083" i="8"/>
  <c r="H4079" i="8"/>
  <c r="H4075" i="8"/>
  <c r="H4071" i="8"/>
  <c r="H4067" i="8"/>
  <c r="H4063" i="8"/>
  <c r="H4059" i="8"/>
  <c r="H4055" i="8"/>
  <c r="H4051" i="8"/>
  <c r="H4047" i="8"/>
  <c r="H4043" i="8"/>
  <c r="H4039" i="8"/>
  <c r="H4035" i="8"/>
  <c r="H4031" i="8"/>
  <c r="H4027" i="8"/>
  <c r="H4023" i="8"/>
  <c r="H4019" i="8"/>
  <c r="H4015" i="8"/>
  <c r="H4011" i="8"/>
  <c r="H4007" i="8"/>
  <c r="H4003" i="8"/>
  <c r="H3999" i="8"/>
  <c r="H3995" i="8"/>
  <c r="H3991" i="8"/>
  <c r="H3987" i="8"/>
  <c r="H3983" i="8"/>
  <c r="H3979" i="8"/>
  <c r="H3975" i="8"/>
  <c r="H3971" i="8"/>
  <c r="H3967" i="8"/>
  <c r="H3963" i="8"/>
  <c r="H3959" i="8"/>
  <c r="H3955" i="8"/>
  <c r="H3951" i="8"/>
  <c r="H3947" i="8"/>
  <c r="H3943" i="8"/>
  <c r="H3939" i="8"/>
  <c r="H3935" i="8"/>
  <c r="H3931" i="8"/>
  <c r="H3927" i="8"/>
  <c r="H3923" i="8"/>
  <c r="H3919" i="8"/>
  <c r="H3915" i="8"/>
  <c r="H3911" i="8"/>
  <c r="H3907" i="8"/>
  <c r="H3903" i="8"/>
  <c r="H3899" i="8"/>
  <c r="H3895" i="8"/>
  <c r="H3891" i="8"/>
  <c r="H3887" i="8"/>
  <c r="H3883" i="8"/>
  <c r="H3879" i="8"/>
  <c r="H3875" i="8"/>
  <c r="H3871" i="8"/>
  <c r="H3867" i="8"/>
  <c r="H3863" i="8"/>
  <c r="H3859" i="8"/>
  <c r="H3855" i="8"/>
  <c r="H3851" i="8"/>
  <c r="H3847" i="8"/>
  <c r="H3843" i="8"/>
  <c r="H3839" i="8"/>
  <c r="H3835" i="8"/>
  <c r="H3831" i="8"/>
  <c r="H3827" i="8"/>
  <c r="H3823" i="8"/>
  <c r="H3819" i="8"/>
  <c r="H3815" i="8"/>
  <c r="H3811" i="8"/>
  <c r="H3807" i="8"/>
  <c r="H3803" i="8"/>
  <c r="H3799" i="8"/>
  <c r="H3795" i="8"/>
  <c r="H3791" i="8"/>
  <c r="H3787" i="8"/>
  <c r="H3783" i="8"/>
  <c r="H3779" i="8"/>
  <c r="H3775" i="8"/>
  <c r="H3771" i="8"/>
  <c r="H3767" i="8"/>
  <c r="H3763" i="8"/>
  <c r="H3759" i="8"/>
  <c r="H3755" i="8"/>
  <c r="H3751" i="8"/>
  <c r="H3747" i="8"/>
  <c r="H3743" i="8"/>
  <c r="H3739" i="8"/>
  <c r="H3735" i="8"/>
  <c r="H3731" i="8"/>
  <c r="H3727" i="8"/>
  <c r="H3723" i="8"/>
  <c r="H3719" i="8"/>
  <c r="H3715" i="8"/>
  <c r="H3711" i="8"/>
  <c r="H3707" i="8"/>
  <c r="H3703" i="8"/>
  <c r="H3699" i="8"/>
  <c r="H3695" i="8"/>
  <c r="H3691" i="8"/>
  <c r="H3687" i="8"/>
  <c r="H3683" i="8"/>
  <c r="H3679" i="8"/>
  <c r="H3675" i="8"/>
  <c r="H3671" i="8"/>
  <c r="H3667" i="8"/>
  <c r="H3663" i="8"/>
  <c r="H3659" i="8"/>
  <c r="H3655" i="8"/>
  <c r="H3651" i="8"/>
  <c r="H3647" i="8"/>
  <c r="H3643" i="8"/>
  <c r="H3639" i="8"/>
  <c r="H3635" i="8"/>
  <c r="H3631" i="8"/>
  <c r="H3627" i="8"/>
  <c r="H3623" i="8"/>
  <c r="H3619" i="8"/>
  <c r="H3615" i="8"/>
  <c r="H3611" i="8"/>
  <c r="H3607" i="8"/>
  <c r="H3603" i="8"/>
  <c r="H3599" i="8"/>
  <c r="H3595" i="8"/>
  <c r="H3591" i="8"/>
  <c r="H3587" i="8"/>
  <c r="H3583" i="8"/>
  <c r="H3579" i="8"/>
  <c r="H3575" i="8"/>
  <c r="H3571" i="8"/>
  <c r="H3567" i="8"/>
  <c r="H3563" i="8"/>
  <c r="H3559" i="8"/>
  <c r="H3555" i="8"/>
  <c r="H3551" i="8"/>
  <c r="H3547" i="8"/>
  <c r="H3543" i="8"/>
  <c r="H3539" i="8"/>
  <c r="H3535" i="8"/>
  <c r="H3531" i="8"/>
  <c r="H3527" i="8"/>
  <c r="H3523" i="8"/>
  <c r="H3519" i="8"/>
  <c r="H3515" i="8"/>
  <c r="H3511" i="8"/>
  <c r="H3507" i="8"/>
  <c r="H3503" i="8"/>
  <c r="H3499" i="8"/>
  <c r="H3495" i="8"/>
  <c r="H3491" i="8"/>
  <c r="H3487" i="8"/>
  <c r="H3483" i="8"/>
  <c r="H3479" i="8"/>
  <c r="H3475" i="8"/>
  <c r="H3471" i="8"/>
  <c r="H3467" i="8"/>
  <c r="H3463" i="8"/>
  <c r="H3459" i="8"/>
  <c r="H3455" i="8"/>
  <c r="H3451" i="8"/>
  <c r="H3447" i="8"/>
  <c r="H3443" i="8"/>
  <c r="H3439" i="8"/>
  <c r="H3435" i="8"/>
  <c r="H3431" i="8"/>
  <c r="H3427" i="8"/>
  <c r="H3423" i="8"/>
  <c r="H3419" i="8"/>
  <c r="H3415" i="8"/>
  <c r="H3411" i="8"/>
  <c r="H3407" i="8"/>
  <c r="H3403" i="8"/>
  <c r="H3399" i="8"/>
  <c r="H3395" i="8"/>
  <c r="H3391" i="8"/>
  <c r="H3387" i="8"/>
  <c r="H3383" i="8"/>
  <c r="H3379" i="8"/>
  <c r="H3375" i="8"/>
  <c r="H3371" i="8"/>
  <c r="H3367" i="8"/>
  <c r="H3363" i="8"/>
  <c r="H3359" i="8"/>
  <c r="H3355" i="8"/>
  <c r="H3351" i="8"/>
  <c r="H3347" i="8"/>
  <c r="H3343" i="8"/>
  <c r="H3339" i="8"/>
  <c r="H3335" i="8"/>
  <c r="H3331" i="8"/>
  <c r="H3327" i="8"/>
  <c r="H3323" i="8"/>
  <c r="H3319" i="8"/>
  <c r="H3315" i="8"/>
  <c r="H3311" i="8"/>
  <c r="H3307" i="8"/>
  <c r="H3303" i="8"/>
  <c r="H3299" i="8"/>
  <c r="H3295" i="8"/>
  <c r="H3291" i="8"/>
  <c r="H3287" i="8"/>
  <c r="H3283" i="8"/>
  <c r="H3279" i="8"/>
  <c r="H3275" i="8"/>
  <c r="H3271" i="8"/>
  <c r="H3267" i="8"/>
  <c r="H3263" i="8"/>
  <c r="H3259" i="8"/>
  <c r="H3255" i="8"/>
  <c r="H3251" i="8"/>
  <c r="H3247" i="8"/>
  <c r="H3243" i="8"/>
  <c r="H3239" i="8"/>
  <c r="H3235" i="8"/>
  <c r="H3231" i="8"/>
  <c r="H3227" i="8"/>
  <c r="H3223" i="8"/>
  <c r="H3219" i="8"/>
  <c r="H3215" i="8"/>
  <c r="H3211" i="8"/>
  <c r="H3207" i="8"/>
  <c r="H3203" i="8"/>
  <c r="H3199" i="8"/>
  <c r="H3195" i="8"/>
  <c r="H3191" i="8"/>
  <c r="H3187" i="8"/>
  <c r="H3183" i="8"/>
  <c r="H3179" i="8"/>
  <c r="H3175" i="8"/>
  <c r="H3171" i="8"/>
  <c r="H3167" i="8"/>
  <c r="H3163" i="8"/>
  <c r="H3159" i="8"/>
  <c r="H3155" i="8"/>
  <c r="H3151" i="8"/>
  <c r="H3147" i="8"/>
  <c r="H3143" i="8"/>
  <c r="H3139" i="8"/>
  <c r="H3135" i="8"/>
  <c r="H3131" i="8"/>
  <c r="H3127" i="8"/>
  <c r="H3123" i="8"/>
  <c r="H3119" i="8"/>
  <c r="H3115" i="8"/>
  <c r="H3111" i="8"/>
  <c r="H3107" i="8"/>
  <c r="H3103" i="8"/>
  <c r="H3099" i="8"/>
  <c r="H3095" i="8"/>
  <c r="H3091" i="8"/>
  <c r="H3087" i="8"/>
  <c r="H3083" i="8"/>
  <c r="H3079" i="8"/>
  <c r="H3075" i="8"/>
  <c r="H3071" i="8"/>
  <c r="H3067" i="8"/>
  <c r="H3063" i="8"/>
  <c r="H3059" i="8"/>
  <c r="H3055" i="8"/>
  <c r="H3051" i="8"/>
  <c r="H3047" i="8"/>
  <c r="H3043" i="8"/>
  <c r="H3039" i="8"/>
  <c r="H3035" i="8"/>
  <c r="H3031" i="8"/>
  <c r="H3027" i="8"/>
  <c r="H3023" i="8"/>
  <c r="H3019" i="8"/>
  <c r="H3015" i="8"/>
  <c r="H3011" i="8"/>
  <c r="H3007" i="8"/>
  <c r="H3003" i="8"/>
  <c r="H2999" i="8"/>
  <c r="H2995" i="8"/>
  <c r="H2991" i="8"/>
  <c r="H2987" i="8"/>
  <c r="H2983" i="8"/>
  <c r="H2979" i="8"/>
  <c r="H2975" i="8"/>
  <c r="H2971" i="8"/>
  <c r="H2967" i="8"/>
  <c r="H2963" i="8"/>
  <c r="H2959" i="8"/>
  <c r="H2955" i="8"/>
  <c r="H2951" i="8"/>
  <c r="H2947" i="8"/>
  <c r="H2943" i="8"/>
  <c r="H2939" i="8"/>
  <c r="H2935" i="8"/>
  <c r="H2931" i="8"/>
  <c r="H2927" i="8"/>
  <c r="H2923" i="8"/>
  <c r="H2919" i="8"/>
  <c r="H2915" i="8"/>
  <c r="H2911" i="8"/>
  <c r="H2907" i="8"/>
  <c r="H2903" i="8"/>
  <c r="H2899" i="8"/>
  <c r="H2895" i="8"/>
  <c r="H2891" i="8"/>
  <c r="H2887" i="8"/>
  <c r="H2883" i="8"/>
  <c r="H2879" i="8"/>
  <c r="H2875" i="8"/>
  <c r="H2871" i="8"/>
  <c r="H2867" i="8"/>
  <c r="H2863" i="8"/>
  <c r="H2859" i="8"/>
  <c r="H2855" i="8"/>
  <c r="H2851" i="8"/>
  <c r="H2847" i="8"/>
  <c r="H2843" i="8"/>
  <c r="H2839" i="8"/>
  <c r="H2835" i="8"/>
  <c r="H2831" i="8"/>
  <c r="H2827" i="8"/>
  <c r="H2823" i="8"/>
  <c r="H2819" i="8"/>
  <c r="H2815" i="8"/>
  <c r="H2811" i="8"/>
  <c r="H2807" i="8"/>
  <c r="H2803" i="8"/>
  <c r="H2799" i="8"/>
  <c r="H2795" i="8"/>
  <c r="H2791" i="8"/>
  <c r="H2787" i="8"/>
  <c r="H2783" i="8"/>
  <c r="H2779" i="8"/>
  <c r="H2775" i="8"/>
  <c r="H2771" i="8"/>
  <c r="H2767" i="8"/>
  <c r="H2763" i="8"/>
  <c r="H2759" i="8"/>
  <c r="H2755" i="8"/>
  <c r="H2751" i="8"/>
  <c r="H2747" i="8"/>
  <c r="H2743" i="8"/>
  <c r="H2739" i="8"/>
  <c r="H2735" i="8"/>
  <c r="H2731" i="8"/>
  <c r="H2727" i="8"/>
  <c r="H2723" i="8"/>
  <c r="H2719" i="8"/>
  <c r="H2715" i="8"/>
  <c r="H2711" i="8"/>
  <c r="H2707" i="8"/>
  <c r="H2703" i="8"/>
  <c r="H2699" i="8"/>
  <c r="H2695" i="8"/>
  <c r="H2691" i="8"/>
  <c r="H2687" i="8"/>
  <c r="H2683" i="8"/>
  <c r="H2679" i="8"/>
  <c r="H2675" i="8"/>
  <c r="H2671" i="8"/>
  <c r="H2667" i="8"/>
  <c r="H2663" i="8"/>
  <c r="H2659" i="8"/>
  <c r="H2655" i="8"/>
  <c r="H2651" i="8"/>
  <c r="H2647" i="8"/>
  <c r="H2643" i="8"/>
  <c r="H2639" i="8"/>
  <c r="H2635" i="8"/>
  <c r="H2631" i="8"/>
  <c r="H2627" i="8"/>
  <c r="H2623" i="8"/>
  <c r="H2619" i="8"/>
  <c r="H2615" i="8"/>
  <c r="H2611" i="8"/>
  <c r="H2607" i="8"/>
  <c r="H2603" i="8"/>
  <c r="H2599" i="8"/>
  <c r="H2595" i="8"/>
  <c r="H2591" i="8"/>
  <c r="H2587" i="8"/>
  <c r="H2583" i="8"/>
  <c r="H2579" i="8"/>
  <c r="H2575" i="8"/>
  <c r="H2571" i="8"/>
  <c r="H2567" i="8"/>
  <c r="H2563" i="8"/>
  <c r="H2559" i="8"/>
  <c r="H2555" i="8"/>
  <c r="H2551" i="8"/>
  <c r="H2547" i="8"/>
  <c r="H2543" i="8"/>
  <c r="H2539" i="8"/>
  <c r="H2535" i="8"/>
  <c r="H2531" i="8"/>
  <c r="H2527" i="8"/>
  <c r="H2523" i="8"/>
  <c r="H2519" i="8"/>
  <c r="H2515" i="8"/>
  <c r="H2511" i="8"/>
  <c r="H2507" i="8"/>
  <c r="H2503" i="8"/>
  <c r="H2499" i="8"/>
  <c r="H2495" i="8"/>
  <c r="H2491" i="8"/>
  <c r="H2487" i="8"/>
  <c r="H2483" i="8"/>
  <c r="H2479" i="8"/>
  <c r="H2475" i="8"/>
  <c r="H2471" i="8"/>
  <c r="H2467" i="8"/>
  <c r="H2463" i="8"/>
  <c r="H2459" i="8"/>
  <c r="H2455" i="8"/>
  <c r="H2451" i="8"/>
  <c r="H2447" i="8"/>
  <c r="H2443" i="8"/>
  <c r="H2439" i="8"/>
  <c r="H2435" i="8"/>
  <c r="H2431" i="8"/>
  <c r="H2427" i="8"/>
  <c r="H2423" i="8"/>
  <c r="H2419" i="8"/>
  <c r="H2415" i="8"/>
  <c r="H2411" i="8"/>
  <c r="H2407" i="8"/>
  <c r="H2403" i="8"/>
  <c r="H2399" i="8"/>
  <c r="H2395" i="8"/>
  <c r="H2391" i="8"/>
  <c r="H2387" i="8"/>
  <c r="H2383" i="8"/>
  <c r="H2379" i="8"/>
  <c r="H2375" i="8"/>
  <c r="H2371" i="8"/>
  <c r="H2367" i="8"/>
  <c r="H2363" i="8"/>
  <c r="H2359" i="8"/>
  <c r="H2355" i="8"/>
  <c r="H2351" i="8"/>
  <c r="H2347" i="8"/>
  <c r="H2343" i="8"/>
  <c r="H2339" i="8"/>
  <c r="H2335" i="8"/>
  <c r="H2331" i="8"/>
  <c r="H2327" i="8"/>
  <c r="H2323" i="8"/>
  <c r="H2319" i="8"/>
  <c r="H2315" i="8"/>
  <c r="H2311" i="8"/>
  <c r="H2307" i="8"/>
  <c r="H2303" i="8"/>
  <c r="H2299" i="8"/>
  <c r="H2295" i="8"/>
  <c r="H2291" i="8"/>
  <c r="H2287" i="8"/>
  <c r="H2283" i="8"/>
  <c r="H2279" i="8"/>
  <c r="H2275" i="8"/>
  <c r="H2271" i="8"/>
  <c r="H2267" i="8"/>
  <c r="H2263" i="8"/>
  <c r="H2259" i="8"/>
  <c r="H2255" i="8"/>
  <c r="H2251" i="8"/>
  <c r="H2247" i="8"/>
  <c r="H2243" i="8"/>
  <c r="H2239" i="8"/>
  <c r="H2235" i="8"/>
  <c r="H2231" i="8"/>
  <c r="H2227" i="8"/>
  <c r="H2223" i="8"/>
  <c r="H2219" i="8"/>
  <c r="H2215" i="8"/>
  <c r="H2211" i="8"/>
  <c r="H2207" i="8"/>
  <c r="H2205" i="8"/>
  <c r="H2203" i="8"/>
  <c r="H2201" i="8"/>
  <c r="H2199" i="8"/>
  <c r="H2197" i="8"/>
  <c r="H2195" i="8"/>
  <c r="H2193" i="8"/>
  <c r="H2191" i="8"/>
  <c r="H2189" i="8"/>
  <c r="H2187" i="8"/>
  <c r="H2185" i="8"/>
  <c r="H2183" i="8"/>
  <c r="H2181" i="8"/>
  <c r="H2179" i="8"/>
  <c r="H2177" i="8"/>
  <c r="H2175" i="8"/>
  <c r="H2173" i="8"/>
  <c r="H2171" i="8"/>
  <c r="H2169" i="8"/>
  <c r="H2167" i="8"/>
  <c r="H2165" i="8"/>
  <c r="H2163" i="8"/>
  <c r="H2161" i="8"/>
  <c r="H2159" i="8"/>
  <c r="H2157" i="8"/>
  <c r="H2155" i="8"/>
  <c r="H2153" i="8"/>
  <c r="H2151" i="8"/>
  <c r="H2149" i="8"/>
  <c r="H2147" i="8"/>
  <c r="H2145" i="8"/>
  <c r="H2143" i="8"/>
  <c r="H2141" i="8"/>
  <c r="H2139" i="8"/>
  <c r="H2137" i="8"/>
  <c r="H2135" i="8"/>
  <c r="H2133" i="8"/>
  <c r="H2131" i="8"/>
  <c r="H2129" i="8"/>
  <c r="H2127" i="8"/>
  <c r="H2125" i="8"/>
  <c r="H2123" i="8"/>
  <c r="H2121" i="8"/>
  <c r="H2119" i="8"/>
  <c r="H2117" i="8"/>
  <c r="H2115" i="8"/>
  <c r="H2113" i="8"/>
  <c r="H2111" i="8"/>
  <c r="H2109" i="8"/>
  <c r="H2107" i="8"/>
  <c r="H2105" i="8"/>
  <c r="H2103" i="8"/>
  <c r="H2101" i="8"/>
  <c r="H2099" i="8"/>
  <c r="H2097" i="8"/>
  <c r="H2095" i="8"/>
  <c r="H2093" i="8"/>
  <c r="H2091" i="8"/>
  <c r="H2089" i="8"/>
  <c r="H2087" i="8"/>
  <c r="H2085" i="8"/>
  <c r="H2083" i="8"/>
  <c r="H2081" i="8"/>
  <c r="H2079" i="8"/>
  <c r="H2077" i="8"/>
  <c r="H2075" i="8"/>
  <c r="H2073" i="8"/>
  <c r="H2071" i="8"/>
  <c r="H2069" i="8"/>
  <c r="H2067" i="8"/>
  <c r="H2065" i="8"/>
  <c r="H2063" i="8"/>
  <c r="H2061" i="8"/>
  <c r="H2059" i="8"/>
  <c r="H2057" i="8"/>
  <c r="H2055" i="8"/>
  <c r="H2053" i="8"/>
  <c r="H2051" i="8"/>
  <c r="H2049" i="8"/>
  <c r="H2047" i="8"/>
  <c r="H2045" i="8"/>
  <c r="H2043" i="8"/>
  <c r="H2041" i="8"/>
  <c r="H2039" i="8"/>
  <c r="H2037" i="8"/>
  <c r="H2035" i="8"/>
  <c r="H2033" i="8"/>
  <c r="H2031" i="8"/>
  <c r="H2029" i="8"/>
  <c r="H2027" i="8"/>
  <c r="H2025" i="8"/>
  <c r="H2023" i="8"/>
  <c r="H2021" i="8"/>
  <c r="H2019" i="8"/>
  <c r="H2017" i="8"/>
  <c r="H2015" i="8"/>
  <c r="H2013" i="8"/>
  <c r="H2011" i="8"/>
  <c r="H2009" i="8"/>
  <c r="H2007" i="8"/>
  <c r="H2005" i="8"/>
  <c r="H2003" i="8"/>
  <c r="H2001" i="8"/>
  <c r="H1999" i="8"/>
  <c r="H1997" i="8"/>
  <c r="H1995" i="8"/>
  <c r="H1993" i="8"/>
  <c r="H1991" i="8"/>
  <c r="H1989" i="8"/>
  <c r="H1987" i="8"/>
  <c r="H1985" i="8"/>
  <c r="H1983" i="8"/>
  <c r="H1981" i="8"/>
  <c r="H1979" i="8"/>
  <c r="H1977" i="8"/>
  <c r="H1975" i="8"/>
  <c r="H1973" i="8"/>
  <c r="H1971" i="8"/>
  <c r="H1969" i="8"/>
  <c r="H1967" i="8"/>
  <c r="H1965" i="8"/>
  <c r="H1963" i="8"/>
  <c r="H1961" i="8"/>
  <c r="H1959" i="8"/>
  <c r="H1957" i="8"/>
  <c r="H1955" i="8"/>
  <c r="H1953" i="8"/>
  <c r="H1951" i="8"/>
  <c r="H1949" i="8"/>
  <c r="H1947" i="8"/>
  <c r="H1945" i="8"/>
  <c r="H1943" i="8"/>
  <c r="H1941" i="8"/>
  <c r="H1939" i="8"/>
  <c r="H1937" i="8"/>
  <c r="H1935" i="8"/>
  <c r="H1933" i="8"/>
  <c r="H1931" i="8"/>
  <c r="H1929" i="8"/>
  <c r="H1927" i="8"/>
  <c r="H1925" i="8"/>
  <c r="H1923" i="8"/>
  <c r="H1921" i="8"/>
  <c r="H1919" i="8"/>
  <c r="H1917" i="8"/>
  <c r="H1915" i="8"/>
  <c r="H1913" i="8"/>
  <c r="H1911" i="8"/>
  <c r="H1909" i="8"/>
  <c r="H1907" i="8"/>
  <c r="H1905" i="8"/>
  <c r="H1903" i="8"/>
  <c r="H1901" i="8"/>
  <c r="H1899" i="8"/>
  <c r="H1897" i="8"/>
  <c r="H1895" i="8"/>
  <c r="H1893" i="8"/>
  <c r="H1891" i="8"/>
  <c r="H1889" i="8"/>
  <c r="H1887" i="8"/>
  <c r="H1885" i="8"/>
  <c r="H1883" i="8"/>
  <c r="H1881" i="8"/>
  <c r="H1879" i="8"/>
  <c r="H1877" i="8"/>
  <c r="H1875" i="8"/>
  <c r="H1873" i="8"/>
  <c r="H1871" i="8"/>
  <c r="H1869" i="8"/>
  <c r="H1867" i="8"/>
  <c r="H1865" i="8"/>
  <c r="H1863" i="8"/>
  <c r="H1861" i="8"/>
  <c r="H1859" i="8"/>
  <c r="H1857" i="8"/>
  <c r="H1855" i="8"/>
  <c r="H1853" i="8"/>
  <c r="H1851" i="8"/>
  <c r="H1849" i="8"/>
  <c r="H1847" i="8"/>
  <c r="H1845" i="8"/>
  <c r="H1843" i="8"/>
  <c r="H1841" i="8"/>
  <c r="H1839" i="8"/>
  <c r="H1837" i="8"/>
  <c r="H1835" i="8"/>
  <c r="H1833" i="8"/>
  <c r="H1831" i="8"/>
  <c r="H1829" i="8"/>
  <c r="H1827" i="8"/>
  <c r="H1825" i="8"/>
  <c r="H1823" i="8"/>
  <c r="H1821" i="8"/>
  <c r="H1819" i="8"/>
  <c r="H1817" i="8"/>
  <c r="H1815" i="8"/>
  <c r="H1813" i="8"/>
  <c r="H1811" i="8"/>
  <c r="H1809" i="8"/>
  <c r="H1807" i="8"/>
  <c r="H1805" i="8"/>
  <c r="H1803" i="8"/>
  <c r="H1801" i="8"/>
  <c r="H1799" i="8"/>
  <c r="H1797" i="8"/>
  <c r="H1795" i="8"/>
  <c r="H1793" i="8"/>
  <c r="H1791" i="8"/>
  <c r="H1789" i="8"/>
  <c r="H1787" i="8"/>
  <c r="H1785" i="8"/>
  <c r="H1783" i="8"/>
  <c r="H1781" i="8"/>
  <c r="H1779" i="8"/>
  <c r="H1777" i="8"/>
  <c r="H1775" i="8"/>
  <c r="H1773" i="8"/>
  <c r="H1771" i="8"/>
  <c r="H1769" i="8"/>
  <c r="H1767" i="8"/>
  <c r="H1765" i="8"/>
  <c r="H1763" i="8"/>
  <c r="H1761" i="8"/>
  <c r="H1759" i="8"/>
  <c r="H1757" i="8"/>
  <c r="H1755" i="8"/>
  <c r="H1753" i="8"/>
  <c r="H1751" i="8"/>
  <c r="H1749" i="8"/>
  <c r="H1747" i="8"/>
  <c r="H1745" i="8"/>
  <c r="H1743" i="8"/>
  <c r="H1741" i="8"/>
  <c r="H1739" i="8"/>
  <c r="H1737" i="8"/>
  <c r="H1735" i="8"/>
  <c r="H1733" i="8"/>
  <c r="H1731" i="8"/>
  <c r="H1729" i="8"/>
  <c r="H1727" i="8"/>
  <c r="H1725" i="8"/>
  <c r="H1723" i="8"/>
  <c r="H1721" i="8"/>
  <c r="H1719" i="8"/>
  <c r="H1717" i="8"/>
  <c r="H1715" i="8"/>
  <c r="H1713" i="8"/>
  <c r="H1711" i="8"/>
  <c r="H1709" i="8"/>
  <c r="H1707" i="8"/>
  <c r="H1705" i="8"/>
  <c r="H1703" i="8"/>
  <c r="H1701" i="8"/>
  <c r="H1699" i="8"/>
  <c r="H1697" i="8"/>
  <c r="H1695" i="8"/>
  <c r="H1693" i="8"/>
  <c r="H1691" i="8"/>
  <c r="H1689" i="8"/>
  <c r="H1687" i="8"/>
  <c r="H1685" i="8"/>
  <c r="H1683" i="8"/>
  <c r="H1681" i="8"/>
  <c r="H1679" i="8"/>
  <c r="H1677" i="8"/>
  <c r="H1675" i="8"/>
  <c r="H1673" i="8"/>
  <c r="H1671" i="8"/>
  <c r="H1669" i="8"/>
  <c r="H1667" i="8"/>
  <c r="H1665" i="8"/>
  <c r="H1663" i="8"/>
  <c r="H1661" i="8"/>
  <c r="H1659" i="8"/>
  <c r="H1657" i="8"/>
  <c r="H1655" i="8"/>
  <c r="H1653" i="8"/>
  <c r="H1651" i="8"/>
  <c r="H1649" i="8"/>
  <c r="H1647" i="8"/>
  <c r="H1645" i="8"/>
  <c r="H1643" i="8"/>
  <c r="H1641" i="8"/>
  <c r="H1639" i="8"/>
  <c r="H1637" i="8"/>
  <c r="H1635" i="8"/>
  <c r="H1633" i="8"/>
  <c r="H1631" i="8"/>
  <c r="H1629" i="8"/>
  <c r="H1627" i="8"/>
  <c r="H1625" i="8"/>
  <c r="H1623" i="8"/>
  <c r="H1621" i="8"/>
  <c r="H1619" i="8"/>
  <c r="H1617" i="8"/>
  <c r="H1615" i="8"/>
  <c r="H1613" i="8"/>
  <c r="H1611" i="8"/>
  <c r="H1609" i="8"/>
  <c r="H1607" i="8"/>
  <c r="H1605" i="8"/>
  <c r="H1603" i="8"/>
  <c r="H1601" i="8"/>
  <c r="H1599" i="8"/>
  <c r="H1597" i="8"/>
  <c r="H1595" i="8"/>
  <c r="H1593" i="8"/>
  <c r="H1591" i="8"/>
  <c r="H1589" i="8"/>
  <c r="H1587" i="8"/>
  <c r="H1585" i="8"/>
  <c r="H1583" i="8"/>
  <c r="H1581" i="8"/>
  <c r="H1579" i="8"/>
  <c r="H1577" i="8"/>
  <c r="H1575" i="8"/>
  <c r="H1573" i="8"/>
  <c r="H1571" i="8"/>
  <c r="H1569" i="8"/>
  <c r="H1567" i="8"/>
  <c r="H1565" i="8"/>
  <c r="H1563" i="8"/>
  <c r="H1561" i="8"/>
  <c r="H1559" i="8"/>
  <c r="H1557" i="8"/>
  <c r="H1555" i="8"/>
  <c r="H1553" i="8"/>
  <c r="H1551" i="8"/>
  <c r="H1549" i="8"/>
  <c r="H1547" i="8"/>
  <c r="H1545" i="8"/>
  <c r="H1543" i="8"/>
  <c r="H1541" i="8"/>
  <c r="H1539" i="8"/>
  <c r="H1537" i="8"/>
  <c r="H1535" i="8"/>
  <c r="H1533" i="8"/>
  <c r="H1531" i="8"/>
  <c r="H1529" i="8"/>
  <c r="H1527" i="8"/>
  <c r="H1525" i="8"/>
  <c r="H1523" i="8"/>
  <c r="H1521" i="8"/>
  <c r="H1519" i="8"/>
  <c r="H1517" i="8"/>
  <c r="H1515" i="8"/>
  <c r="H1513" i="8"/>
  <c r="H1511" i="8"/>
  <c r="H1509" i="8"/>
  <c r="H1507" i="8"/>
  <c r="H1505" i="8"/>
  <c r="H1503" i="8"/>
  <c r="H1501" i="8"/>
  <c r="H1499" i="8"/>
  <c r="H1497" i="8"/>
  <c r="H1495" i="8"/>
  <c r="H1493" i="8"/>
  <c r="H1491" i="8"/>
  <c r="H1489" i="8"/>
  <c r="H1487" i="8"/>
  <c r="H1485" i="8"/>
  <c r="H1483" i="8"/>
  <c r="H1481" i="8"/>
  <c r="H1479" i="8"/>
  <c r="H1477" i="8"/>
  <c r="H1475" i="8"/>
  <c r="H1473" i="8"/>
  <c r="H1471" i="8"/>
  <c r="H1469" i="8"/>
  <c r="H1467" i="8"/>
  <c r="H1465" i="8"/>
  <c r="H1463" i="8"/>
  <c r="H1461" i="8"/>
  <c r="H1459" i="8"/>
  <c r="H1457" i="8"/>
  <c r="H1455" i="8"/>
  <c r="H1453" i="8"/>
  <c r="H1451" i="8"/>
  <c r="H1449" i="8"/>
  <c r="H1447" i="8"/>
  <c r="H1445" i="8"/>
  <c r="H1443" i="8"/>
  <c r="H1441" i="8"/>
  <c r="H1439" i="8"/>
  <c r="H1437" i="8"/>
  <c r="H1435" i="8"/>
  <c r="H1433" i="8"/>
  <c r="H1431" i="8"/>
  <c r="H1429" i="8"/>
  <c r="H1427" i="8"/>
  <c r="H1425" i="8"/>
  <c r="H1423" i="8"/>
  <c r="H1421" i="8"/>
  <c r="H1419" i="8"/>
  <c r="H1417" i="8"/>
  <c r="H1415" i="8"/>
  <c r="H1413" i="8"/>
  <c r="H1411" i="8"/>
  <c r="H1409" i="8"/>
  <c r="H1407" i="8"/>
  <c r="H1405" i="8"/>
  <c r="H1403" i="8"/>
  <c r="H1401" i="8"/>
  <c r="H1399" i="8"/>
  <c r="H1397" i="8"/>
  <c r="H1395" i="8"/>
  <c r="H1393" i="8"/>
  <c r="H1391" i="8"/>
  <c r="H1389" i="8"/>
  <c r="H1387" i="8"/>
  <c r="H1385" i="8"/>
  <c r="H1383" i="8"/>
  <c r="H1381" i="8"/>
  <c r="H1379" i="8"/>
  <c r="H1377" i="8"/>
  <c r="H1375" i="8"/>
  <c r="H1373" i="8"/>
  <c r="H1371" i="8"/>
  <c r="H1369" i="8"/>
  <c r="H1367" i="8"/>
  <c r="H1365" i="8"/>
  <c r="H1363" i="8"/>
  <c r="H1361" i="8"/>
  <c r="H1359" i="8"/>
  <c r="H1357" i="8"/>
  <c r="H1355" i="8"/>
  <c r="H1353" i="8"/>
  <c r="H1351" i="8"/>
  <c r="H1349" i="8"/>
  <c r="H1347" i="8"/>
  <c r="H1345" i="8"/>
  <c r="H1343" i="8"/>
  <c r="H1341" i="8"/>
  <c r="H1339" i="8"/>
  <c r="H1337" i="8"/>
  <c r="H1335" i="8"/>
  <c r="H1333" i="8"/>
  <c r="H1331" i="8"/>
  <c r="H1329" i="8"/>
  <c r="H1327" i="8"/>
  <c r="H1325" i="8"/>
  <c r="H1323" i="8"/>
  <c r="H1321" i="8"/>
  <c r="H1319" i="8"/>
  <c r="H1317" i="8"/>
  <c r="H1315" i="8"/>
  <c r="H1313" i="8"/>
  <c r="H1311" i="8"/>
  <c r="H1309" i="8"/>
  <c r="H1307" i="8"/>
  <c r="H1305" i="8"/>
  <c r="H1303" i="8"/>
  <c r="H1301" i="8"/>
  <c r="H1299" i="8"/>
  <c r="H1297" i="8"/>
  <c r="H1295" i="8"/>
  <c r="H1293" i="8"/>
  <c r="H1291" i="8"/>
  <c r="H1289" i="8"/>
  <c r="H1287" i="8"/>
  <c r="H1285" i="8"/>
  <c r="H1283" i="8"/>
  <c r="H1281" i="8"/>
  <c r="H1279" i="8"/>
  <c r="H1277" i="8"/>
  <c r="H1275" i="8"/>
  <c r="H1273" i="8"/>
  <c r="H1271" i="8"/>
  <c r="H1269" i="8"/>
  <c r="H1267" i="8"/>
  <c r="H1265" i="8"/>
  <c r="H1263" i="8"/>
  <c r="H1261" i="8"/>
  <c r="H1259" i="8"/>
  <c r="H1257" i="8"/>
  <c r="H1255" i="8"/>
  <c r="H1253" i="8"/>
  <c r="H1251" i="8"/>
  <c r="H1249" i="8"/>
  <c r="H1247" i="8"/>
  <c r="H1245" i="8"/>
  <c r="H1243" i="8"/>
  <c r="H1241" i="8"/>
  <c r="H1239" i="8"/>
  <c r="H1237" i="8"/>
  <c r="H1235" i="8"/>
  <c r="H1233" i="8"/>
  <c r="H1231" i="8"/>
  <c r="H1229" i="8"/>
  <c r="H1227" i="8"/>
  <c r="H1225" i="8"/>
  <c r="H1223" i="8"/>
  <c r="H1221" i="8"/>
  <c r="H1219" i="8"/>
  <c r="H1217" i="8"/>
  <c r="H1215" i="8"/>
  <c r="H1213" i="8"/>
  <c r="H1211" i="8"/>
  <c r="H1209" i="8"/>
  <c r="H1207" i="8"/>
  <c r="H1205" i="8"/>
  <c r="H1203" i="8"/>
  <c r="H1201" i="8"/>
  <c r="H1199" i="8"/>
  <c r="H1197" i="8"/>
  <c r="H1195" i="8"/>
  <c r="H1193" i="8"/>
  <c r="H1191" i="8"/>
  <c r="H1189" i="8"/>
  <c r="H1187" i="8"/>
  <c r="H1185" i="8"/>
  <c r="H1183" i="8"/>
  <c r="H1181" i="8"/>
  <c r="H1179" i="8"/>
  <c r="H1177" i="8"/>
  <c r="H1175" i="8"/>
  <c r="H1173" i="8"/>
  <c r="H1171" i="8"/>
  <c r="H1169" i="8"/>
  <c r="H1167" i="8"/>
  <c r="H1165" i="8"/>
  <c r="H1163" i="8"/>
  <c r="H1161" i="8"/>
  <c r="H1159" i="8"/>
  <c r="H1157" i="8"/>
  <c r="H1155" i="8"/>
  <c r="H1153" i="8"/>
  <c r="H1151" i="8"/>
  <c r="H1149" i="8"/>
  <c r="H1147" i="8"/>
  <c r="H1145" i="8"/>
  <c r="H1143" i="8"/>
  <c r="H1141" i="8"/>
  <c r="H1139" i="8"/>
  <c r="H1137" i="8"/>
  <c r="H1135" i="8"/>
  <c r="H1133" i="8"/>
  <c r="H1131" i="8"/>
  <c r="H1129" i="8"/>
  <c r="H1127" i="8"/>
  <c r="H1125" i="8"/>
  <c r="H1123" i="8"/>
  <c r="H1121" i="8"/>
  <c r="H1119" i="8"/>
  <c r="H1117" i="8"/>
  <c r="H1115" i="8"/>
  <c r="H1113" i="8"/>
  <c r="H1111" i="8"/>
  <c r="H1109" i="8"/>
  <c r="H1107" i="8"/>
  <c r="H1105" i="8"/>
  <c r="H1103" i="8"/>
  <c r="H1101" i="8"/>
  <c r="H1099" i="8"/>
  <c r="H1097" i="8"/>
  <c r="H1095" i="8"/>
  <c r="H1093" i="8"/>
  <c r="H1091" i="8"/>
  <c r="H1089" i="8"/>
  <c r="H1087" i="8"/>
  <c r="H1085" i="8"/>
  <c r="H1083" i="8"/>
  <c r="H1081" i="8"/>
  <c r="H1079" i="8"/>
  <c r="H1077" i="8"/>
  <c r="H1075" i="8"/>
  <c r="H1073" i="8"/>
  <c r="H1071" i="8"/>
  <c r="H1069" i="8"/>
  <c r="H1067" i="8"/>
  <c r="H1065" i="8"/>
  <c r="H1063" i="8"/>
  <c r="H1061" i="8"/>
  <c r="H1059" i="8"/>
  <c r="H1057" i="8"/>
  <c r="H1055" i="8"/>
  <c r="H1053" i="8"/>
  <c r="H1051" i="8"/>
  <c r="H1049" i="8"/>
  <c r="H1047" i="8"/>
  <c r="H1045" i="8"/>
  <c r="H1043" i="8"/>
  <c r="H1041" i="8"/>
  <c r="H1039" i="8"/>
  <c r="H1037" i="8"/>
  <c r="H1035" i="8"/>
  <c r="H1033" i="8"/>
  <c r="H1031" i="8"/>
  <c r="H1029" i="8"/>
  <c r="H1027" i="8"/>
  <c r="H1025" i="8"/>
  <c r="H1023" i="8"/>
  <c r="H1021" i="8"/>
  <c r="H1019" i="8"/>
  <c r="H1017" i="8"/>
  <c r="H1015" i="8"/>
  <c r="H1013" i="8"/>
  <c r="H1011" i="8"/>
  <c r="H1009" i="8"/>
  <c r="H1007" i="8"/>
  <c r="H1005" i="8"/>
  <c r="H1003" i="8"/>
  <c r="H1001" i="8"/>
  <c r="H999" i="8"/>
  <c r="H997" i="8"/>
  <c r="H995" i="8"/>
  <c r="H993" i="8"/>
  <c r="H991" i="8"/>
  <c r="H989" i="8"/>
  <c r="H987" i="8"/>
  <c r="H985" i="8"/>
  <c r="H983" i="8"/>
  <c r="H981" i="8"/>
  <c r="H979" i="8"/>
  <c r="H977" i="8"/>
  <c r="H975" i="8"/>
  <c r="H973" i="8"/>
  <c r="H971" i="8"/>
  <c r="H969" i="8"/>
  <c r="H967" i="8"/>
  <c r="H965" i="8"/>
  <c r="H963" i="8"/>
  <c r="H961" i="8"/>
  <c r="H959" i="8"/>
  <c r="H957" i="8"/>
  <c r="H955" i="8"/>
  <c r="H953" i="8"/>
  <c r="H951" i="8"/>
  <c r="H949" i="8"/>
  <c r="H947" i="8"/>
  <c r="H945" i="8"/>
  <c r="H943" i="8"/>
  <c r="H941" i="8"/>
  <c r="H939" i="8"/>
  <c r="H937" i="8"/>
  <c r="H935" i="8"/>
  <c r="H933" i="8"/>
  <c r="H931" i="8"/>
  <c r="H929" i="8"/>
  <c r="H927" i="8"/>
  <c r="H925" i="8"/>
  <c r="H923" i="8"/>
  <c r="H921" i="8"/>
  <c r="H919" i="8"/>
  <c r="H917" i="8"/>
  <c r="H915" i="8"/>
  <c r="H913" i="8"/>
  <c r="H911" i="8"/>
  <c r="H909" i="8"/>
  <c r="H907" i="8"/>
  <c r="H905" i="8"/>
  <c r="H903" i="8"/>
  <c r="H901" i="8"/>
  <c r="H899" i="8"/>
  <c r="H897" i="8"/>
  <c r="H895" i="8"/>
  <c r="H893" i="8"/>
  <c r="H891" i="8"/>
  <c r="H889" i="8"/>
  <c r="H887" i="8"/>
  <c r="H885" i="8"/>
  <c r="H883" i="8"/>
  <c r="H881" i="8"/>
  <c r="H879" i="8"/>
  <c r="H877" i="8"/>
  <c r="H875" i="8"/>
  <c r="H873" i="8"/>
  <c r="H871" i="8"/>
  <c r="H869" i="8"/>
  <c r="H867" i="8"/>
  <c r="H865" i="8"/>
  <c r="H863" i="8"/>
  <c r="H861" i="8"/>
  <c r="H859" i="8"/>
  <c r="H857" i="8"/>
  <c r="H855" i="8"/>
  <c r="H853" i="8"/>
  <c r="H851" i="8"/>
  <c r="H849" i="8"/>
  <c r="H847" i="8"/>
  <c r="H845" i="8"/>
  <c r="H843" i="8"/>
  <c r="H841" i="8"/>
  <c r="H839" i="8"/>
  <c r="H837" i="8"/>
  <c r="H835" i="8"/>
  <c r="H833" i="8"/>
  <c r="H831" i="8"/>
  <c r="H829" i="8"/>
  <c r="H827" i="8"/>
  <c r="H825" i="8"/>
  <c r="H823" i="8"/>
  <c r="H821" i="8"/>
  <c r="H819" i="8"/>
  <c r="H817" i="8"/>
  <c r="H815" i="8"/>
  <c r="H813" i="8"/>
  <c r="H811" i="8"/>
  <c r="H809" i="8"/>
  <c r="H807" i="8"/>
  <c r="H805" i="8"/>
  <c r="H803" i="8"/>
  <c r="H801" i="8"/>
  <c r="H799" i="8"/>
  <c r="H797" i="8"/>
  <c r="H795" i="8"/>
  <c r="H793" i="8"/>
  <c r="H791" i="8"/>
  <c r="H789" i="8"/>
  <c r="H787" i="8"/>
  <c r="H785" i="8"/>
  <c r="H783" i="8"/>
  <c r="H781" i="8"/>
  <c r="H779" i="8"/>
  <c r="H777" i="8"/>
  <c r="H775" i="8"/>
  <c r="H773" i="8"/>
  <c r="H771" i="8"/>
  <c r="H769" i="8"/>
  <c r="H767" i="8"/>
  <c r="H765" i="8"/>
  <c r="H763" i="8"/>
  <c r="H761" i="8"/>
  <c r="H759" i="8"/>
  <c r="H757" i="8"/>
  <c r="H755" i="8"/>
  <c r="H753" i="8"/>
  <c r="H751" i="8"/>
  <c r="H749" i="8"/>
  <c r="H747" i="8"/>
  <c r="H745" i="8"/>
  <c r="H743" i="8"/>
  <c r="H741" i="8"/>
  <c r="H739" i="8"/>
  <c r="H737" i="8"/>
  <c r="H735" i="8"/>
  <c r="H733" i="8"/>
  <c r="H731" i="8"/>
  <c r="H729" i="8"/>
  <c r="H727" i="8"/>
  <c r="H725" i="8"/>
  <c r="H723" i="8"/>
  <c r="H721" i="8"/>
  <c r="H357" i="8"/>
  <c r="H355" i="8"/>
  <c r="H353" i="8"/>
  <c r="H351" i="8"/>
  <c r="H349" i="8"/>
  <c r="H347" i="8"/>
  <c r="H345" i="8"/>
  <c r="H343" i="8"/>
  <c r="H341" i="8"/>
  <c r="H339" i="8"/>
  <c r="H337" i="8"/>
  <c r="H335" i="8"/>
  <c r="H333" i="8"/>
  <c r="H331" i="8"/>
  <c r="H329" i="8"/>
  <c r="H327" i="8"/>
  <c r="H325" i="8"/>
  <c r="H323" i="8"/>
  <c r="H321" i="8"/>
  <c r="H319" i="8"/>
  <c r="H317" i="8"/>
  <c r="H315" i="8"/>
  <c r="H313" i="8"/>
  <c r="H311" i="8"/>
  <c r="H309" i="8"/>
  <c r="H307" i="8"/>
  <c r="H305" i="8"/>
  <c r="H303" i="8"/>
  <c r="H301" i="8"/>
  <c r="H299" i="8"/>
  <c r="H297" i="8"/>
  <c r="H295" i="8"/>
  <c r="H293" i="8"/>
  <c r="H291" i="8"/>
  <c r="H289" i="8"/>
  <c r="H287" i="8"/>
  <c r="H285" i="8"/>
  <c r="H283" i="8"/>
  <c r="H281" i="8"/>
  <c r="H279" i="8"/>
  <c r="H277" i="8"/>
  <c r="H275" i="8"/>
  <c r="H273" i="8"/>
  <c r="H271" i="8"/>
  <c r="H269" i="8"/>
  <c r="H267" i="8"/>
  <c r="H265" i="8"/>
  <c r="H263" i="8"/>
  <c r="H261" i="8"/>
  <c r="H259" i="8"/>
  <c r="H257" i="8"/>
  <c r="H255" i="8"/>
  <c r="H253" i="8"/>
  <c r="H251" i="8"/>
  <c r="H249" i="8"/>
  <c r="H247" i="8"/>
  <c r="H245" i="8"/>
  <c r="H243" i="8"/>
  <c r="H241" i="8"/>
  <c r="H239" i="8"/>
  <c r="H237" i="8"/>
  <c r="H235" i="8"/>
  <c r="H233" i="8"/>
  <c r="H231" i="8"/>
  <c r="H229" i="8"/>
  <c r="H227" i="8"/>
  <c r="H225" i="8"/>
  <c r="H223" i="8"/>
  <c r="H221" i="8"/>
  <c r="H219" i="8"/>
  <c r="H217" i="8"/>
  <c r="H215" i="8"/>
  <c r="H213" i="8"/>
  <c r="H211" i="8"/>
  <c r="H209" i="8"/>
  <c r="H207" i="8"/>
  <c r="H205" i="8"/>
  <c r="H203" i="8"/>
  <c r="H201" i="8"/>
  <c r="H199" i="8"/>
  <c r="H197" i="8"/>
  <c r="H195" i="8"/>
  <c r="H193" i="8"/>
  <c r="H191" i="8"/>
  <c r="H189" i="8"/>
  <c r="H187" i="8"/>
  <c r="H185" i="8"/>
  <c r="H183" i="8"/>
  <c r="H181" i="8"/>
  <c r="H179" i="8"/>
  <c r="H177" i="8"/>
  <c r="H175" i="8"/>
  <c r="H173" i="8"/>
  <c r="H171" i="8"/>
  <c r="H169" i="8"/>
  <c r="H167" i="8"/>
  <c r="H165" i="8"/>
  <c r="H163" i="8"/>
  <c r="H161" i="8"/>
  <c r="H159" i="8"/>
  <c r="H157" i="8"/>
  <c r="H155" i="8"/>
  <c r="H153" i="8"/>
  <c r="H151" i="8"/>
  <c r="H149" i="8"/>
  <c r="H147" i="8"/>
  <c r="H145" i="8"/>
  <c r="H143" i="8"/>
  <c r="H141" i="8"/>
  <c r="H139" i="8"/>
  <c r="H137" i="8"/>
  <c r="H135" i="8"/>
  <c r="H133" i="8"/>
  <c r="H131" i="8"/>
  <c r="H129" i="8"/>
  <c r="H127" i="8"/>
  <c r="H125" i="8"/>
  <c r="H123" i="8"/>
  <c r="H121" i="8"/>
  <c r="H119" i="8"/>
  <c r="H117" i="8"/>
  <c r="H115" i="8"/>
  <c r="H113" i="8"/>
  <c r="H111" i="8"/>
  <c r="H109" i="8"/>
  <c r="H107" i="8"/>
  <c r="H105" i="8"/>
  <c r="H103" i="8"/>
  <c r="H101" i="8"/>
  <c r="H99" i="8"/>
  <c r="H97" i="8"/>
  <c r="H95" i="8"/>
  <c r="H93" i="8"/>
  <c r="H91" i="8"/>
  <c r="H89" i="8"/>
  <c r="H87" i="8"/>
  <c r="H85" i="8"/>
  <c r="H83" i="8"/>
  <c r="H81" i="8"/>
  <c r="H79" i="8"/>
  <c r="H77" i="8"/>
  <c r="H75" i="8"/>
  <c r="H73" i="8"/>
  <c r="H71" i="8"/>
  <c r="H69" i="8"/>
  <c r="H67" i="8"/>
  <c r="H65" i="8"/>
  <c r="H63" i="8"/>
  <c r="H61" i="8"/>
  <c r="H59" i="8"/>
  <c r="H57" i="8"/>
  <c r="H55" i="8"/>
  <c r="H53" i="8"/>
  <c r="H51" i="8"/>
  <c r="H49" i="8"/>
  <c r="H47" i="8"/>
  <c r="H45" i="8"/>
  <c r="H43" i="8"/>
  <c r="H41" i="8"/>
  <c r="H39" i="8"/>
  <c r="H37" i="8"/>
  <c r="H35" i="8"/>
  <c r="H33" i="8"/>
  <c r="H31" i="8"/>
  <c r="H29" i="8"/>
  <c r="H27" i="8"/>
  <c r="H25" i="8"/>
  <c r="H23" i="8"/>
  <c r="H21" i="8"/>
  <c r="H19" i="8"/>
  <c r="H17" i="8"/>
  <c r="H15" i="8"/>
  <c r="H13" i="8"/>
  <c r="H11" i="8"/>
  <c r="H9" i="8"/>
  <c r="H7" i="8"/>
  <c r="H5" i="8"/>
  <c r="H3" i="8"/>
  <c r="H2" i="8" a="1"/>
  <c r="G2" i="8" a="1"/>
  <c r="F2" i="8"/>
  <c r="E2" i="8"/>
  <c r="D2" i="8"/>
  <c r="C2" i="8"/>
  <c r="H2" i="8" s="1"/>
  <c r="B2" i="8"/>
  <c r="A2" i="8"/>
  <c r="F1" i="8"/>
  <c r="E1" i="8"/>
  <c r="D1" i="8"/>
  <c r="C1" i="8"/>
  <c r="B1" i="8"/>
  <c r="A1" i="8"/>
  <c r="L5" i="9"/>
  <c r="G5" i="9"/>
  <c r="G5621" i="8" l="1"/>
  <c r="G5619" i="8"/>
  <c r="G5617" i="8"/>
  <c r="G5615" i="8"/>
  <c r="G5613" i="8"/>
  <c r="G5611" i="8"/>
  <c r="G5609" i="8"/>
  <c r="G5607" i="8"/>
  <c r="G5605" i="8"/>
  <c r="G5603" i="8"/>
  <c r="G5601" i="8"/>
  <c r="G5599" i="8"/>
  <c r="G5597" i="8"/>
  <c r="G5595" i="8"/>
  <c r="G5593" i="8"/>
  <c r="G5591" i="8"/>
  <c r="G5589" i="8"/>
  <c r="G5587" i="8"/>
  <c r="G5585" i="8"/>
  <c r="G5583" i="8"/>
  <c r="G5581" i="8"/>
  <c r="G5579" i="8"/>
  <c r="G5577" i="8"/>
  <c r="G5575" i="8"/>
  <c r="G5573" i="8"/>
  <c r="G5571" i="8"/>
  <c r="G5569" i="8"/>
  <c r="G5567" i="8"/>
  <c r="G5565" i="8"/>
  <c r="G5563" i="8"/>
  <c r="G5561" i="8"/>
  <c r="G5559" i="8"/>
  <c r="G5557" i="8"/>
  <c r="G5555" i="8"/>
  <c r="G5553" i="8"/>
  <c r="G5551" i="8"/>
  <c r="G5549" i="8"/>
  <c r="G5547" i="8"/>
  <c r="G5545" i="8"/>
  <c r="G5543" i="8"/>
  <c r="G5541" i="8"/>
  <c r="G5539" i="8"/>
  <c r="G5537" i="8"/>
  <c r="G5535" i="8"/>
  <c r="G5533" i="8"/>
  <c r="G5531" i="8"/>
  <c r="G5529" i="8"/>
  <c r="G5527" i="8"/>
  <c r="G5525" i="8"/>
  <c r="G5523" i="8"/>
  <c r="G5521" i="8"/>
  <c r="G5519" i="8"/>
  <c r="G5517" i="8"/>
  <c r="G5515" i="8"/>
  <c r="G5513" i="8"/>
  <c r="G5511" i="8"/>
  <c r="G5509" i="8"/>
  <c r="G5507" i="8"/>
  <c r="G5505" i="8"/>
  <c r="G5503" i="8"/>
  <c r="G5501" i="8"/>
  <c r="G5499" i="8"/>
  <c r="G5497" i="8"/>
  <c r="G5495" i="8"/>
  <c r="G5493" i="8"/>
  <c r="G5491" i="8"/>
  <c r="G5489" i="8"/>
  <c r="G5487" i="8"/>
  <c r="G5485" i="8"/>
  <c r="G5483" i="8"/>
  <c r="G5481" i="8"/>
  <c r="G5479" i="8"/>
  <c r="G5477" i="8"/>
  <c r="G5475" i="8"/>
  <c r="G5473" i="8"/>
  <c r="G5471" i="8"/>
  <c r="G5469" i="8"/>
  <c r="G5467" i="8"/>
  <c r="G5465" i="8"/>
  <c r="G5463" i="8"/>
  <c r="G5461" i="8"/>
  <c r="G5459" i="8"/>
  <c r="G5457" i="8"/>
  <c r="G5455" i="8"/>
  <c r="G5453" i="8"/>
  <c r="G5451" i="8"/>
  <c r="G5449" i="8"/>
  <c r="G5447" i="8"/>
  <c r="G5445" i="8"/>
  <c r="G5443" i="8"/>
  <c r="G5441" i="8"/>
  <c r="G5439" i="8"/>
  <c r="G5437" i="8"/>
  <c r="G5435" i="8"/>
  <c r="G5433" i="8"/>
  <c r="G5431" i="8"/>
  <c r="G5429" i="8"/>
  <c r="G5427" i="8"/>
  <c r="G5425" i="8"/>
  <c r="G5423" i="8"/>
  <c r="G5421" i="8"/>
  <c r="G5419" i="8"/>
  <c r="G5417" i="8"/>
  <c r="G5415" i="8"/>
  <c r="G5413" i="8"/>
  <c r="G5411" i="8"/>
  <c r="G5409" i="8"/>
  <c r="G5407" i="8"/>
  <c r="G5405" i="8"/>
  <c r="G5403" i="8"/>
  <c r="G5401" i="8"/>
  <c r="G5399" i="8"/>
  <c r="G5397" i="8"/>
  <c r="G5395" i="8"/>
  <c r="G5393" i="8"/>
  <c r="G5391" i="8"/>
  <c r="G5389" i="8"/>
  <c r="G5387" i="8"/>
  <c r="G5385" i="8"/>
  <c r="G5383" i="8"/>
  <c r="G5381" i="8"/>
  <c r="G5379" i="8"/>
  <c r="G5377" i="8"/>
  <c r="G5375" i="8"/>
  <c r="G5373" i="8"/>
  <c r="G5371" i="8"/>
  <c r="G5369" i="8"/>
  <c r="G5367" i="8"/>
  <c r="G5365" i="8"/>
  <c r="G5363" i="8"/>
  <c r="G5361" i="8"/>
  <c r="G5359" i="8"/>
  <c r="G5357" i="8"/>
  <c r="G5355" i="8"/>
  <c r="G5353" i="8"/>
  <c r="G5351" i="8"/>
  <c r="G5349" i="8"/>
  <c r="G5347" i="8"/>
  <c r="G5345" i="8"/>
  <c r="G5343" i="8"/>
  <c r="G5341" i="8"/>
  <c r="G5339" i="8"/>
  <c r="G5337" i="8"/>
  <c r="G5335" i="8"/>
  <c r="G5333" i="8"/>
  <c r="G5331" i="8"/>
  <c r="G5329" i="8"/>
  <c r="G5327" i="8"/>
  <c r="G5325" i="8"/>
  <c r="G5323" i="8"/>
  <c r="G5321" i="8"/>
  <c r="G5319" i="8"/>
  <c r="G5317" i="8"/>
  <c r="G5315" i="8"/>
  <c r="G5313" i="8"/>
  <c r="G5311" i="8"/>
  <c r="G5309" i="8"/>
  <c r="G5307" i="8"/>
  <c r="G5305" i="8"/>
  <c r="G5303" i="8"/>
  <c r="G5301" i="8"/>
  <c r="G5299" i="8"/>
  <c r="G5297" i="8"/>
  <c r="G5295" i="8"/>
  <c r="G5293" i="8"/>
  <c r="G5291" i="8"/>
  <c r="G5289" i="8"/>
  <c r="G5287" i="8"/>
  <c r="G5285" i="8"/>
  <c r="G5283" i="8"/>
  <c r="G5281" i="8"/>
  <c r="G5279" i="8"/>
  <c r="G5277" i="8"/>
  <c r="G5275" i="8"/>
  <c r="G5273" i="8"/>
  <c r="G5271" i="8"/>
  <c r="G5269" i="8"/>
  <c r="G5267" i="8"/>
  <c r="G5265" i="8"/>
  <c r="G5263" i="8"/>
  <c r="G5261" i="8"/>
  <c r="G5259" i="8"/>
  <c r="G5257" i="8"/>
  <c r="G5255" i="8"/>
  <c r="G5253" i="8"/>
  <c r="G5251" i="8"/>
  <c r="G5249" i="8"/>
  <c r="G5247" i="8"/>
  <c r="G5245" i="8"/>
  <c r="G5243" i="8"/>
  <c r="G5241" i="8"/>
  <c r="G5239" i="8"/>
  <c r="G5237" i="8"/>
  <c r="G5235" i="8"/>
  <c r="G5233" i="8"/>
  <c r="G5231" i="8"/>
  <c r="G5229" i="8"/>
  <c r="G5227" i="8"/>
  <c r="G5225" i="8"/>
  <c r="G5223" i="8"/>
  <c r="G5221" i="8"/>
  <c r="G5219" i="8"/>
  <c r="G5217" i="8"/>
  <c r="G5215" i="8"/>
  <c r="G5213" i="8"/>
  <c r="G5211" i="8"/>
  <c r="G5209" i="8"/>
  <c r="G5207" i="8"/>
  <c r="G5205" i="8"/>
  <c r="G5203" i="8"/>
  <c r="G5201" i="8"/>
  <c r="G5199" i="8"/>
  <c r="G5197" i="8"/>
  <c r="G5195" i="8"/>
  <c r="G5193" i="8"/>
  <c r="G5191" i="8"/>
  <c r="G5189" i="8"/>
  <c r="G5187" i="8"/>
  <c r="G5185" i="8"/>
  <c r="G5183" i="8"/>
  <c r="G5181" i="8"/>
  <c r="G5179" i="8"/>
  <c r="G5177" i="8"/>
  <c r="G5175" i="8"/>
  <c r="G5173" i="8"/>
  <c r="G5171" i="8"/>
  <c r="G5169" i="8"/>
  <c r="G5167" i="8"/>
  <c r="G5165" i="8"/>
  <c r="G5163" i="8"/>
  <c r="G5161" i="8"/>
  <c r="G5159" i="8"/>
  <c r="G5157" i="8"/>
  <c r="G5155" i="8"/>
  <c r="G5153" i="8"/>
  <c r="G5151" i="8"/>
  <c r="G5149" i="8"/>
  <c r="G5147" i="8"/>
  <c r="G5145" i="8"/>
  <c r="G5143" i="8"/>
  <c r="G5141" i="8"/>
  <c r="G5139" i="8"/>
  <c r="G5137" i="8"/>
  <c r="G5135" i="8"/>
  <c r="G5133" i="8"/>
  <c r="G5131" i="8"/>
  <c r="G5129" i="8"/>
  <c r="G5127" i="8"/>
  <c r="G5125" i="8"/>
  <c r="G5123" i="8"/>
  <c r="G5121" i="8"/>
  <c r="G5119" i="8"/>
  <c r="G5117" i="8"/>
  <c r="G5115" i="8"/>
  <c r="G5113" i="8"/>
  <c r="G5111" i="8"/>
  <c r="G5109" i="8"/>
  <c r="G5107" i="8"/>
  <c r="G5105" i="8"/>
  <c r="G5103" i="8"/>
  <c r="G5101" i="8"/>
  <c r="G5099" i="8"/>
  <c r="G5097" i="8"/>
  <c r="G5095" i="8"/>
  <c r="G5093" i="8"/>
  <c r="G5091" i="8"/>
  <c r="G5089" i="8"/>
  <c r="G5087" i="8"/>
  <c r="G5085" i="8"/>
  <c r="G5083" i="8"/>
  <c r="G5081" i="8"/>
  <c r="G5079" i="8"/>
  <c r="G5077" i="8"/>
  <c r="G5075" i="8"/>
  <c r="G5073" i="8"/>
  <c r="G5071" i="8"/>
  <c r="G5069" i="8"/>
  <c r="G5067" i="8"/>
  <c r="G5065" i="8"/>
  <c r="G5063" i="8"/>
  <c r="G5061" i="8"/>
  <c r="G5059" i="8"/>
  <c r="G5057" i="8"/>
  <c r="G5055" i="8"/>
  <c r="G5053" i="8"/>
  <c r="G5051" i="8"/>
  <c r="G5049" i="8"/>
  <c r="G5047" i="8"/>
  <c r="G5045" i="8"/>
  <c r="G5043" i="8"/>
  <c r="G5041" i="8"/>
  <c r="G5039" i="8"/>
  <c r="G5037" i="8"/>
  <c r="G5035" i="8"/>
  <c r="G5033" i="8"/>
  <c r="G5031" i="8"/>
  <c r="G5029" i="8"/>
  <c r="G5027" i="8"/>
  <c r="G5025" i="8"/>
  <c r="G5023" i="8"/>
  <c r="G5021" i="8"/>
  <c r="G5019" i="8"/>
  <c r="G5017" i="8"/>
  <c r="G5015" i="8"/>
  <c r="G5013" i="8"/>
  <c r="G5011" i="8"/>
  <c r="G5009" i="8"/>
  <c r="G5007" i="8"/>
  <c r="G5005" i="8"/>
  <c r="G5003" i="8"/>
  <c r="G5001" i="8"/>
  <c r="G4999" i="8"/>
  <c r="G4997" i="8"/>
  <c r="G4995" i="8"/>
  <c r="G4993" i="8"/>
  <c r="G4991" i="8"/>
  <c r="G4989" i="8"/>
  <c r="G4987" i="8"/>
  <c r="G4985" i="8"/>
  <c r="G4983" i="8"/>
  <c r="G4981" i="8"/>
  <c r="G4979" i="8"/>
  <c r="G4977" i="8"/>
  <c r="G4975" i="8"/>
  <c r="G4973" i="8"/>
  <c r="G4971" i="8"/>
  <c r="G4969" i="8"/>
  <c r="G4967" i="8"/>
  <c r="G4965" i="8"/>
  <c r="G4963" i="8"/>
  <c r="G4961" i="8"/>
  <c r="G4959" i="8"/>
  <c r="G4957" i="8"/>
  <c r="G4955" i="8"/>
  <c r="G4953" i="8"/>
  <c r="G4951" i="8"/>
  <c r="G4949" i="8"/>
  <c r="G4947" i="8"/>
  <c r="G4945" i="8"/>
  <c r="G4943" i="8"/>
  <c r="G4941" i="8"/>
  <c r="G4939" i="8"/>
  <c r="G4937" i="8"/>
  <c r="G4935" i="8"/>
  <c r="G4933" i="8"/>
  <c r="G4931" i="8"/>
  <c r="G4929" i="8"/>
  <c r="G4927" i="8"/>
  <c r="G4925" i="8"/>
  <c r="G4923" i="8"/>
  <c r="G4921" i="8"/>
  <c r="G4919" i="8"/>
  <c r="G4917" i="8"/>
  <c r="G4915" i="8"/>
  <c r="G4913" i="8"/>
  <c r="G4911" i="8"/>
  <c r="G4909" i="8"/>
  <c r="G4907" i="8"/>
  <c r="G4905" i="8"/>
  <c r="G4903" i="8"/>
  <c r="G4901" i="8"/>
  <c r="G4899" i="8"/>
  <c r="G4897" i="8"/>
  <c r="G4895" i="8"/>
  <c r="G4893" i="8"/>
  <c r="G4891" i="8"/>
  <c r="G4889" i="8"/>
  <c r="G4887" i="8"/>
  <c r="G4885" i="8"/>
  <c r="G4883" i="8"/>
  <c r="G4881" i="8"/>
  <c r="G4879" i="8"/>
  <c r="G4877" i="8"/>
  <c r="G4875" i="8"/>
  <c r="G4873" i="8"/>
  <c r="G4871" i="8"/>
  <c r="G4869" i="8"/>
  <c r="G4867" i="8"/>
  <c r="G4865" i="8"/>
  <c r="G4863" i="8"/>
  <c r="G4861" i="8"/>
  <c r="G4859" i="8"/>
  <c r="G4857" i="8"/>
  <c r="G4855" i="8"/>
  <c r="G4853" i="8"/>
  <c r="G4851" i="8"/>
  <c r="G4849" i="8"/>
  <c r="G4847" i="8"/>
  <c r="G4845" i="8"/>
  <c r="G4843" i="8"/>
  <c r="G4841" i="8"/>
  <c r="G4839" i="8"/>
  <c r="G4837" i="8"/>
  <c r="G4835" i="8"/>
  <c r="G4833" i="8"/>
  <c r="G4831" i="8"/>
  <c r="G4829" i="8"/>
  <c r="G4827" i="8"/>
  <c r="G4825" i="8"/>
  <c r="G4823" i="8"/>
  <c r="G4821" i="8"/>
  <c r="G4819" i="8"/>
  <c r="G4817" i="8"/>
  <c r="G4815" i="8"/>
  <c r="G4813" i="8"/>
  <c r="G4811" i="8"/>
  <c r="G4809" i="8"/>
  <c r="G4807" i="8"/>
  <c r="G4805" i="8"/>
  <c r="G4803" i="8"/>
  <c r="G4801" i="8"/>
  <c r="G4799" i="8"/>
  <c r="G4797" i="8"/>
  <c r="G4795" i="8"/>
  <c r="G4793" i="8"/>
  <c r="G4791" i="8"/>
  <c r="G4789" i="8"/>
  <c r="G4787" i="8"/>
  <c r="G4785" i="8"/>
  <c r="G4783" i="8"/>
  <c r="G4781" i="8"/>
  <c r="G4779" i="8"/>
  <c r="G4777" i="8"/>
  <c r="G4775" i="8"/>
  <c r="G4773" i="8"/>
  <c r="G4771" i="8"/>
  <c r="G4769" i="8"/>
  <c r="G4767" i="8"/>
  <c r="G4765" i="8"/>
  <c r="G4763" i="8"/>
  <c r="G4761" i="8"/>
  <c r="G4759" i="8"/>
  <c r="G4757" i="8"/>
  <c r="G4755" i="8"/>
  <c r="G4753" i="8"/>
  <c r="G4751" i="8"/>
  <c r="G4749" i="8"/>
  <c r="G4747" i="8"/>
  <c r="G4745" i="8"/>
  <c r="G4743" i="8"/>
  <c r="G4741" i="8"/>
  <c r="G4739" i="8"/>
  <c r="G4737" i="8"/>
  <c r="G4735" i="8"/>
  <c r="G4733" i="8"/>
  <c r="G4731" i="8"/>
  <c r="G4729" i="8"/>
  <c r="G4727" i="8"/>
  <c r="G4725" i="8"/>
  <c r="G4723" i="8"/>
  <c r="G4721" i="8"/>
  <c r="G4719" i="8"/>
  <c r="G4717" i="8"/>
  <c r="G4715" i="8"/>
  <c r="G4713" i="8"/>
  <c r="G4711" i="8"/>
  <c r="G4709" i="8"/>
  <c r="G4707" i="8"/>
  <c r="G4705" i="8"/>
  <c r="G4703" i="8"/>
  <c r="G4701" i="8"/>
  <c r="G4699" i="8"/>
  <c r="G4697" i="8"/>
  <c r="G4695" i="8"/>
  <c r="G4693" i="8"/>
  <c r="G4691" i="8"/>
  <c r="G4689" i="8"/>
  <c r="G4687" i="8"/>
  <c r="G4685" i="8"/>
  <c r="G4683" i="8"/>
  <c r="G4681" i="8"/>
  <c r="G4679" i="8"/>
  <c r="G4677" i="8"/>
  <c r="G4675" i="8"/>
  <c r="G4673" i="8"/>
  <c r="G4671" i="8"/>
  <c r="G4669" i="8"/>
  <c r="G4667" i="8"/>
  <c r="G4665" i="8"/>
  <c r="G4663" i="8"/>
  <c r="G4661" i="8"/>
  <c r="G4659" i="8"/>
  <c r="G4657" i="8"/>
  <c r="G4655" i="8"/>
  <c r="G4653" i="8"/>
  <c r="G4651" i="8"/>
  <c r="G4649" i="8"/>
  <c r="G4647" i="8"/>
  <c r="G4645" i="8"/>
  <c r="G4643" i="8"/>
  <c r="G4641" i="8"/>
  <c r="G4639" i="8"/>
  <c r="G4637" i="8"/>
  <c r="G4635" i="8"/>
  <c r="G4633" i="8"/>
  <c r="G4631" i="8"/>
  <c r="G4629" i="8"/>
  <c r="G4627" i="8"/>
  <c r="G4625" i="8"/>
  <c r="G4623" i="8"/>
  <c r="G4621" i="8"/>
  <c r="G4619" i="8"/>
  <c r="G4617" i="8"/>
  <c r="G4615" i="8"/>
  <c r="G4613" i="8"/>
  <c r="G4611" i="8"/>
  <c r="G4609" i="8"/>
  <c r="G4607" i="8"/>
  <c r="G4605" i="8"/>
  <c r="G4603" i="8"/>
  <c r="G4601" i="8"/>
  <c r="G4599" i="8"/>
  <c r="G4597" i="8"/>
  <c r="G4595" i="8"/>
  <c r="G4593" i="8"/>
  <c r="G4591" i="8"/>
  <c r="G4589" i="8"/>
  <c r="G4587" i="8"/>
  <c r="G4585" i="8"/>
  <c r="G4583" i="8"/>
  <c r="G4581" i="8"/>
  <c r="G4579" i="8"/>
  <c r="G4577" i="8"/>
  <c r="G4575" i="8"/>
  <c r="G4573" i="8"/>
  <c r="G4571" i="8"/>
  <c r="G4569" i="8"/>
  <c r="G4567" i="8"/>
  <c r="G4565" i="8"/>
  <c r="G4563" i="8"/>
  <c r="G4561" i="8"/>
  <c r="G4559" i="8"/>
  <c r="G4557" i="8"/>
  <c r="G4555" i="8"/>
  <c r="G4553" i="8"/>
  <c r="G4551" i="8"/>
  <c r="G4549" i="8"/>
  <c r="G4547" i="8"/>
  <c r="G4545" i="8"/>
  <c r="G4543" i="8"/>
  <c r="G4541" i="8"/>
  <c r="G4539" i="8"/>
  <c r="G4537" i="8"/>
  <c r="G4535" i="8"/>
  <c r="G4533" i="8"/>
  <c r="G4531" i="8"/>
  <c r="G4529" i="8"/>
  <c r="G4527" i="8"/>
  <c r="G4525" i="8"/>
  <c r="G4523" i="8"/>
  <c r="G4521" i="8"/>
  <c r="G4519" i="8"/>
  <c r="G4517" i="8"/>
  <c r="G4515" i="8"/>
  <c r="G4513" i="8"/>
  <c r="G4511" i="8"/>
  <c r="G4509" i="8"/>
  <c r="G4507" i="8"/>
  <c r="G4505" i="8"/>
  <c r="G4503" i="8"/>
  <c r="G4501" i="8"/>
  <c r="G4499" i="8"/>
  <c r="G4497" i="8"/>
  <c r="G4495" i="8"/>
  <c r="G4493" i="8"/>
  <c r="G4491" i="8"/>
  <c r="G4489" i="8"/>
  <c r="G4487" i="8"/>
  <c r="G4485" i="8"/>
  <c r="G4483" i="8"/>
  <c r="G4481" i="8"/>
  <c r="G4479" i="8"/>
  <c r="G4477" i="8"/>
  <c r="G4475" i="8"/>
  <c r="G4473" i="8"/>
  <c r="G4471" i="8"/>
  <c r="G4469" i="8"/>
  <c r="G4467" i="8"/>
  <c r="G4465" i="8"/>
  <c r="G4463" i="8"/>
  <c r="G4461" i="8"/>
  <c r="G4459" i="8"/>
  <c r="G4457" i="8"/>
  <c r="G4455" i="8"/>
  <c r="G4453" i="8"/>
  <c r="G4451" i="8"/>
  <c r="G4449" i="8"/>
  <c r="G4447" i="8"/>
  <c r="G4445" i="8"/>
  <c r="G4443" i="8"/>
  <c r="G4441" i="8"/>
  <c r="G4439" i="8"/>
  <c r="G4437" i="8"/>
  <c r="G4435" i="8"/>
  <c r="G4433" i="8"/>
  <c r="G4431" i="8"/>
  <c r="G4429" i="8"/>
  <c r="G4427" i="8"/>
  <c r="G4425" i="8"/>
  <c r="G4423" i="8"/>
  <c r="G4421" i="8"/>
  <c r="G4419" i="8"/>
  <c r="G4417" i="8"/>
  <c r="G4415" i="8"/>
  <c r="G4413" i="8"/>
  <c r="G4411" i="8"/>
  <c r="G4409" i="8"/>
  <c r="G4407" i="8"/>
  <c r="G4405" i="8"/>
  <c r="G4403" i="8"/>
  <c r="G4401" i="8"/>
  <c r="G4399" i="8"/>
  <c r="G4397" i="8"/>
  <c r="G4395" i="8"/>
  <c r="G4393" i="8"/>
  <c r="G4391" i="8"/>
  <c r="G4389" i="8"/>
  <c r="G4387" i="8"/>
  <c r="G4385" i="8"/>
  <c r="G4383" i="8"/>
  <c r="G4381" i="8"/>
  <c r="G4379" i="8"/>
  <c r="G4377" i="8"/>
  <c r="G4375" i="8"/>
  <c r="G4373" i="8"/>
  <c r="G4371" i="8"/>
  <c r="G4369" i="8"/>
  <c r="G4367" i="8"/>
  <c r="G4365" i="8"/>
  <c r="G4363" i="8"/>
  <c r="G4361" i="8"/>
  <c r="G4359" i="8"/>
  <c r="G4357" i="8"/>
  <c r="G4355" i="8"/>
  <c r="G4353" i="8"/>
  <c r="G4351" i="8"/>
  <c r="G4349" i="8"/>
  <c r="G4347" i="8"/>
  <c r="G4345" i="8"/>
  <c r="G4343" i="8"/>
  <c r="G4341" i="8"/>
  <c r="G4339" i="8"/>
  <c r="G4337" i="8"/>
  <c r="G4335" i="8"/>
  <c r="G4333" i="8"/>
  <c r="G4331" i="8"/>
  <c r="G4329" i="8"/>
  <c r="G4327" i="8"/>
  <c r="G4325" i="8"/>
  <c r="G4323" i="8"/>
  <c r="G4321" i="8"/>
  <c r="G4319" i="8"/>
  <c r="G4317" i="8"/>
  <c r="G4315" i="8"/>
  <c r="G4313" i="8"/>
  <c r="G4311" i="8"/>
  <c r="G4309" i="8"/>
  <c r="G4307" i="8"/>
  <c r="G4305" i="8"/>
  <c r="G4303" i="8"/>
  <c r="G4301" i="8"/>
  <c r="G4299" i="8"/>
  <c r="G4297" i="8"/>
  <c r="G4295" i="8"/>
  <c r="G4293" i="8"/>
  <c r="G4291" i="8"/>
  <c r="G4289" i="8"/>
  <c r="G4287" i="8"/>
  <c r="G4285" i="8"/>
  <c r="G4283" i="8"/>
  <c r="G4281" i="8"/>
  <c r="G4279" i="8"/>
  <c r="G4277" i="8"/>
  <c r="G4275" i="8"/>
  <c r="G4273" i="8"/>
  <c r="G4271" i="8"/>
  <c r="G4269" i="8"/>
  <c r="G4267" i="8"/>
  <c r="G4265" i="8"/>
  <c r="G4263" i="8"/>
  <c r="G4261" i="8"/>
  <c r="G4259" i="8"/>
  <c r="G4257" i="8"/>
  <c r="G4255" i="8"/>
  <c r="G4253" i="8"/>
  <c r="G4251" i="8"/>
  <c r="G4249" i="8"/>
  <c r="G4247" i="8"/>
  <c r="G4245" i="8"/>
  <c r="G4243" i="8"/>
  <c r="G4241" i="8"/>
  <c r="G4239" i="8"/>
  <c r="G4237" i="8"/>
  <c r="G4235" i="8"/>
  <c r="G4233" i="8"/>
  <c r="G4231" i="8"/>
  <c r="G4229" i="8"/>
  <c r="G4227" i="8"/>
  <c r="G4225" i="8"/>
  <c r="G4223" i="8"/>
  <c r="G4221" i="8"/>
  <c r="G4219" i="8"/>
  <c r="G4217" i="8"/>
  <c r="G4215" i="8"/>
  <c r="G4213" i="8"/>
  <c r="G4211" i="8"/>
  <c r="G4209" i="8"/>
  <c r="G4207" i="8"/>
  <c r="G4205" i="8"/>
  <c r="G4203" i="8"/>
  <c r="G4201" i="8"/>
  <c r="G4199" i="8"/>
  <c r="G4197" i="8"/>
  <c r="G4195" i="8"/>
  <c r="G4193" i="8"/>
  <c r="G4191" i="8"/>
  <c r="G4189" i="8"/>
  <c r="G4187" i="8"/>
  <c r="G4185" i="8"/>
  <c r="G4183" i="8"/>
  <c r="G4181" i="8"/>
  <c r="G4179" i="8"/>
  <c r="G4177" i="8"/>
  <c r="G4175" i="8"/>
  <c r="G4173" i="8"/>
  <c r="G4171" i="8"/>
  <c r="G4169" i="8"/>
  <c r="G4167" i="8"/>
  <c r="G4165" i="8"/>
  <c r="G4163" i="8"/>
  <c r="G4161" i="8"/>
  <c r="G4159" i="8"/>
  <c r="G4157" i="8"/>
  <c r="G4155" i="8"/>
  <c r="G4153" i="8"/>
  <c r="G4151" i="8"/>
  <c r="G4149" i="8"/>
  <c r="G4147" i="8"/>
  <c r="G4145" i="8"/>
  <c r="G4143" i="8"/>
  <c r="G4141" i="8"/>
  <c r="G4139" i="8"/>
  <c r="G4137" i="8"/>
  <c r="G4135" i="8"/>
  <c r="G4133" i="8"/>
  <c r="G4131" i="8"/>
  <c r="G4129" i="8"/>
  <c r="G4127" i="8"/>
  <c r="G4125" i="8"/>
  <c r="G4123" i="8"/>
  <c r="G4121" i="8"/>
  <c r="G4119" i="8"/>
  <c r="G4117" i="8"/>
  <c r="G4115" i="8"/>
  <c r="G4113" i="8"/>
  <c r="G4111" i="8"/>
  <c r="G4109" i="8"/>
  <c r="G4107" i="8"/>
  <c r="G4105" i="8"/>
  <c r="G4103" i="8"/>
  <c r="G4101" i="8"/>
  <c r="G4099" i="8"/>
  <c r="G4097" i="8"/>
  <c r="G4095" i="8"/>
  <c r="G4093" i="8"/>
  <c r="G4091" i="8"/>
  <c r="G4089" i="8"/>
  <c r="G4087" i="8"/>
  <c r="G4085" i="8"/>
  <c r="G4083" i="8"/>
  <c r="G4081" i="8"/>
  <c r="G4079" i="8"/>
  <c r="G4077" i="8"/>
  <c r="G4075" i="8"/>
  <c r="G4073" i="8"/>
  <c r="G4071" i="8"/>
  <c r="G4069" i="8"/>
  <c r="G4067" i="8"/>
  <c r="G4065" i="8"/>
  <c r="G4063" i="8"/>
  <c r="G4061" i="8"/>
  <c r="G4059" i="8"/>
  <c r="G4057" i="8"/>
  <c r="G4055" i="8"/>
  <c r="G4053" i="8"/>
  <c r="G4051" i="8"/>
  <c r="G4049" i="8"/>
  <c r="G4047" i="8"/>
  <c r="G4045" i="8"/>
  <c r="G4043" i="8"/>
  <c r="G4041" i="8"/>
  <c r="G4039" i="8"/>
  <c r="G4037" i="8"/>
  <c r="G4035" i="8"/>
  <c r="G4033" i="8"/>
  <c r="G4031" i="8"/>
  <c r="G4029" i="8"/>
  <c r="G4027" i="8"/>
  <c r="G4025" i="8"/>
  <c r="G4023" i="8"/>
  <c r="G4021" i="8"/>
  <c r="G4019" i="8"/>
  <c r="G4017" i="8"/>
  <c r="G4015" i="8"/>
  <c r="G4013" i="8"/>
  <c r="G4011" i="8"/>
  <c r="G4009" i="8"/>
  <c r="G4007" i="8"/>
  <c r="G4005" i="8"/>
  <c r="G4003" i="8"/>
  <c r="G4001" i="8"/>
  <c r="G3999" i="8"/>
  <c r="G3997" i="8"/>
  <c r="G3995" i="8"/>
  <c r="G3993" i="8"/>
  <c r="G3991" i="8"/>
  <c r="G3989" i="8"/>
  <c r="G3987" i="8"/>
  <c r="G3985" i="8"/>
  <c r="G3983" i="8"/>
  <c r="G3981" i="8"/>
  <c r="G3979" i="8"/>
  <c r="G3977" i="8"/>
  <c r="G3975" i="8"/>
  <c r="G3973" i="8"/>
  <c r="G3971" i="8"/>
  <c r="G3969" i="8"/>
  <c r="G3967" i="8"/>
  <c r="G3965" i="8"/>
  <c r="G3963" i="8"/>
  <c r="G3961" i="8"/>
  <c r="G3959" i="8"/>
  <c r="G3957" i="8"/>
  <c r="G3955" i="8"/>
  <c r="G3953" i="8"/>
  <c r="G3951" i="8"/>
  <c r="G3949" i="8"/>
  <c r="G3947" i="8"/>
  <c r="G3945" i="8"/>
  <c r="G3943" i="8"/>
  <c r="G3941" i="8"/>
  <c r="G3939" i="8"/>
  <c r="G3937" i="8"/>
  <c r="G3935" i="8"/>
  <c r="G3933" i="8"/>
  <c r="G3931" i="8"/>
  <c r="G3929" i="8"/>
  <c r="G3927" i="8"/>
  <c r="G3925" i="8"/>
  <c r="G3923" i="8"/>
  <c r="G3921" i="8"/>
  <c r="G3919" i="8"/>
  <c r="G3917" i="8"/>
  <c r="G3915" i="8"/>
  <c r="G3913" i="8"/>
  <c r="G3911" i="8"/>
  <c r="G3909" i="8"/>
  <c r="G3907" i="8"/>
  <c r="G3905" i="8"/>
  <c r="G3903" i="8"/>
  <c r="G3901" i="8"/>
  <c r="G3899" i="8"/>
  <c r="G3897" i="8"/>
  <c r="G3895" i="8"/>
  <c r="G3893" i="8"/>
  <c r="G3891" i="8"/>
  <c r="G3889" i="8"/>
  <c r="G3887" i="8"/>
  <c r="G3885" i="8"/>
  <c r="G3883" i="8"/>
  <c r="G3881" i="8"/>
  <c r="G3879" i="8"/>
  <c r="G3877" i="8"/>
  <c r="G3875" i="8"/>
  <c r="G3873" i="8"/>
  <c r="G3871" i="8"/>
  <c r="G3869" i="8"/>
  <c r="G3867" i="8"/>
  <c r="G3865" i="8"/>
  <c r="G3863" i="8"/>
  <c r="G3861" i="8"/>
  <c r="G3859" i="8"/>
  <c r="G3857" i="8"/>
  <c r="G3855" i="8"/>
  <c r="G3853" i="8"/>
  <c r="G3851" i="8"/>
  <c r="G3849" i="8"/>
  <c r="G3847" i="8"/>
  <c r="G3845" i="8"/>
  <c r="G3843" i="8"/>
  <c r="G3841" i="8"/>
  <c r="G3839" i="8"/>
  <c r="G3837" i="8"/>
  <c r="G3835" i="8"/>
  <c r="G3833" i="8"/>
  <c r="G3831" i="8"/>
  <c r="G3829" i="8"/>
  <c r="G3827" i="8"/>
  <c r="G3825" i="8"/>
  <c r="G3823" i="8"/>
  <c r="G3821" i="8"/>
  <c r="G3819" i="8"/>
  <c r="G3817" i="8"/>
  <c r="G3815" i="8"/>
  <c r="G3813" i="8"/>
  <c r="G3811" i="8"/>
  <c r="G3809" i="8"/>
  <c r="G3807" i="8"/>
  <c r="G3805" i="8"/>
  <c r="G3803" i="8"/>
  <c r="G3801" i="8"/>
  <c r="G3799" i="8"/>
  <c r="G3797" i="8"/>
  <c r="G3795" i="8"/>
  <c r="G3793" i="8"/>
  <c r="G3791" i="8"/>
  <c r="G3789" i="8"/>
  <c r="G3787" i="8"/>
  <c r="G3785" i="8"/>
  <c r="G3783" i="8"/>
  <c r="G3781" i="8"/>
  <c r="G3779" i="8"/>
  <c r="G3777" i="8"/>
  <c r="G3775" i="8"/>
  <c r="G3773" i="8"/>
  <c r="G3771" i="8"/>
  <c r="G3769" i="8"/>
  <c r="G3767" i="8"/>
  <c r="G3765" i="8"/>
  <c r="G3763" i="8"/>
  <c r="G3761" i="8"/>
  <c r="G3759" i="8"/>
  <c r="G3757" i="8"/>
  <c r="G3755" i="8"/>
  <c r="G3753" i="8"/>
  <c r="G3751" i="8"/>
  <c r="G3749" i="8"/>
  <c r="G3747" i="8"/>
  <c r="G3745" i="8"/>
  <c r="G3743" i="8"/>
  <c r="G3741" i="8"/>
  <c r="G3739" i="8"/>
  <c r="G3737" i="8"/>
  <c r="G3735" i="8"/>
  <c r="G3733" i="8"/>
  <c r="G3731" i="8"/>
  <c r="G4" i="8"/>
  <c r="G6" i="8"/>
  <c r="G8" i="8"/>
  <c r="G10" i="8"/>
  <c r="G12" i="8"/>
  <c r="G14" i="8"/>
  <c r="G16" i="8"/>
  <c r="G18" i="8"/>
  <c r="G20" i="8"/>
  <c r="G22" i="8"/>
  <c r="G24" i="8"/>
  <c r="G26" i="8"/>
  <c r="G28" i="8"/>
  <c r="G30" i="8"/>
  <c r="G32" i="8"/>
  <c r="G34" i="8"/>
  <c r="G36" i="8"/>
  <c r="G38" i="8"/>
  <c r="G40" i="8"/>
  <c r="G42" i="8"/>
  <c r="G44" i="8"/>
  <c r="G46" i="8"/>
  <c r="G48" i="8"/>
  <c r="G50" i="8"/>
  <c r="G52" i="8"/>
  <c r="G54" i="8"/>
  <c r="G56" i="8"/>
  <c r="G58" i="8"/>
  <c r="G60" i="8"/>
  <c r="G62" i="8"/>
  <c r="G64" i="8"/>
  <c r="G66" i="8"/>
  <c r="G68" i="8"/>
  <c r="G70" i="8"/>
  <c r="G72" i="8"/>
  <c r="G74" i="8"/>
  <c r="G76" i="8"/>
  <c r="G78" i="8"/>
  <c r="G80" i="8"/>
  <c r="G82" i="8"/>
  <c r="G84" i="8"/>
  <c r="G86" i="8"/>
  <c r="G88" i="8"/>
  <c r="G90" i="8"/>
  <c r="G92" i="8"/>
  <c r="G94" i="8"/>
  <c r="G96" i="8"/>
  <c r="G98" i="8"/>
  <c r="G100" i="8"/>
  <c r="G102" i="8"/>
  <c r="G104" i="8"/>
  <c r="G106" i="8"/>
  <c r="G108" i="8"/>
  <c r="G110" i="8"/>
  <c r="G112" i="8"/>
  <c r="G114" i="8"/>
  <c r="G116" i="8"/>
  <c r="G118" i="8"/>
  <c r="G120" i="8"/>
  <c r="G122" i="8"/>
  <c r="G124" i="8"/>
  <c r="G126" i="8"/>
  <c r="G128" i="8"/>
  <c r="G130" i="8"/>
  <c r="G132" i="8"/>
  <c r="G134" i="8"/>
  <c r="G136" i="8"/>
  <c r="G138" i="8"/>
  <c r="G140" i="8"/>
  <c r="G142" i="8"/>
  <c r="G144" i="8"/>
  <c r="G146" i="8"/>
  <c r="G148" i="8"/>
  <c r="G150" i="8"/>
  <c r="G152" i="8"/>
  <c r="G154" i="8"/>
  <c r="G156" i="8"/>
  <c r="G158" i="8"/>
  <c r="G160" i="8"/>
  <c r="G162" i="8"/>
  <c r="G164" i="8"/>
  <c r="G166" i="8"/>
  <c r="G168" i="8"/>
  <c r="G170" i="8"/>
  <c r="G172" i="8"/>
  <c r="G174" i="8"/>
  <c r="G176" i="8"/>
  <c r="G178" i="8"/>
  <c r="G180" i="8"/>
  <c r="G182" i="8"/>
  <c r="G184" i="8"/>
  <c r="G186" i="8"/>
  <c r="G188" i="8"/>
  <c r="G190" i="8"/>
  <c r="G192" i="8"/>
  <c r="G194" i="8"/>
  <c r="G196" i="8"/>
  <c r="G198" i="8"/>
  <c r="G200" i="8"/>
  <c r="G202" i="8"/>
  <c r="G204" i="8"/>
  <c r="G206" i="8"/>
  <c r="G208" i="8"/>
  <c r="G210" i="8"/>
  <c r="G212" i="8"/>
  <c r="G214" i="8"/>
  <c r="G216" i="8"/>
  <c r="G218" i="8"/>
  <c r="G220" i="8"/>
  <c r="G222" i="8"/>
  <c r="G224" i="8"/>
  <c r="G226" i="8"/>
  <c r="G228" i="8"/>
  <c r="G230" i="8"/>
  <c r="G232" i="8"/>
  <c r="G234" i="8"/>
  <c r="G236" i="8"/>
  <c r="G238" i="8"/>
  <c r="G240" i="8"/>
  <c r="G242" i="8"/>
  <c r="G244" i="8"/>
  <c r="G246" i="8"/>
  <c r="G248" i="8"/>
  <c r="G250" i="8"/>
  <c r="G252" i="8"/>
  <c r="G254" i="8"/>
  <c r="G256" i="8"/>
  <c r="G258" i="8"/>
  <c r="G260" i="8"/>
  <c r="G262" i="8"/>
  <c r="G264" i="8"/>
  <c r="G266" i="8"/>
  <c r="G268" i="8"/>
  <c r="G270" i="8"/>
  <c r="G272" i="8"/>
  <c r="G274" i="8"/>
  <c r="G276" i="8"/>
  <c r="G278" i="8"/>
  <c r="G280" i="8"/>
  <c r="G282" i="8"/>
  <c r="G284" i="8"/>
  <c r="G286" i="8"/>
  <c r="G288" i="8"/>
  <c r="G290" i="8"/>
  <c r="G292" i="8"/>
  <c r="G294" i="8"/>
  <c r="G296" i="8"/>
  <c r="G298" i="8"/>
  <c r="G300" i="8"/>
  <c r="G302" i="8"/>
  <c r="G304" i="8"/>
  <c r="G306" i="8"/>
  <c r="G308" i="8"/>
  <c r="G310" i="8"/>
  <c r="G312" i="8"/>
  <c r="G314" i="8"/>
  <c r="G316" i="8"/>
  <c r="G318" i="8"/>
  <c r="G320" i="8"/>
  <c r="G322" i="8"/>
  <c r="G324" i="8"/>
  <c r="G326" i="8"/>
  <c r="G328" i="8"/>
  <c r="G330" i="8"/>
  <c r="G332" i="8"/>
  <c r="G334" i="8"/>
  <c r="G336" i="8"/>
  <c r="G338" i="8"/>
  <c r="G340" i="8"/>
  <c r="G342" i="8"/>
  <c r="G344" i="8"/>
  <c r="G346" i="8"/>
  <c r="G348" i="8"/>
  <c r="G350" i="8"/>
  <c r="G352" i="8"/>
  <c r="G354" i="8"/>
  <c r="G356" i="8"/>
  <c r="G358" i="8"/>
  <c r="G360" i="8"/>
  <c r="G362" i="8"/>
  <c r="G364" i="8"/>
  <c r="G366" i="8"/>
  <c r="G368" i="8"/>
  <c r="G370" i="8"/>
  <c r="G372" i="8"/>
  <c r="G374" i="8"/>
  <c r="G376" i="8"/>
  <c r="G378" i="8"/>
  <c r="G380" i="8"/>
  <c r="G382" i="8"/>
  <c r="G384" i="8"/>
  <c r="G386" i="8"/>
  <c r="G388" i="8"/>
  <c r="G390" i="8"/>
  <c r="G392" i="8"/>
  <c r="G394" i="8"/>
  <c r="G396" i="8"/>
  <c r="G398" i="8"/>
  <c r="G400" i="8"/>
  <c r="G402" i="8"/>
  <c r="G404" i="8"/>
  <c r="G406" i="8"/>
  <c r="G408" i="8"/>
  <c r="G410" i="8"/>
  <c r="G412" i="8"/>
  <c r="G414" i="8"/>
  <c r="G416" i="8"/>
  <c r="G418" i="8"/>
  <c r="G420" i="8"/>
  <c r="G422" i="8"/>
  <c r="G424" i="8"/>
  <c r="G426" i="8"/>
  <c r="G428" i="8"/>
  <c r="G430" i="8"/>
  <c r="G432" i="8"/>
  <c r="G434" i="8"/>
  <c r="G436" i="8"/>
  <c r="G438" i="8"/>
  <c r="G440" i="8"/>
  <c r="G442" i="8"/>
  <c r="G444" i="8"/>
  <c r="G446" i="8"/>
  <c r="G448" i="8"/>
  <c r="G450" i="8"/>
  <c r="G452" i="8"/>
  <c r="G454" i="8"/>
  <c r="G456" i="8"/>
  <c r="G458" i="8"/>
  <c r="G460" i="8"/>
  <c r="G462" i="8"/>
  <c r="G464" i="8"/>
  <c r="G466" i="8"/>
  <c r="G468" i="8"/>
  <c r="G470" i="8"/>
  <c r="G472" i="8"/>
  <c r="G474" i="8"/>
  <c r="G476" i="8"/>
  <c r="G478" i="8"/>
  <c r="G480" i="8"/>
  <c r="G482" i="8"/>
  <c r="G484" i="8"/>
  <c r="G486" i="8"/>
  <c r="G488" i="8"/>
  <c r="G490" i="8"/>
  <c r="G492" i="8"/>
  <c r="G494" i="8"/>
  <c r="G496" i="8"/>
  <c r="G498" i="8"/>
  <c r="G500" i="8"/>
  <c r="G502" i="8"/>
  <c r="G504" i="8"/>
  <c r="G506" i="8"/>
  <c r="G508" i="8"/>
  <c r="G510" i="8"/>
  <c r="G512" i="8"/>
  <c r="G514" i="8"/>
  <c r="G516" i="8"/>
  <c r="G518" i="8"/>
  <c r="G520" i="8"/>
  <c r="G522" i="8"/>
  <c r="G524" i="8"/>
  <c r="G526" i="8"/>
  <c r="G528" i="8"/>
  <c r="G530" i="8"/>
  <c r="G532" i="8"/>
  <c r="G534" i="8"/>
  <c r="G536" i="8"/>
  <c r="G538" i="8"/>
  <c r="G540" i="8"/>
  <c r="G542" i="8"/>
  <c r="G544" i="8"/>
  <c r="G546" i="8"/>
  <c r="G548" i="8"/>
  <c r="G550" i="8"/>
  <c r="G552" i="8"/>
  <c r="G554" i="8"/>
  <c r="G556" i="8"/>
  <c r="G558" i="8"/>
  <c r="G560" i="8"/>
  <c r="G562" i="8"/>
  <c r="G564" i="8"/>
  <c r="G566" i="8"/>
  <c r="G568" i="8"/>
  <c r="G570" i="8"/>
  <c r="G572" i="8"/>
  <c r="G574" i="8"/>
  <c r="G576" i="8"/>
  <c r="G578" i="8"/>
  <c r="G580" i="8"/>
  <c r="G582" i="8"/>
  <c r="G584" i="8"/>
  <c r="G586" i="8"/>
  <c r="G588" i="8"/>
  <c r="G590" i="8"/>
  <c r="G592" i="8"/>
  <c r="G594" i="8"/>
  <c r="G596" i="8"/>
  <c r="G598" i="8"/>
  <c r="G600" i="8"/>
  <c r="G602" i="8"/>
  <c r="G604" i="8"/>
  <c r="G606" i="8"/>
  <c r="G608" i="8"/>
  <c r="G610" i="8"/>
  <c r="G612" i="8"/>
  <c r="G614" i="8"/>
  <c r="G616" i="8"/>
  <c r="G618" i="8"/>
  <c r="G620" i="8"/>
  <c r="G622" i="8"/>
  <c r="G624" i="8"/>
  <c r="G626" i="8"/>
  <c r="G628" i="8"/>
  <c r="G630" i="8"/>
  <c r="G632" i="8"/>
  <c r="G634" i="8"/>
  <c r="G636" i="8"/>
  <c r="G638" i="8"/>
  <c r="G640" i="8"/>
  <c r="G642" i="8"/>
  <c r="G644" i="8"/>
  <c r="G646" i="8"/>
  <c r="G648" i="8"/>
  <c r="G650" i="8"/>
  <c r="G652" i="8"/>
  <c r="G654" i="8"/>
  <c r="G656" i="8"/>
  <c r="G658" i="8"/>
  <c r="G660" i="8"/>
  <c r="G662" i="8"/>
  <c r="G664" i="8"/>
  <c r="G666" i="8"/>
  <c r="G668" i="8"/>
  <c r="G670" i="8"/>
  <c r="G672" i="8"/>
  <c r="G674" i="8"/>
  <c r="G676" i="8"/>
  <c r="G678" i="8"/>
  <c r="G680" i="8"/>
  <c r="G682" i="8"/>
  <c r="G684" i="8"/>
  <c r="G686" i="8"/>
  <c r="G688" i="8"/>
  <c r="G690" i="8"/>
  <c r="G692" i="8"/>
  <c r="G694" i="8"/>
  <c r="G696" i="8"/>
  <c r="G698" i="8"/>
  <c r="G700" i="8"/>
  <c r="G702" i="8"/>
  <c r="G704" i="8"/>
  <c r="G706" i="8"/>
  <c r="G708" i="8"/>
  <c r="G710" i="8"/>
  <c r="G712" i="8"/>
  <c r="G714" i="8"/>
  <c r="G716" i="8"/>
  <c r="G718" i="8"/>
  <c r="G720" i="8"/>
  <c r="G722" i="8"/>
  <c r="G724" i="8"/>
  <c r="G726" i="8"/>
  <c r="G728" i="8"/>
  <c r="G730" i="8"/>
  <c r="G732" i="8"/>
  <c r="G734" i="8"/>
  <c r="G736" i="8"/>
  <c r="G738" i="8"/>
  <c r="G740" i="8"/>
  <c r="G742" i="8"/>
  <c r="G744" i="8"/>
  <c r="G746" i="8"/>
  <c r="G748" i="8"/>
  <c r="G750" i="8"/>
  <c r="G752" i="8"/>
  <c r="G754" i="8"/>
  <c r="G756" i="8"/>
  <c r="G758" i="8"/>
  <c r="G760" i="8"/>
  <c r="G762" i="8"/>
  <c r="G764" i="8"/>
  <c r="G766" i="8"/>
  <c r="G768" i="8"/>
  <c r="G770" i="8"/>
  <c r="G772" i="8"/>
  <c r="G774" i="8"/>
  <c r="G776" i="8"/>
  <c r="G778" i="8"/>
  <c r="G780" i="8"/>
  <c r="G782" i="8"/>
  <c r="G784" i="8"/>
  <c r="G786" i="8"/>
  <c r="G788" i="8"/>
  <c r="G790" i="8"/>
  <c r="G792" i="8"/>
  <c r="G794" i="8"/>
  <c r="G796" i="8"/>
  <c r="G798" i="8"/>
  <c r="G800" i="8"/>
  <c r="G802" i="8"/>
  <c r="G804" i="8"/>
  <c r="G806" i="8"/>
  <c r="G808" i="8"/>
  <c r="G810" i="8"/>
  <c r="G812" i="8"/>
  <c r="G814" i="8"/>
  <c r="G816" i="8"/>
  <c r="G818" i="8"/>
  <c r="G820" i="8"/>
  <c r="G822" i="8"/>
  <c r="G824" i="8"/>
  <c r="G826" i="8"/>
  <c r="G828" i="8"/>
  <c r="G830" i="8"/>
  <c r="G832" i="8"/>
  <c r="G834" i="8"/>
  <c r="G836" i="8"/>
  <c r="G838" i="8"/>
  <c r="G840" i="8"/>
  <c r="G842" i="8"/>
  <c r="G844" i="8"/>
  <c r="G846" i="8"/>
  <c r="G848" i="8"/>
  <c r="G850" i="8"/>
  <c r="G852" i="8"/>
  <c r="G854" i="8"/>
  <c r="G856" i="8"/>
  <c r="G858" i="8"/>
  <c r="G860" i="8"/>
  <c r="G862" i="8"/>
  <c r="G864" i="8"/>
  <c r="G866" i="8"/>
  <c r="G868" i="8"/>
  <c r="G870" i="8"/>
  <c r="G872" i="8"/>
  <c r="G874" i="8"/>
  <c r="G876" i="8"/>
  <c r="G878" i="8"/>
  <c r="G880" i="8"/>
  <c r="G882" i="8"/>
  <c r="G884" i="8"/>
  <c r="G886" i="8"/>
  <c r="G888" i="8"/>
  <c r="G890" i="8"/>
  <c r="G892" i="8"/>
  <c r="G894" i="8"/>
  <c r="G896" i="8"/>
  <c r="G898" i="8"/>
  <c r="G900" i="8"/>
  <c r="G902" i="8"/>
  <c r="G904" i="8"/>
  <c r="G906" i="8"/>
  <c r="G908" i="8"/>
  <c r="G910" i="8"/>
  <c r="G912" i="8"/>
  <c r="G914" i="8"/>
  <c r="G916" i="8"/>
  <c r="G918" i="8"/>
  <c r="G920" i="8"/>
  <c r="G922" i="8"/>
  <c r="G924" i="8"/>
  <c r="G926" i="8"/>
  <c r="G928" i="8"/>
  <c r="G930" i="8"/>
  <c r="G932" i="8"/>
  <c r="G934" i="8"/>
  <c r="G936" i="8"/>
  <c r="G938" i="8"/>
  <c r="G940" i="8"/>
  <c r="G942" i="8"/>
  <c r="G944" i="8"/>
  <c r="G946" i="8"/>
  <c r="G948" i="8"/>
  <c r="G950" i="8"/>
  <c r="G952" i="8"/>
  <c r="G954" i="8"/>
  <c r="G956" i="8"/>
  <c r="G958" i="8"/>
  <c r="G960" i="8"/>
  <c r="G962" i="8"/>
  <c r="G964" i="8"/>
  <c r="G966" i="8"/>
  <c r="G968" i="8"/>
  <c r="G970" i="8"/>
  <c r="G972" i="8"/>
  <c r="G974" i="8"/>
  <c r="G976" i="8"/>
  <c r="G978" i="8"/>
  <c r="G980" i="8"/>
  <c r="G982" i="8"/>
  <c r="G984" i="8"/>
  <c r="G986" i="8"/>
  <c r="G988" i="8"/>
  <c r="G990" i="8"/>
  <c r="G992" i="8"/>
  <c r="G994" i="8"/>
  <c r="G996" i="8"/>
  <c r="G998" i="8"/>
  <c r="G1000" i="8"/>
  <c r="G1002" i="8"/>
  <c r="G1004" i="8"/>
  <c r="G1006" i="8"/>
  <c r="G1008" i="8"/>
  <c r="G1010" i="8"/>
  <c r="G1012" i="8"/>
  <c r="G1014" i="8"/>
  <c r="G1016" i="8"/>
  <c r="G1018" i="8"/>
  <c r="G1020" i="8"/>
  <c r="G1022" i="8"/>
  <c r="G1024" i="8"/>
  <c r="G1026" i="8"/>
  <c r="G1028" i="8"/>
  <c r="G1030" i="8"/>
  <c r="G1032" i="8"/>
  <c r="G1034" i="8"/>
  <c r="G1036" i="8"/>
  <c r="G1038" i="8"/>
  <c r="G1040" i="8"/>
  <c r="G1042" i="8"/>
  <c r="G1044" i="8"/>
  <c r="G1046" i="8"/>
  <c r="G1048" i="8"/>
  <c r="G1050" i="8"/>
  <c r="G1052" i="8"/>
  <c r="G1054" i="8"/>
  <c r="G1056" i="8"/>
  <c r="G1058" i="8"/>
  <c r="G1060" i="8"/>
  <c r="G1062" i="8"/>
  <c r="G1064" i="8"/>
  <c r="G1066" i="8"/>
  <c r="G1068" i="8"/>
  <c r="G1070" i="8"/>
  <c r="G1072" i="8"/>
  <c r="G1074" i="8"/>
  <c r="G1076" i="8"/>
  <c r="G1078" i="8"/>
  <c r="G1080" i="8"/>
  <c r="G1082" i="8"/>
  <c r="G1084" i="8"/>
  <c r="G1086" i="8"/>
  <c r="G1088" i="8"/>
  <c r="G1090" i="8"/>
  <c r="G1092" i="8"/>
  <c r="G1094" i="8"/>
  <c r="G1096" i="8"/>
  <c r="G1098" i="8"/>
  <c r="G1100" i="8"/>
  <c r="G1102" i="8"/>
  <c r="G1104" i="8"/>
  <c r="G1106" i="8"/>
  <c r="G1108" i="8"/>
  <c r="G1110" i="8"/>
  <c r="G1112" i="8"/>
  <c r="G1114" i="8"/>
  <c r="G1116" i="8"/>
  <c r="G1118" i="8"/>
  <c r="G1120" i="8"/>
  <c r="G1122" i="8"/>
  <c r="G1124" i="8"/>
  <c r="G1126" i="8"/>
  <c r="G1128" i="8"/>
  <c r="G1130" i="8"/>
  <c r="G1132" i="8"/>
  <c r="G1134" i="8"/>
  <c r="G1136" i="8"/>
  <c r="G1138" i="8"/>
  <c r="G1140" i="8"/>
  <c r="G1142" i="8"/>
  <c r="G1144" i="8"/>
  <c r="G1146" i="8"/>
  <c r="G1148" i="8"/>
  <c r="G1150" i="8"/>
  <c r="G1152" i="8"/>
  <c r="G1154" i="8"/>
  <c r="G1156" i="8"/>
  <c r="G1158" i="8"/>
  <c r="G1160" i="8"/>
  <c r="G1162" i="8"/>
  <c r="G1164" i="8"/>
  <c r="G1166" i="8"/>
  <c r="G1168" i="8"/>
  <c r="G1170" i="8"/>
  <c r="G1172" i="8"/>
  <c r="G1174" i="8"/>
  <c r="G1176" i="8"/>
  <c r="G1178" i="8"/>
  <c r="G1180" i="8"/>
  <c r="G1182" i="8"/>
  <c r="G1184" i="8"/>
  <c r="G1186" i="8"/>
  <c r="G1188" i="8"/>
  <c r="G1190" i="8"/>
  <c r="G1192" i="8"/>
  <c r="G1194" i="8"/>
  <c r="G1196" i="8"/>
  <c r="G1198" i="8"/>
  <c r="G1200" i="8"/>
  <c r="G1202" i="8"/>
  <c r="G1204" i="8"/>
  <c r="G1206" i="8"/>
  <c r="G1208" i="8"/>
  <c r="G1210" i="8"/>
  <c r="G1212" i="8"/>
  <c r="G1214" i="8"/>
  <c r="G1216" i="8"/>
  <c r="G1218" i="8"/>
  <c r="G1220" i="8"/>
  <c r="G1222" i="8"/>
  <c r="G1224" i="8"/>
  <c r="G1226" i="8"/>
  <c r="G1228" i="8"/>
  <c r="G1230" i="8"/>
  <c r="G1232" i="8"/>
  <c r="G1234" i="8"/>
  <c r="G1236" i="8"/>
  <c r="G1238" i="8"/>
  <c r="G1240" i="8"/>
  <c r="G1242" i="8"/>
  <c r="G1244" i="8"/>
  <c r="G1246" i="8"/>
  <c r="G1248" i="8"/>
  <c r="G1250" i="8"/>
  <c r="G1252" i="8"/>
  <c r="G1254" i="8"/>
  <c r="G1256" i="8"/>
  <c r="G1258" i="8"/>
  <c r="G1260" i="8"/>
  <c r="G1262" i="8"/>
  <c r="G1264" i="8"/>
  <c r="G1266" i="8"/>
  <c r="G1268" i="8"/>
  <c r="G1270" i="8"/>
  <c r="G1272" i="8"/>
  <c r="G1274" i="8"/>
  <c r="G1276" i="8"/>
  <c r="G1278" i="8"/>
  <c r="G1280" i="8"/>
  <c r="G1282" i="8"/>
  <c r="G1284" i="8"/>
  <c r="G1286" i="8"/>
  <c r="G1288" i="8"/>
  <c r="G1290" i="8"/>
  <c r="G1292" i="8"/>
  <c r="G1294" i="8"/>
  <c r="G1296" i="8"/>
  <c r="G1298" i="8"/>
  <c r="G1300" i="8"/>
  <c r="G1302" i="8"/>
  <c r="G1304" i="8"/>
  <c r="G1306" i="8"/>
  <c r="G1308" i="8"/>
  <c r="G1310" i="8"/>
  <c r="G1312" i="8"/>
  <c r="G1314" i="8"/>
  <c r="G1316" i="8"/>
  <c r="G1318" i="8"/>
  <c r="G1320" i="8"/>
  <c r="G1322" i="8"/>
  <c r="G1324" i="8"/>
  <c r="G1326" i="8"/>
  <c r="G1328" i="8"/>
  <c r="G1330" i="8"/>
  <c r="G1332" i="8"/>
  <c r="G1334" i="8"/>
  <c r="G1336" i="8"/>
  <c r="G1338" i="8"/>
  <c r="G1340" i="8"/>
  <c r="G1342" i="8"/>
  <c r="G1344" i="8"/>
  <c r="G1346" i="8"/>
  <c r="G1348" i="8"/>
  <c r="G1350" i="8"/>
  <c r="G1352" i="8"/>
  <c r="G1354" i="8"/>
  <c r="G1356" i="8"/>
  <c r="G1358" i="8"/>
  <c r="G1360" i="8"/>
  <c r="G1362" i="8"/>
  <c r="G1364" i="8"/>
  <c r="G1366" i="8"/>
  <c r="G1368" i="8"/>
  <c r="G1370" i="8"/>
  <c r="G1372" i="8"/>
  <c r="G1374" i="8"/>
  <c r="G1376" i="8"/>
  <c r="G1378" i="8"/>
  <c r="G1380" i="8"/>
  <c r="G1382" i="8"/>
  <c r="G1384" i="8"/>
  <c r="G1386" i="8"/>
  <c r="G1388" i="8"/>
  <c r="G1390" i="8"/>
  <c r="G1392" i="8"/>
  <c r="G1394" i="8"/>
  <c r="G1396" i="8"/>
  <c r="G1398" i="8"/>
  <c r="G1400" i="8"/>
  <c r="G1402" i="8"/>
  <c r="G1404" i="8"/>
  <c r="G1406" i="8"/>
  <c r="G1408" i="8"/>
  <c r="G1410" i="8"/>
  <c r="G1412" i="8"/>
  <c r="G1414" i="8"/>
  <c r="G1416" i="8"/>
  <c r="G1418" i="8"/>
  <c r="G1420" i="8"/>
  <c r="G1422" i="8"/>
  <c r="G1424" i="8"/>
  <c r="G1426" i="8"/>
  <c r="G1428" i="8"/>
  <c r="G1430" i="8"/>
  <c r="G1432" i="8"/>
  <c r="G1434" i="8"/>
  <c r="G1436" i="8"/>
  <c r="G1438" i="8"/>
  <c r="G1440" i="8"/>
  <c r="G1442" i="8"/>
  <c r="G1444" i="8"/>
  <c r="G1446" i="8"/>
  <c r="G1448" i="8"/>
  <c r="G1450" i="8"/>
  <c r="G1452" i="8"/>
  <c r="G1454" i="8"/>
  <c r="G1456" i="8"/>
  <c r="G1458" i="8"/>
  <c r="G1460" i="8"/>
  <c r="G1462" i="8"/>
  <c r="G1464" i="8"/>
  <c r="G1466" i="8"/>
  <c r="G1468" i="8"/>
  <c r="G1470" i="8"/>
  <c r="G1472" i="8"/>
  <c r="G1474" i="8"/>
  <c r="G1476" i="8"/>
  <c r="G1478" i="8"/>
  <c r="G1480" i="8"/>
  <c r="G1482" i="8"/>
  <c r="G1484" i="8"/>
  <c r="G1486" i="8"/>
  <c r="G1488" i="8"/>
  <c r="G1490" i="8"/>
  <c r="G1492" i="8"/>
  <c r="G1494" i="8"/>
  <c r="G1496" i="8"/>
  <c r="G1498" i="8"/>
  <c r="G1500" i="8"/>
  <c r="G1502" i="8"/>
  <c r="G1504" i="8"/>
  <c r="G1506" i="8"/>
  <c r="G1508" i="8"/>
  <c r="G1510" i="8"/>
  <c r="G1512" i="8"/>
  <c r="G1514" i="8"/>
  <c r="G1516" i="8"/>
  <c r="G1518" i="8"/>
  <c r="G1520" i="8"/>
  <c r="G1522" i="8"/>
  <c r="G1524" i="8"/>
  <c r="G1526" i="8"/>
  <c r="G1528" i="8"/>
  <c r="G1530" i="8"/>
  <c r="G1532" i="8"/>
  <c r="G1534" i="8"/>
  <c r="G1536" i="8"/>
  <c r="G1538" i="8"/>
  <c r="G1540" i="8"/>
  <c r="G1542" i="8"/>
  <c r="G1544" i="8"/>
  <c r="G1546" i="8"/>
  <c r="G1548" i="8"/>
  <c r="G1550" i="8"/>
  <c r="G1552" i="8"/>
  <c r="G1554" i="8"/>
  <c r="G1556" i="8"/>
  <c r="G1558" i="8"/>
  <c r="G1560" i="8"/>
  <c r="G1562" i="8"/>
  <c r="G1564" i="8"/>
  <c r="G1566" i="8"/>
  <c r="G1568" i="8"/>
  <c r="G1570" i="8"/>
  <c r="G1572" i="8"/>
  <c r="G1574" i="8"/>
  <c r="G1576" i="8"/>
  <c r="G1578" i="8"/>
  <c r="G1580" i="8"/>
  <c r="G1582" i="8"/>
  <c r="G1584" i="8"/>
  <c r="G1586" i="8"/>
  <c r="G1588" i="8"/>
  <c r="G1590" i="8"/>
  <c r="G1592" i="8"/>
  <c r="G1594" i="8"/>
  <c r="G1596" i="8"/>
  <c r="G1598" i="8"/>
  <c r="G1600" i="8"/>
  <c r="G1602" i="8"/>
  <c r="G1604" i="8"/>
  <c r="G1606" i="8"/>
  <c r="G1608" i="8"/>
  <c r="G1610" i="8"/>
  <c r="G1612" i="8"/>
  <c r="G1614" i="8"/>
  <c r="G1616" i="8"/>
  <c r="G1618" i="8"/>
  <c r="G1620" i="8"/>
  <c r="G1622" i="8"/>
  <c r="G1624" i="8"/>
  <c r="G1626" i="8"/>
  <c r="G1628" i="8"/>
  <c r="G1630" i="8"/>
  <c r="G1632" i="8"/>
  <c r="G1634" i="8"/>
  <c r="G1636" i="8"/>
  <c r="G1638" i="8"/>
  <c r="G1640" i="8"/>
  <c r="G1642" i="8"/>
  <c r="G1644" i="8"/>
  <c r="G1646" i="8"/>
  <c r="G1648" i="8"/>
  <c r="G1650" i="8"/>
  <c r="G1652" i="8"/>
  <c r="G1654" i="8"/>
  <c r="G1656" i="8"/>
  <c r="G1658" i="8"/>
  <c r="G1660" i="8"/>
  <c r="G1662" i="8"/>
  <c r="G1664" i="8"/>
  <c r="G1666" i="8"/>
  <c r="G1668" i="8"/>
  <c r="G1670" i="8"/>
  <c r="G1672" i="8"/>
  <c r="G1674" i="8"/>
  <c r="G1676" i="8"/>
  <c r="G1678" i="8"/>
  <c r="G1680" i="8"/>
  <c r="G1682" i="8"/>
  <c r="G1684" i="8"/>
  <c r="G1686" i="8"/>
  <c r="G1688" i="8"/>
  <c r="G1690" i="8"/>
  <c r="G1692" i="8"/>
  <c r="G1694" i="8"/>
  <c r="G1696" i="8"/>
  <c r="G1698" i="8"/>
  <c r="G1700" i="8"/>
  <c r="G1702" i="8"/>
  <c r="G1704" i="8"/>
  <c r="G1706" i="8"/>
  <c r="G1708" i="8"/>
  <c r="G1710" i="8"/>
  <c r="G1712" i="8"/>
  <c r="G1714" i="8"/>
  <c r="G1716" i="8"/>
  <c r="G1718" i="8"/>
  <c r="G1720" i="8"/>
  <c r="G1722" i="8"/>
  <c r="G1724" i="8"/>
  <c r="G1726" i="8"/>
  <c r="G1728" i="8"/>
  <c r="G1730" i="8"/>
  <c r="G1732" i="8"/>
  <c r="G1734" i="8"/>
  <c r="G1736" i="8"/>
  <c r="G1738" i="8"/>
  <c r="G1740" i="8"/>
  <c r="G1742" i="8"/>
  <c r="G1744" i="8"/>
  <c r="G1746" i="8"/>
  <c r="G1748" i="8"/>
  <c r="G1750" i="8"/>
  <c r="G1752" i="8"/>
  <c r="G1754" i="8"/>
  <c r="G1756" i="8"/>
  <c r="G1758" i="8"/>
  <c r="G1760" i="8"/>
  <c r="G1762" i="8"/>
  <c r="G1764" i="8"/>
  <c r="G1766" i="8"/>
  <c r="G1768" i="8"/>
  <c r="G1770" i="8"/>
  <c r="G1772" i="8"/>
  <c r="G1774" i="8"/>
  <c r="G1776" i="8"/>
  <c r="G1778" i="8"/>
  <c r="G1780" i="8"/>
  <c r="G1782" i="8"/>
  <c r="G1784" i="8"/>
  <c r="G1786" i="8"/>
  <c r="G1788" i="8"/>
  <c r="G1790" i="8"/>
  <c r="G1792" i="8"/>
  <c r="G1794" i="8"/>
  <c r="G1796" i="8"/>
  <c r="G1798" i="8"/>
  <c r="G1800" i="8"/>
  <c r="G1802" i="8"/>
  <c r="G1804" i="8"/>
  <c r="G1806" i="8"/>
  <c r="G1808" i="8"/>
  <c r="G1810" i="8"/>
  <c r="G1812" i="8"/>
  <c r="G1814" i="8"/>
  <c r="G1816" i="8"/>
  <c r="G1818" i="8"/>
  <c r="G1820" i="8"/>
  <c r="G1822" i="8"/>
  <c r="G1824" i="8"/>
  <c r="G1826" i="8"/>
  <c r="G1828" i="8"/>
  <c r="G1830" i="8"/>
  <c r="G1832" i="8"/>
  <c r="G1834" i="8"/>
  <c r="G1836" i="8"/>
  <c r="G1838" i="8"/>
  <c r="G1840" i="8"/>
  <c r="G1842" i="8"/>
  <c r="G1844" i="8"/>
  <c r="G1846" i="8"/>
  <c r="G1848" i="8"/>
  <c r="G1850" i="8"/>
  <c r="G1852" i="8"/>
  <c r="G1854" i="8"/>
  <c r="G1856" i="8"/>
  <c r="G1858" i="8"/>
  <c r="G1860" i="8"/>
  <c r="G1862" i="8"/>
  <c r="G1864" i="8"/>
  <c r="G1866" i="8"/>
  <c r="G1868" i="8"/>
  <c r="G1870" i="8"/>
  <c r="G1872" i="8"/>
  <c r="G1874" i="8"/>
  <c r="G1876" i="8"/>
  <c r="G1878" i="8"/>
  <c r="G1880" i="8"/>
  <c r="G1882" i="8"/>
  <c r="G1884" i="8"/>
  <c r="G1886" i="8"/>
  <c r="G1888" i="8"/>
  <c r="G1890" i="8"/>
  <c r="G1892" i="8"/>
  <c r="G1894" i="8"/>
  <c r="G1896" i="8"/>
  <c r="G1898" i="8"/>
  <c r="G1900" i="8"/>
  <c r="G1902" i="8"/>
  <c r="G1904" i="8"/>
  <c r="G1906" i="8"/>
  <c r="G1908" i="8"/>
  <c r="G1910" i="8"/>
  <c r="G1912" i="8"/>
  <c r="G1914" i="8"/>
  <c r="G1916" i="8"/>
  <c r="G1918" i="8"/>
  <c r="G1920" i="8"/>
  <c r="G1922" i="8"/>
  <c r="G1924" i="8"/>
  <c r="G1926" i="8"/>
  <c r="G1928" i="8"/>
  <c r="G1930" i="8"/>
  <c r="G1932" i="8"/>
  <c r="G1934" i="8"/>
  <c r="G1936" i="8"/>
  <c r="G1938" i="8"/>
  <c r="G1940" i="8"/>
  <c r="G1942" i="8"/>
  <c r="G1944" i="8"/>
  <c r="G1946" i="8"/>
  <c r="G1948" i="8"/>
  <c r="G1950" i="8"/>
  <c r="G1952" i="8"/>
  <c r="G1954" i="8"/>
  <c r="G1956" i="8"/>
  <c r="G1958" i="8"/>
  <c r="G1960" i="8"/>
  <c r="G1962" i="8"/>
  <c r="G1964" i="8"/>
  <c r="G1966" i="8"/>
  <c r="G1968" i="8"/>
  <c r="G1970" i="8"/>
  <c r="G1972" i="8"/>
  <c r="G1974" i="8"/>
  <c r="G1976" i="8"/>
  <c r="G1978" i="8"/>
  <c r="G1980" i="8"/>
  <c r="G1982" i="8"/>
  <c r="G1984" i="8"/>
  <c r="G1986" i="8"/>
  <c r="G1988" i="8"/>
  <c r="G1990" i="8"/>
  <c r="G1992" i="8"/>
  <c r="G1994" i="8"/>
  <c r="G1996" i="8"/>
  <c r="G1998" i="8"/>
  <c r="G2000" i="8"/>
  <c r="G2002" i="8"/>
  <c r="G2004" i="8"/>
  <c r="G2006" i="8"/>
  <c r="G2008" i="8"/>
  <c r="G2010" i="8"/>
  <c r="G2012" i="8"/>
  <c r="G2014" i="8"/>
  <c r="G2016" i="8"/>
  <c r="G2018" i="8"/>
  <c r="G2020" i="8"/>
  <c r="G2022" i="8"/>
  <c r="G2024" i="8"/>
  <c r="G2026" i="8"/>
  <c r="G2028" i="8"/>
  <c r="G2030" i="8"/>
  <c r="G2032" i="8"/>
  <c r="G2034" i="8"/>
  <c r="G2036" i="8"/>
  <c r="G2038" i="8"/>
  <c r="G2040" i="8"/>
  <c r="G2042" i="8"/>
  <c r="G2044" i="8"/>
  <c r="G2046" i="8"/>
  <c r="G2048" i="8"/>
  <c r="G2050" i="8"/>
  <c r="G2052" i="8"/>
  <c r="G2054" i="8"/>
  <c r="G2056" i="8"/>
  <c r="G2058" i="8"/>
  <c r="G2060" i="8"/>
  <c r="G2062" i="8"/>
  <c r="G2064" i="8"/>
  <c r="G2066" i="8"/>
  <c r="G2068" i="8"/>
  <c r="G2070" i="8"/>
  <c r="G2072" i="8"/>
  <c r="G2074" i="8"/>
  <c r="G2076" i="8"/>
  <c r="G2078" i="8"/>
  <c r="G2080" i="8"/>
  <c r="G2082" i="8"/>
  <c r="G2084" i="8"/>
  <c r="G2086" i="8"/>
  <c r="G2088" i="8"/>
  <c r="G2090" i="8"/>
  <c r="G2092" i="8"/>
  <c r="G2094" i="8"/>
  <c r="G2096" i="8"/>
  <c r="G2098" i="8"/>
  <c r="G2100" i="8"/>
  <c r="G2102" i="8"/>
  <c r="G2104" i="8"/>
  <c r="G2106" i="8"/>
  <c r="G2108" i="8"/>
  <c r="G2110" i="8"/>
  <c r="G2112" i="8"/>
  <c r="G2114" i="8"/>
  <c r="G2116" i="8"/>
  <c r="G2118" i="8"/>
  <c r="G2120" i="8"/>
  <c r="G2122" i="8"/>
  <c r="G2124" i="8"/>
  <c r="G2126" i="8"/>
  <c r="G2128" i="8"/>
  <c r="G2130" i="8"/>
  <c r="G2132" i="8"/>
  <c r="G2134" i="8"/>
  <c r="G2136" i="8"/>
  <c r="G2138" i="8"/>
  <c r="G2140" i="8"/>
  <c r="G2142" i="8"/>
  <c r="G2144" i="8"/>
  <c r="G2146" i="8"/>
  <c r="G2148" i="8"/>
  <c r="G2150" i="8"/>
  <c r="G2152" i="8"/>
  <c r="G2154" i="8"/>
  <c r="G2156" i="8"/>
  <c r="G2158" i="8"/>
  <c r="G2160" i="8"/>
  <c r="G2162" i="8"/>
  <c r="G2164" i="8"/>
  <c r="G2166" i="8"/>
  <c r="G2168" i="8"/>
  <c r="G2170" i="8"/>
  <c r="G2172" i="8"/>
  <c r="G2174" i="8"/>
  <c r="G2176" i="8"/>
  <c r="G2178" i="8"/>
  <c r="G2180" i="8"/>
  <c r="G2182" i="8"/>
  <c r="G2184" i="8"/>
  <c r="G2186" i="8"/>
  <c r="G2188" i="8"/>
  <c r="G2190" i="8"/>
  <c r="G2192" i="8"/>
  <c r="G2194" i="8"/>
  <c r="G2196" i="8"/>
  <c r="G2198" i="8"/>
  <c r="G2200" i="8"/>
  <c r="G2202" i="8"/>
  <c r="G2204" i="8"/>
  <c r="G2206" i="8"/>
  <c r="G2208" i="8"/>
  <c r="G2210" i="8"/>
  <c r="G2212" i="8"/>
  <c r="G2214" i="8"/>
  <c r="G2216" i="8"/>
  <c r="G2218" i="8"/>
  <c r="G2220" i="8"/>
  <c r="G2222" i="8"/>
  <c r="G2224" i="8"/>
  <c r="G2226" i="8"/>
  <c r="G2228" i="8"/>
  <c r="G2230" i="8"/>
  <c r="G2232" i="8"/>
  <c r="G2234" i="8"/>
  <c r="G2236" i="8"/>
  <c r="G2238" i="8"/>
  <c r="G2240" i="8"/>
  <c r="G2242" i="8"/>
  <c r="G2244" i="8"/>
  <c r="G2246" i="8"/>
  <c r="G2248" i="8"/>
  <c r="G2250" i="8"/>
  <c r="G2252" i="8"/>
  <c r="G2254" i="8"/>
  <c r="G2256" i="8"/>
  <c r="G2258" i="8"/>
  <c r="G2260" i="8"/>
  <c r="G2262" i="8"/>
  <c r="G2264" i="8"/>
  <c r="G2266" i="8"/>
  <c r="G2268" i="8"/>
  <c r="G2270" i="8"/>
  <c r="G2272" i="8"/>
  <c r="G2274" i="8"/>
  <c r="G2276" i="8"/>
  <c r="G2278" i="8"/>
  <c r="G2280" i="8"/>
  <c r="G2282" i="8"/>
  <c r="G2284" i="8"/>
  <c r="G2286" i="8"/>
  <c r="G2288" i="8"/>
  <c r="G2290" i="8"/>
  <c r="G2292" i="8"/>
  <c r="G2294" i="8"/>
  <c r="G2296" i="8"/>
  <c r="G2298" i="8"/>
  <c r="G2300" i="8"/>
  <c r="G2302" i="8"/>
  <c r="G2304" i="8"/>
  <c r="G2306" i="8"/>
  <c r="G2308" i="8"/>
  <c r="G2310" i="8"/>
  <c r="G2312" i="8"/>
  <c r="G2314" i="8"/>
  <c r="G2316" i="8"/>
  <c r="G2318" i="8"/>
  <c r="G2320" i="8"/>
  <c r="G2322" i="8"/>
  <c r="G2324" i="8"/>
  <c r="G2326" i="8"/>
  <c r="G2328" i="8"/>
  <c r="G2330" i="8"/>
  <c r="G2332" i="8"/>
  <c r="G2334" i="8"/>
  <c r="G2336" i="8"/>
  <c r="G2338" i="8"/>
  <c r="G2340" i="8"/>
  <c r="G2342" i="8"/>
  <c r="G2344" i="8"/>
  <c r="G2346" i="8"/>
  <c r="G2348" i="8"/>
  <c r="G2350" i="8"/>
  <c r="G2352" i="8"/>
  <c r="G2354" i="8"/>
  <c r="G2356" i="8"/>
  <c r="G2358" i="8"/>
  <c r="G2360" i="8"/>
  <c r="G2362" i="8"/>
  <c r="G2364" i="8"/>
  <c r="G2366" i="8"/>
  <c r="G2368" i="8"/>
  <c r="G2370" i="8"/>
  <c r="G2372" i="8"/>
  <c r="G2374" i="8"/>
  <c r="G2376" i="8"/>
  <c r="G2378" i="8"/>
  <c r="G2380" i="8"/>
  <c r="G2382" i="8"/>
  <c r="G2384" i="8"/>
  <c r="G2386" i="8"/>
  <c r="G2388" i="8"/>
  <c r="G2390" i="8"/>
  <c r="G2392" i="8"/>
  <c r="G2394" i="8"/>
  <c r="G2396" i="8"/>
  <c r="G2398" i="8"/>
  <c r="G2400" i="8"/>
  <c r="G2402" i="8"/>
  <c r="G2404" i="8"/>
  <c r="G2406" i="8"/>
  <c r="G2408" i="8"/>
  <c r="G2410" i="8"/>
  <c r="G2412" i="8"/>
  <c r="G2414" i="8"/>
  <c r="G2416" i="8"/>
  <c r="G2418" i="8"/>
  <c r="G2420" i="8"/>
  <c r="G2422" i="8"/>
  <c r="G2424" i="8"/>
  <c r="G2426" i="8"/>
  <c r="G2428" i="8"/>
  <c r="G2430" i="8"/>
  <c r="G2432" i="8"/>
  <c r="G2434" i="8"/>
  <c r="G2436" i="8"/>
  <c r="G2438" i="8"/>
  <c r="G2440" i="8"/>
  <c r="G2442" i="8"/>
  <c r="G2444" i="8"/>
  <c r="G2446" i="8"/>
  <c r="G2448" i="8"/>
  <c r="G2450" i="8"/>
  <c r="G2452" i="8"/>
  <c r="G2454" i="8"/>
  <c r="G2456" i="8"/>
  <c r="G2458" i="8"/>
  <c r="G2460" i="8"/>
  <c r="G2462" i="8"/>
  <c r="G2464" i="8"/>
  <c r="G2466" i="8"/>
  <c r="G2468" i="8"/>
  <c r="G2470" i="8"/>
  <c r="G2472" i="8"/>
  <c r="G2474" i="8"/>
  <c r="G2476" i="8"/>
  <c r="G2478" i="8"/>
  <c r="G2480" i="8"/>
  <c r="G2482" i="8"/>
  <c r="G2484" i="8"/>
  <c r="G2486" i="8"/>
  <c r="G2488" i="8"/>
  <c r="G2490" i="8"/>
  <c r="G2492" i="8"/>
  <c r="G2494" i="8"/>
  <c r="G2496" i="8"/>
  <c r="G2498" i="8"/>
  <c r="G2500" i="8"/>
  <c r="G2502" i="8"/>
  <c r="G2504" i="8"/>
  <c r="G2506" i="8"/>
  <c r="G2508" i="8"/>
  <c r="G2510" i="8"/>
  <c r="G2512" i="8"/>
  <c r="G2514" i="8"/>
  <c r="G2516" i="8"/>
  <c r="G2518" i="8"/>
  <c r="G2520" i="8"/>
  <c r="G2522" i="8"/>
  <c r="G2524" i="8"/>
  <c r="G2526" i="8"/>
  <c r="G2528" i="8"/>
  <c r="G2530" i="8"/>
  <c r="G2532" i="8"/>
  <c r="G2534" i="8"/>
  <c r="G2536" i="8"/>
  <c r="G2538" i="8"/>
  <c r="G2540" i="8"/>
  <c r="G2542" i="8"/>
  <c r="G2544" i="8"/>
  <c r="G2546" i="8"/>
  <c r="G2548" i="8"/>
  <c r="G2550" i="8"/>
  <c r="G2552" i="8"/>
  <c r="G2554" i="8"/>
  <c r="G2556" i="8"/>
  <c r="G2558" i="8"/>
  <c r="G2560" i="8"/>
  <c r="G2562" i="8"/>
  <c r="G2564" i="8"/>
  <c r="G2566" i="8"/>
  <c r="G2568" i="8"/>
  <c r="G2570" i="8"/>
  <c r="G2572" i="8"/>
  <c r="G2574" i="8"/>
  <c r="G2576" i="8"/>
  <c r="G2578" i="8"/>
  <c r="G2580" i="8"/>
  <c r="G2582" i="8"/>
  <c r="G2584" i="8"/>
  <c r="G2586" i="8"/>
  <c r="G2588" i="8"/>
  <c r="G2590" i="8"/>
  <c r="G2592" i="8"/>
  <c r="G2594" i="8"/>
  <c r="G2596" i="8"/>
  <c r="G2598" i="8"/>
  <c r="G2600" i="8"/>
  <c r="G2602" i="8"/>
  <c r="G2604" i="8"/>
  <c r="G2606" i="8"/>
  <c r="G2608" i="8"/>
  <c r="G2610" i="8"/>
  <c r="G2612" i="8"/>
  <c r="G2614" i="8"/>
  <c r="G2616" i="8"/>
  <c r="G2618" i="8"/>
  <c r="G2620" i="8"/>
  <c r="G2622" i="8"/>
  <c r="G2624" i="8"/>
  <c r="G2626" i="8"/>
  <c r="G2628" i="8"/>
  <c r="G2630" i="8"/>
  <c r="G2632" i="8"/>
  <c r="G2634" i="8"/>
  <c r="G2636" i="8"/>
  <c r="G2638" i="8"/>
  <c r="G2640" i="8"/>
  <c r="G2642" i="8"/>
  <c r="G2644" i="8"/>
  <c r="G2646" i="8"/>
  <c r="G2648" i="8"/>
  <c r="G2650" i="8"/>
  <c r="G2652" i="8"/>
  <c r="G2654" i="8"/>
  <c r="G2656" i="8"/>
  <c r="G2658" i="8"/>
  <c r="G2660" i="8"/>
  <c r="G2662" i="8"/>
  <c r="G2664" i="8"/>
  <c r="G2666" i="8"/>
  <c r="G2668" i="8"/>
  <c r="G2670" i="8"/>
  <c r="G2672" i="8"/>
  <c r="G2674" i="8"/>
  <c r="G2676" i="8"/>
  <c r="G2678" i="8"/>
  <c r="G2680" i="8"/>
  <c r="G2682" i="8"/>
  <c r="G2684" i="8"/>
  <c r="G2686" i="8"/>
  <c r="G2688" i="8"/>
  <c r="G2690" i="8"/>
  <c r="G2692" i="8"/>
  <c r="G2694" i="8"/>
  <c r="G2696" i="8"/>
  <c r="G2698" i="8"/>
  <c r="G2700" i="8"/>
  <c r="G2702" i="8"/>
  <c r="G2704" i="8"/>
  <c r="G2706" i="8"/>
  <c r="G2708" i="8"/>
  <c r="G2710" i="8"/>
  <c r="G2712" i="8"/>
  <c r="G2714" i="8"/>
  <c r="G2716" i="8"/>
  <c r="G2718" i="8"/>
  <c r="G2720" i="8"/>
  <c r="G2722" i="8"/>
  <c r="G2724" i="8"/>
  <c r="G2726" i="8"/>
  <c r="G2728" i="8"/>
  <c r="G2730" i="8"/>
  <c r="G2732" i="8"/>
  <c r="G2734" i="8"/>
  <c r="G2736" i="8"/>
  <c r="G2738" i="8"/>
  <c r="G2740" i="8"/>
  <c r="G2742" i="8"/>
  <c r="G2744" i="8"/>
  <c r="G2746" i="8"/>
  <c r="G2748" i="8"/>
  <c r="G2750" i="8"/>
  <c r="G2752" i="8"/>
  <c r="G2754" i="8"/>
  <c r="G2756" i="8"/>
  <c r="G2758" i="8"/>
  <c r="G2760" i="8"/>
  <c r="G2762" i="8"/>
  <c r="G2764" i="8"/>
  <c r="G2766" i="8"/>
  <c r="G2768" i="8"/>
  <c r="G2770" i="8"/>
  <c r="G2772" i="8"/>
  <c r="G2774" i="8"/>
  <c r="G2776" i="8"/>
  <c r="G2778" i="8"/>
  <c r="G2780" i="8"/>
  <c r="G2782" i="8"/>
  <c r="G2784" i="8"/>
  <c r="G2786" i="8"/>
  <c r="G2788" i="8"/>
  <c r="G2790" i="8"/>
  <c r="G2792" i="8"/>
  <c r="G2794" i="8"/>
  <c r="G2796" i="8"/>
  <c r="G2798" i="8"/>
  <c r="G2800" i="8"/>
  <c r="G2802" i="8"/>
  <c r="G2804" i="8"/>
  <c r="G2806" i="8"/>
  <c r="G2808" i="8"/>
  <c r="G2810" i="8"/>
  <c r="G2812" i="8"/>
  <c r="G2814" i="8"/>
  <c r="G2816" i="8"/>
  <c r="G2818" i="8"/>
  <c r="G2820" i="8"/>
  <c r="G2822" i="8"/>
  <c r="G2824" i="8"/>
  <c r="G2826" i="8"/>
  <c r="G2828" i="8"/>
  <c r="G2830" i="8"/>
  <c r="G2832" i="8"/>
  <c r="G2834" i="8"/>
  <c r="G2836" i="8"/>
  <c r="G2838" i="8"/>
  <c r="G2840" i="8"/>
  <c r="G2842" i="8"/>
  <c r="G2844" i="8"/>
  <c r="G2846" i="8"/>
  <c r="G2848" i="8"/>
  <c r="G2850" i="8"/>
  <c r="G2852" i="8"/>
  <c r="G2854" i="8"/>
  <c r="G2856" i="8"/>
  <c r="G2858" i="8"/>
  <c r="G2860" i="8"/>
  <c r="G2862" i="8"/>
  <c r="G2864" i="8"/>
  <c r="G2866" i="8"/>
  <c r="G2868" i="8"/>
  <c r="G2870" i="8"/>
  <c r="G2872" i="8"/>
  <c r="G2874" i="8"/>
  <c r="G2876" i="8"/>
  <c r="G2878" i="8"/>
  <c r="G2880" i="8"/>
  <c r="G2882" i="8"/>
  <c r="G2884" i="8"/>
  <c r="G2886" i="8"/>
  <c r="G2888" i="8"/>
  <c r="G2890" i="8"/>
  <c r="G2892" i="8"/>
  <c r="G2894" i="8"/>
  <c r="G2896" i="8"/>
  <c r="G2898" i="8"/>
  <c r="G2900" i="8"/>
  <c r="G2902" i="8"/>
  <c r="G2904" i="8"/>
  <c r="G2906" i="8"/>
  <c r="G2908" i="8"/>
  <c r="G2910" i="8"/>
  <c r="G2912" i="8"/>
  <c r="G2914" i="8"/>
  <c r="G2916" i="8"/>
  <c r="G2918" i="8"/>
  <c r="G2920" i="8"/>
  <c r="G2922" i="8"/>
  <c r="G2924" i="8"/>
  <c r="G2926" i="8"/>
  <c r="G2928" i="8"/>
  <c r="G2930" i="8"/>
  <c r="G2932" i="8"/>
  <c r="G2934" i="8"/>
  <c r="G2936" i="8"/>
  <c r="G2938" i="8"/>
  <c r="G2940" i="8"/>
  <c r="G2942" i="8"/>
  <c r="G2944" i="8"/>
  <c r="G2946" i="8"/>
  <c r="G2948" i="8"/>
  <c r="G2950" i="8"/>
  <c r="G2952" i="8"/>
  <c r="G2954" i="8"/>
  <c r="G2956" i="8"/>
  <c r="G2958" i="8"/>
  <c r="G2960" i="8"/>
  <c r="G2962" i="8"/>
  <c r="G2964" i="8"/>
  <c r="G2966" i="8"/>
  <c r="G2968" i="8"/>
  <c r="G2970" i="8"/>
  <c r="G2972" i="8"/>
  <c r="G2974" i="8"/>
  <c r="G2976" i="8"/>
  <c r="G2978" i="8"/>
  <c r="G2980" i="8"/>
  <c r="G2982" i="8"/>
  <c r="G2984" i="8"/>
  <c r="G2986" i="8"/>
  <c r="G2988" i="8"/>
  <c r="G2990" i="8"/>
  <c r="G2992" i="8"/>
  <c r="G2994" i="8"/>
  <c r="G2996" i="8"/>
  <c r="G2998" i="8"/>
  <c r="G3000" i="8"/>
  <c r="G3002" i="8"/>
  <c r="G3004" i="8"/>
  <c r="G3006" i="8"/>
  <c r="G3008" i="8"/>
  <c r="G3010" i="8"/>
  <c r="G3012" i="8"/>
  <c r="G3014" i="8"/>
  <c r="G3016" i="8"/>
  <c r="G3018" i="8"/>
  <c r="G3020" i="8"/>
  <c r="G3022" i="8"/>
  <c r="G3024" i="8"/>
  <c r="G3026" i="8"/>
  <c r="G3028" i="8"/>
  <c r="G3030" i="8"/>
  <c r="G3032" i="8"/>
  <c r="G3034" i="8"/>
  <c r="G3036" i="8"/>
  <c r="G3038" i="8"/>
  <c r="G3040" i="8"/>
  <c r="G3042" i="8"/>
  <c r="G3044" i="8"/>
  <c r="G3046" i="8"/>
  <c r="G3048" i="8"/>
  <c r="G3050" i="8"/>
  <c r="G3052" i="8"/>
  <c r="G3054" i="8"/>
  <c r="G3056" i="8"/>
  <c r="G3058" i="8"/>
  <c r="G3060" i="8"/>
  <c r="G3062" i="8"/>
  <c r="G3064" i="8"/>
  <c r="G3066" i="8"/>
  <c r="G3068" i="8"/>
  <c r="G3070" i="8"/>
  <c r="G3072" i="8"/>
  <c r="G3074" i="8"/>
  <c r="G3076" i="8"/>
  <c r="G3078" i="8"/>
  <c r="G3080" i="8"/>
  <c r="G3082" i="8"/>
  <c r="G3084" i="8"/>
  <c r="G3086" i="8"/>
  <c r="G3088" i="8"/>
  <c r="G3090" i="8"/>
  <c r="G3092" i="8"/>
  <c r="G3094" i="8"/>
  <c r="G3096" i="8"/>
  <c r="G3098" i="8"/>
  <c r="G3100" i="8"/>
  <c r="G3102" i="8"/>
  <c r="G3104" i="8"/>
  <c r="G3106" i="8"/>
  <c r="G3108" i="8"/>
  <c r="G3110" i="8"/>
  <c r="G3112" i="8"/>
  <c r="G3114" i="8"/>
  <c r="G3116" i="8"/>
  <c r="G3118" i="8"/>
  <c r="G3120" i="8"/>
  <c r="G3122" i="8"/>
  <c r="G3124" i="8"/>
  <c r="G3126" i="8"/>
  <c r="G3128" i="8"/>
  <c r="G3130" i="8"/>
  <c r="G3132" i="8"/>
  <c r="G3134" i="8"/>
  <c r="G3136" i="8"/>
  <c r="G3138" i="8"/>
  <c r="G3140" i="8"/>
  <c r="G3142" i="8"/>
  <c r="G3144" i="8"/>
  <c r="G3146" i="8"/>
  <c r="G3148" i="8"/>
  <c r="G3150" i="8"/>
  <c r="G3152" i="8"/>
  <c r="G3154" i="8"/>
  <c r="G3156" i="8"/>
  <c r="G3158" i="8"/>
  <c r="G3160" i="8"/>
  <c r="G3162" i="8"/>
  <c r="G3164" i="8"/>
  <c r="G3166" i="8"/>
  <c r="G3168" i="8"/>
  <c r="G3170" i="8"/>
  <c r="G3172" i="8"/>
  <c r="G3174" i="8"/>
  <c r="G3176" i="8"/>
  <c r="G3178" i="8"/>
  <c r="G3180" i="8"/>
  <c r="G3182" i="8"/>
  <c r="G3184" i="8"/>
  <c r="G3186" i="8"/>
  <c r="G3188" i="8"/>
  <c r="G3190" i="8"/>
  <c r="G3192" i="8"/>
  <c r="G3194" i="8"/>
  <c r="G3196" i="8"/>
  <c r="G3198" i="8"/>
  <c r="G3200" i="8"/>
  <c r="G3202" i="8"/>
  <c r="G3204" i="8"/>
  <c r="G3206" i="8"/>
  <c r="G3208" i="8"/>
  <c r="G3210" i="8"/>
  <c r="G3212" i="8"/>
  <c r="G3214" i="8"/>
  <c r="G3216" i="8"/>
  <c r="G3218" i="8"/>
  <c r="G3220" i="8"/>
  <c r="G3222" i="8"/>
  <c r="G3224" i="8"/>
  <c r="G3226" i="8"/>
  <c r="G3228" i="8"/>
  <c r="G3230" i="8"/>
  <c r="G3232" i="8"/>
  <c r="G3234" i="8"/>
  <c r="G3236" i="8"/>
  <c r="G3238" i="8"/>
  <c r="G3240" i="8"/>
  <c r="G3242" i="8"/>
  <c r="G3244" i="8"/>
  <c r="G3246" i="8"/>
  <c r="G3248" i="8"/>
  <c r="G3250" i="8"/>
  <c r="G3252" i="8"/>
  <c r="G3254" i="8"/>
  <c r="G3256" i="8"/>
  <c r="G3258" i="8"/>
  <c r="G3260" i="8"/>
  <c r="G3262" i="8"/>
  <c r="G3264" i="8"/>
  <c r="G3266" i="8"/>
  <c r="G3268" i="8"/>
  <c r="G3270" i="8"/>
  <c r="G3272" i="8"/>
  <c r="G3274" i="8"/>
  <c r="G3276" i="8"/>
  <c r="G3278" i="8"/>
  <c r="G3280" i="8"/>
  <c r="G3282" i="8"/>
  <c r="G3284" i="8"/>
  <c r="G3286" i="8"/>
  <c r="G3288" i="8"/>
  <c r="G3290" i="8"/>
  <c r="G3292" i="8"/>
  <c r="G3294" i="8"/>
  <c r="G3296" i="8"/>
  <c r="G3298" i="8"/>
  <c r="G3300" i="8"/>
  <c r="G3302" i="8"/>
  <c r="G3304" i="8"/>
  <c r="G3306" i="8"/>
  <c r="G3308" i="8"/>
  <c r="G3310" i="8"/>
  <c r="G3312" i="8"/>
  <c r="G3314" i="8"/>
  <c r="G3316" i="8"/>
  <c r="G3318" i="8"/>
  <c r="G3320" i="8"/>
  <c r="G3322" i="8"/>
  <c r="G3324" i="8"/>
  <c r="G3326" i="8"/>
  <c r="G3328" i="8"/>
  <c r="G3330" i="8"/>
  <c r="G3332" i="8"/>
  <c r="G3334" i="8"/>
  <c r="G3336" i="8"/>
  <c r="G3338" i="8"/>
  <c r="G3340" i="8"/>
  <c r="G3342" i="8"/>
  <c r="G3344" i="8"/>
  <c r="G3346" i="8"/>
  <c r="G3348" i="8"/>
  <c r="G3350" i="8"/>
  <c r="G3352" i="8"/>
  <c r="G3354" i="8"/>
  <c r="G3356" i="8"/>
  <c r="G3358" i="8"/>
  <c r="G3360" i="8"/>
  <c r="G3362" i="8"/>
  <c r="G3364" i="8"/>
  <c r="G3366" i="8"/>
  <c r="G3368" i="8"/>
  <c r="G3370" i="8"/>
  <c r="G3372" i="8"/>
  <c r="G3374" i="8"/>
  <c r="G3376" i="8"/>
  <c r="G3378" i="8"/>
  <c r="G3380" i="8"/>
  <c r="G3382" i="8"/>
  <c r="G3384" i="8"/>
  <c r="G3386" i="8"/>
  <c r="G3388" i="8"/>
  <c r="G3390" i="8"/>
  <c r="G3392" i="8"/>
  <c r="G3394" i="8"/>
  <c r="G3396" i="8"/>
  <c r="G3398" i="8"/>
  <c r="G3400" i="8"/>
  <c r="G3402" i="8"/>
  <c r="G3404" i="8"/>
  <c r="G3406" i="8"/>
  <c r="G3408" i="8"/>
  <c r="G3410" i="8"/>
  <c r="G3412" i="8"/>
  <c r="G3414" i="8"/>
  <c r="G3416" i="8"/>
  <c r="G3418" i="8"/>
  <c r="G3420" i="8"/>
  <c r="G3422" i="8"/>
  <c r="G3424" i="8"/>
  <c r="G3426" i="8"/>
  <c r="G3428" i="8"/>
  <c r="G3430" i="8"/>
  <c r="G3432" i="8"/>
  <c r="G3434" i="8"/>
  <c r="G3436" i="8"/>
  <c r="G3438" i="8"/>
  <c r="G3440" i="8"/>
  <c r="G3442" i="8"/>
  <c r="G3444" i="8"/>
  <c r="G3446" i="8"/>
  <c r="G3448" i="8"/>
  <c r="G3450" i="8"/>
  <c r="G3452" i="8"/>
  <c r="G3454" i="8"/>
  <c r="G3456" i="8"/>
  <c r="G3458" i="8"/>
  <c r="G3460" i="8"/>
  <c r="G3462" i="8"/>
  <c r="G3464" i="8"/>
  <c r="G3466" i="8"/>
  <c r="G3468" i="8"/>
  <c r="G3470" i="8"/>
  <c r="G3472" i="8"/>
  <c r="G3474" i="8"/>
  <c r="G3476" i="8"/>
  <c r="G3478" i="8"/>
  <c r="G3480" i="8"/>
  <c r="G3482" i="8"/>
  <c r="G3484" i="8"/>
  <c r="G3486" i="8"/>
  <c r="G3488" i="8"/>
  <c r="G3490" i="8"/>
  <c r="G3492" i="8"/>
  <c r="G3494" i="8"/>
  <c r="G3496" i="8"/>
  <c r="G3498" i="8"/>
  <c r="G3500" i="8"/>
  <c r="G3502" i="8"/>
  <c r="G3504" i="8"/>
  <c r="G3506" i="8"/>
  <c r="G3508" i="8"/>
  <c r="G3510" i="8"/>
  <c r="G3512" i="8"/>
  <c r="G3514" i="8"/>
  <c r="G3516" i="8"/>
  <c r="G3518" i="8"/>
  <c r="G3520" i="8"/>
  <c r="G3522" i="8"/>
  <c r="G3524" i="8"/>
  <c r="G3526" i="8"/>
  <c r="G3528" i="8"/>
  <c r="G3530" i="8"/>
  <c r="G3532" i="8"/>
  <c r="G3534" i="8"/>
  <c r="G3536" i="8"/>
  <c r="G3538" i="8"/>
  <c r="G3540" i="8"/>
  <c r="G3542" i="8"/>
  <c r="G3544" i="8"/>
  <c r="G3546" i="8"/>
  <c r="G3548" i="8"/>
  <c r="G3550" i="8"/>
  <c r="G3552" i="8"/>
  <c r="G3554" i="8"/>
  <c r="G3556" i="8"/>
  <c r="G3558" i="8"/>
  <c r="G3560" i="8"/>
  <c r="G3562" i="8"/>
  <c r="G3564" i="8"/>
  <c r="G3566" i="8"/>
  <c r="G3568" i="8"/>
  <c r="G3570" i="8"/>
  <c r="G3572" i="8"/>
  <c r="G3574" i="8"/>
  <c r="G3576" i="8"/>
  <c r="G3578" i="8"/>
  <c r="G3580" i="8"/>
  <c r="G3582" i="8"/>
  <c r="G3584" i="8"/>
  <c r="G3586" i="8"/>
  <c r="G3588" i="8"/>
  <c r="G3590" i="8"/>
  <c r="G3592" i="8"/>
  <c r="G3594" i="8"/>
  <c r="G3596" i="8"/>
  <c r="G3598" i="8"/>
  <c r="G3600" i="8"/>
  <c r="G3602" i="8"/>
  <c r="G3604" i="8"/>
  <c r="G3606" i="8"/>
  <c r="G3608" i="8"/>
  <c r="G3610" i="8"/>
  <c r="G3612" i="8"/>
  <c r="G3614" i="8"/>
  <c r="G3616" i="8"/>
  <c r="G3618" i="8"/>
  <c r="G3620" i="8"/>
  <c r="G3622" i="8"/>
  <c r="G3624" i="8"/>
  <c r="G3626" i="8"/>
  <c r="G3628" i="8"/>
  <c r="G3630" i="8"/>
  <c r="G3632" i="8"/>
  <c r="G3634" i="8"/>
  <c r="G3636" i="8"/>
  <c r="G3638" i="8"/>
  <c r="G3640" i="8"/>
  <c r="G3642" i="8"/>
  <c r="G3644" i="8"/>
  <c r="G3646" i="8"/>
  <c r="G3648" i="8"/>
  <c r="G3650" i="8"/>
  <c r="G3652" i="8"/>
  <c r="G3654" i="8"/>
  <c r="G3656" i="8"/>
  <c r="G3658" i="8"/>
  <c r="G3660" i="8"/>
  <c r="G3662" i="8"/>
  <c r="G3664" i="8"/>
  <c r="G3666" i="8"/>
  <c r="G3668" i="8"/>
  <c r="G3670" i="8"/>
  <c r="G3672" i="8"/>
  <c r="G3674" i="8"/>
  <c r="G3676" i="8"/>
  <c r="G3678" i="8"/>
  <c r="G3680" i="8"/>
  <c r="G3682" i="8"/>
  <c r="G3684" i="8"/>
  <c r="G3686" i="8"/>
  <c r="G3688" i="8"/>
  <c r="G3690" i="8"/>
  <c r="G3692" i="8"/>
  <c r="G3694" i="8"/>
  <c r="G3696" i="8"/>
  <c r="G3698" i="8"/>
  <c r="G3700" i="8"/>
  <c r="G3702" i="8"/>
  <c r="G3704" i="8"/>
  <c r="G3706" i="8"/>
  <c r="G3708" i="8"/>
  <c r="G3710" i="8"/>
  <c r="G3712" i="8"/>
  <c r="G3714" i="8"/>
  <c r="G3716" i="8"/>
  <c r="G3718" i="8"/>
  <c r="G3720" i="8"/>
  <c r="G3722" i="8"/>
  <c r="G3724" i="8"/>
  <c r="G3726" i="8"/>
  <c r="G3728" i="8"/>
  <c r="G3730" i="8"/>
  <c r="G3734" i="8"/>
  <c r="G3738" i="8"/>
  <c r="G3742" i="8"/>
  <c r="G3746" i="8"/>
  <c r="G3750" i="8"/>
  <c r="G3754" i="8"/>
  <c r="G3758" i="8"/>
  <c r="G3762" i="8"/>
  <c r="G3766" i="8"/>
  <c r="G3770" i="8"/>
  <c r="G3774" i="8"/>
  <c r="G3778" i="8"/>
  <c r="G3782" i="8"/>
  <c r="G3786" i="8"/>
  <c r="G3790" i="8"/>
  <c r="G3794" i="8"/>
  <c r="G3798" i="8"/>
  <c r="G3802" i="8"/>
  <c r="G3806" i="8"/>
  <c r="G3810" i="8"/>
  <c r="G3814" i="8"/>
  <c r="G3818" i="8"/>
  <c r="G3822" i="8"/>
  <c r="G3826" i="8"/>
  <c r="G3830" i="8"/>
  <c r="G3834" i="8"/>
  <c r="G3838" i="8"/>
  <c r="G3842" i="8"/>
  <c r="G3846" i="8"/>
  <c r="G3850" i="8"/>
  <c r="G3854" i="8"/>
  <c r="G3858" i="8"/>
  <c r="G3862" i="8"/>
  <c r="G3866" i="8"/>
  <c r="G3870" i="8"/>
  <c r="G3874" i="8"/>
  <c r="G3878" i="8"/>
  <c r="G3882" i="8"/>
  <c r="G3886" i="8"/>
  <c r="G3890" i="8"/>
  <c r="G3894" i="8"/>
  <c r="G3898" i="8"/>
  <c r="G3902" i="8"/>
  <c r="G3906" i="8"/>
  <c r="G3910" i="8"/>
  <c r="G3914" i="8"/>
  <c r="G3918" i="8"/>
  <c r="G3922" i="8"/>
  <c r="G3926" i="8"/>
  <c r="G3930" i="8"/>
  <c r="G3934" i="8"/>
  <c r="G3938" i="8"/>
  <c r="G3942" i="8"/>
  <c r="G3946" i="8"/>
  <c r="G3950" i="8"/>
  <c r="G3954" i="8"/>
  <c r="G3958" i="8"/>
  <c r="G3962" i="8"/>
  <c r="G3966" i="8"/>
  <c r="G3970" i="8"/>
  <c r="G3974" i="8"/>
  <c r="G3978" i="8"/>
  <c r="G3982" i="8"/>
  <c r="G3986" i="8"/>
  <c r="G3990" i="8"/>
  <c r="G3994" i="8"/>
  <c r="G3998" i="8"/>
  <c r="G4002" i="8"/>
  <c r="G4006" i="8"/>
  <c r="G4010" i="8"/>
  <c r="G4014" i="8"/>
  <c r="G4018" i="8"/>
  <c r="G4022" i="8"/>
  <c r="G4026" i="8"/>
  <c r="G4030" i="8"/>
  <c r="G4034" i="8"/>
  <c r="G4038" i="8"/>
  <c r="G4042" i="8"/>
  <c r="G4046" i="8"/>
  <c r="G4050" i="8"/>
  <c r="G4054" i="8"/>
  <c r="G4058" i="8"/>
  <c r="G4062" i="8"/>
  <c r="G4066" i="8"/>
  <c r="G4070" i="8"/>
  <c r="G4074" i="8"/>
  <c r="G4078" i="8"/>
  <c r="G4082" i="8"/>
  <c r="G4086" i="8"/>
  <c r="G4090" i="8"/>
  <c r="G4094" i="8"/>
  <c r="G4098" i="8"/>
  <c r="G4102" i="8"/>
  <c r="G4106" i="8"/>
  <c r="G4110" i="8"/>
  <c r="G4114" i="8"/>
  <c r="G4118" i="8"/>
  <c r="G4122" i="8"/>
  <c r="G4126" i="8"/>
  <c r="G4130" i="8"/>
  <c r="G4134" i="8"/>
  <c r="G4138" i="8"/>
  <c r="G4142" i="8"/>
  <c r="G4146" i="8"/>
  <c r="G4150" i="8"/>
  <c r="G4154" i="8"/>
  <c r="G4158" i="8"/>
  <c r="G4162" i="8"/>
  <c r="G4166" i="8"/>
  <c r="G4170" i="8"/>
  <c r="G4174" i="8"/>
  <c r="G4178" i="8"/>
  <c r="G4182" i="8"/>
  <c r="G4186" i="8"/>
  <c r="G4190" i="8"/>
  <c r="G4194" i="8"/>
  <c r="G4198" i="8"/>
  <c r="G4202" i="8"/>
  <c r="G4206" i="8"/>
  <c r="G4210" i="8"/>
  <c r="G4214" i="8"/>
  <c r="G4218" i="8"/>
  <c r="G4222" i="8"/>
  <c r="G4226" i="8"/>
  <c r="G4230" i="8"/>
  <c r="G4234" i="8"/>
  <c r="G4238" i="8"/>
  <c r="G4242" i="8"/>
  <c r="G4246" i="8"/>
  <c r="G4250" i="8"/>
  <c r="G4254" i="8"/>
  <c r="G4258" i="8"/>
  <c r="G4262" i="8"/>
  <c r="G4266" i="8"/>
  <c r="G4270" i="8"/>
  <c r="G4274" i="8"/>
  <c r="G4278" i="8"/>
  <c r="G4282" i="8"/>
  <c r="G4286" i="8"/>
  <c r="G4290" i="8"/>
  <c r="G4294" i="8"/>
  <c r="G4298" i="8"/>
  <c r="G4302" i="8"/>
  <c r="G4306" i="8"/>
  <c r="G4310" i="8"/>
  <c r="G4314" i="8"/>
  <c r="G4318" i="8"/>
  <c r="G4322" i="8"/>
  <c r="G4326" i="8"/>
  <c r="G4330" i="8"/>
  <c r="G4334" i="8"/>
  <c r="G4338" i="8"/>
  <c r="G4342" i="8"/>
  <c r="G4346" i="8"/>
  <c r="G4350" i="8"/>
  <c r="G4354" i="8"/>
  <c r="G4358" i="8"/>
  <c r="G4362" i="8"/>
  <c r="G4366" i="8"/>
  <c r="G4370" i="8"/>
  <c r="G4374" i="8"/>
  <c r="G4378" i="8"/>
  <c r="G4382" i="8"/>
  <c r="G4386" i="8"/>
  <c r="G4390" i="8"/>
  <c r="G4394" i="8"/>
  <c r="G4398" i="8"/>
  <c r="G4402" i="8"/>
  <c r="G4406" i="8"/>
  <c r="G4410" i="8"/>
  <c r="G4414" i="8"/>
  <c r="G4418" i="8"/>
  <c r="G4422" i="8"/>
  <c r="G4426" i="8"/>
  <c r="G4430" i="8"/>
  <c r="G4434" i="8"/>
  <c r="G4438" i="8"/>
  <c r="G4442" i="8"/>
  <c r="G4446" i="8"/>
  <c r="G4450" i="8"/>
  <c r="G4454" i="8"/>
  <c r="G4458" i="8"/>
  <c r="G4462" i="8"/>
  <c r="G4466" i="8"/>
  <c r="G4470" i="8"/>
  <c r="G4474" i="8"/>
  <c r="G4478" i="8"/>
  <c r="G4482" i="8"/>
  <c r="G4486" i="8"/>
  <c r="G4490" i="8"/>
  <c r="G4494" i="8"/>
  <c r="G4498" i="8"/>
  <c r="G4502" i="8"/>
  <c r="G4506" i="8"/>
  <c r="G4510" i="8"/>
  <c r="G4514" i="8"/>
  <c r="G4518" i="8"/>
  <c r="G4522" i="8"/>
  <c r="G4526" i="8"/>
  <c r="G4530" i="8"/>
  <c r="G4534" i="8"/>
  <c r="G4538" i="8"/>
  <c r="G4542" i="8"/>
  <c r="G4546" i="8"/>
  <c r="G4550" i="8"/>
  <c r="G4554" i="8"/>
  <c r="G4558" i="8"/>
  <c r="G4562" i="8"/>
  <c r="G4566" i="8"/>
  <c r="G4570" i="8"/>
  <c r="G4574" i="8"/>
  <c r="G4578" i="8"/>
  <c r="G4582" i="8"/>
  <c r="G4586" i="8"/>
  <c r="G4590" i="8"/>
  <c r="G4594" i="8"/>
  <c r="G4598" i="8"/>
  <c r="G4602" i="8"/>
  <c r="G4606" i="8"/>
  <c r="G4610" i="8"/>
  <c r="G4614" i="8"/>
  <c r="G4618" i="8"/>
  <c r="G4622" i="8"/>
  <c r="G4626" i="8"/>
  <c r="G4630" i="8"/>
  <c r="G4634" i="8"/>
  <c r="G4638" i="8"/>
  <c r="G4642" i="8"/>
  <c r="G4646" i="8"/>
  <c r="G4650" i="8"/>
  <c r="G4654" i="8"/>
  <c r="G4658" i="8"/>
  <c r="G4662" i="8"/>
  <c r="G4666" i="8"/>
  <c r="G4670" i="8"/>
  <c r="G4674" i="8"/>
  <c r="G4678" i="8"/>
  <c r="G4682" i="8"/>
  <c r="G4686" i="8"/>
  <c r="G4690" i="8"/>
  <c r="G4694" i="8"/>
  <c r="G4698" i="8"/>
  <c r="G4702" i="8"/>
  <c r="G4706" i="8"/>
  <c r="G4710" i="8"/>
  <c r="G4714" i="8"/>
  <c r="G4718" i="8"/>
  <c r="G4722" i="8"/>
  <c r="G4726" i="8"/>
  <c r="G4730" i="8"/>
  <c r="G4734" i="8"/>
  <c r="G4738" i="8"/>
  <c r="G4742" i="8"/>
  <c r="G4746" i="8"/>
  <c r="G4750" i="8"/>
  <c r="G4754" i="8"/>
  <c r="G4758" i="8"/>
  <c r="G4762" i="8"/>
  <c r="G4766" i="8"/>
  <c r="G4770" i="8"/>
  <c r="G4774" i="8"/>
  <c r="G4778" i="8"/>
  <c r="G4782" i="8"/>
  <c r="G4786" i="8"/>
  <c r="G4790" i="8"/>
  <c r="G4794" i="8"/>
  <c r="G4798" i="8"/>
  <c r="G4802" i="8"/>
  <c r="G4806" i="8"/>
  <c r="G4810" i="8"/>
  <c r="G4814" i="8"/>
  <c r="G4818" i="8"/>
  <c r="G4822" i="8"/>
  <c r="G4826" i="8"/>
  <c r="G4830" i="8"/>
  <c r="G4834" i="8"/>
  <c r="G4838" i="8"/>
  <c r="G4842" i="8"/>
  <c r="G4846" i="8"/>
  <c r="G4850" i="8"/>
  <c r="G4854" i="8"/>
  <c r="G4858" i="8"/>
  <c r="G4862" i="8"/>
  <c r="G4866" i="8"/>
  <c r="G4870" i="8"/>
  <c r="G4874" i="8"/>
  <c r="G4878" i="8"/>
  <c r="G4882" i="8"/>
  <c r="G4886" i="8"/>
  <c r="G4890" i="8"/>
  <c r="G4894" i="8"/>
  <c r="G4898" i="8"/>
  <c r="G4902" i="8"/>
  <c r="G4906" i="8"/>
  <c r="G4910" i="8"/>
  <c r="G4914" i="8"/>
  <c r="G4918" i="8"/>
  <c r="G4922" i="8"/>
  <c r="G4926" i="8"/>
  <c r="G4930" i="8"/>
  <c r="G4934" i="8"/>
  <c r="G4938" i="8"/>
  <c r="G4942" i="8"/>
  <c r="G4946" i="8"/>
  <c r="G4950" i="8"/>
  <c r="G4954" i="8"/>
  <c r="G4958" i="8"/>
  <c r="G4962" i="8"/>
  <c r="G4966" i="8"/>
  <c r="G4970" i="8"/>
  <c r="G4974" i="8"/>
  <c r="G4978" i="8"/>
  <c r="G4982" i="8"/>
  <c r="G4986" i="8"/>
  <c r="G4990" i="8"/>
  <c r="G4994" i="8"/>
  <c r="G4998" i="8"/>
  <c r="G5002" i="8"/>
  <c r="G5006" i="8"/>
  <c r="G5010" i="8"/>
  <c r="G5014" i="8"/>
  <c r="G5018" i="8"/>
  <c r="G5022" i="8"/>
  <c r="G5026" i="8"/>
  <c r="G5030" i="8"/>
  <c r="G5034" i="8"/>
  <c r="G5038" i="8"/>
  <c r="G5042" i="8"/>
  <c r="G5046" i="8"/>
  <c r="G5050" i="8"/>
  <c r="G5054" i="8"/>
  <c r="G5058" i="8"/>
  <c r="G5062" i="8"/>
  <c r="G5066" i="8"/>
  <c r="G5070" i="8"/>
  <c r="G5074" i="8"/>
  <c r="G5078" i="8"/>
  <c r="G5082" i="8"/>
  <c r="G5086" i="8"/>
  <c r="G5090" i="8"/>
  <c r="G5094" i="8"/>
  <c r="G5098" i="8"/>
  <c r="G5102" i="8"/>
  <c r="G5106" i="8"/>
  <c r="G5110" i="8"/>
  <c r="G5114" i="8"/>
  <c r="G5118" i="8"/>
  <c r="G5122" i="8"/>
  <c r="G5126" i="8"/>
  <c r="G5130" i="8"/>
  <c r="G5134" i="8"/>
  <c r="G5138" i="8"/>
  <c r="G5142" i="8"/>
  <c r="G5146" i="8"/>
  <c r="G5150" i="8"/>
  <c r="G5154" i="8"/>
  <c r="G5158" i="8"/>
  <c r="G5162" i="8"/>
  <c r="G5166" i="8"/>
  <c r="G5170" i="8"/>
  <c r="G5174" i="8"/>
  <c r="G5178" i="8"/>
  <c r="G5182" i="8"/>
  <c r="G5186" i="8"/>
  <c r="G5190" i="8"/>
  <c r="G5194" i="8"/>
  <c r="G5198" i="8"/>
  <c r="G5202" i="8"/>
  <c r="G5206" i="8"/>
  <c r="G5210" i="8"/>
  <c r="G5214" i="8"/>
  <c r="G5218" i="8"/>
  <c r="G5222" i="8"/>
  <c r="G5226" i="8"/>
  <c r="G5230" i="8"/>
  <c r="G5234" i="8"/>
  <c r="G5238" i="8"/>
  <c r="G5242" i="8"/>
  <c r="G5246" i="8"/>
  <c r="G5250" i="8"/>
  <c r="G5254" i="8"/>
  <c r="G5258" i="8"/>
  <c r="G5262" i="8"/>
  <c r="G5266" i="8"/>
  <c r="G5270" i="8"/>
  <c r="G5274" i="8"/>
  <c r="G5278" i="8"/>
  <c r="G5282" i="8"/>
  <c r="G5286" i="8"/>
  <c r="G5290" i="8"/>
  <c r="G5294" i="8"/>
  <c r="G5298" i="8"/>
  <c r="G5302" i="8"/>
  <c r="G5306" i="8"/>
  <c r="G5310" i="8"/>
  <c r="G5314" i="8"/>
  <c r="G5318" i="8"/>
  <c r="G5322" i="8"/>
  <c r="G5326" i="8"/>
  <c r="G5330" i="8"/>
  <c r="G5334" i="8"/>
  <c r="G5338" i="8"/>
  <c r="G5342" i="8"/>
  <c r="G5346" i="8"/>
  <c r="G5350" i="8"/>
  <c r="G5354" i="8"/>
  <c r="G5358" i="8"/>
  <c r="G5362" i="8"/>
  <c r="G5366" i="8"/>
  <c r="G5370" i="8"/>
  <c r="G5374" i="8"/>
  <c r="G5378" i="8"/>
  <c r="G5382" i="8"/>
  <c r="G5386" i="8"/>
  <c r="G5390" i="8"/>
  <c r="G5394" i="8"/>
  <c r="G5398" i="8"/>
  <c r="G5402" i="8"/>
  <c r="G5406" i="8"/>
  <c r="G5410" i="8"/>
  <c r="G5414" i="8"/>
  <c r="G5418" i="8"/>
  <c r="G5422" i="8"/>
  <c r="G5426" i="8"/>
  <c r="G5430" i="8"/>
  <c r="G5434" i="8"/>
  <c r="G5438" i="8"/>
  <c r="G5442" i="8"/>
  <c r="G5446" i="8"/>
  <c r="G5450" i="8"/>
  <c r="G5454" i="8"/>
  <c r="G5458" i="8"/>
  <c r="G5462" i="8"/>
  <c r="G5466" i="8"/>
  <c r="G5470" i="8"/>
  <c r="G5474" i="8"/>
  <c r="G5478" i="8"/>
  <c r="G5482" i="8"/>
  <c r="G5486" i="8"/>
  <c r="G5490" i="8"/>
  <c r="G5494" i="8"/>
  <c r="G5498" i="8"/>
  <c r="G5502" i="8"/>
  <c r="G5506" i="8"/>
  <c r="G5510" i="8"/>
  <c r="G5514" i="8"/>
  <c r="G5518" i="8"/>
  <c r="G5522" i="8"/>
  <c r="G5526" i="8"/>
  <c r="G5530" i="8"/>
  <c r="G5534" i="8"/>
  <c r="G5538" i="8"/>
  <c r="G5542" i="8"/>
  <c r="G5546" i="8"/>
  <c r="G5550" i="8"/>
  <c r="G5554" i="8"/>
  <c r="G5558" i="8"/>
  <c r="G5562" i="8"/>
  <c r="G5566" i="8"/>
  <c r="G5570" i="8"/>
  <c r="G5574" i="8"/>
  <c r="G5578" i="8"/>
  <c r="G5582" i="8"/>
  <c r="G5586" i="8"/>
  <c r="G5590" i="8"/>
  <c r="G5594" i="8"/>
  <c r="G5598" i="8"/>
  <c r="G5602" i="8"/>
  <c r="G5606" i="8"/>
  <c r="G5610" i="8"/>
  <c r="G5614" i="8"/>
  <c r="G5618" i="8"/>
  <c r="G2" i="8"/>
  <c r="G3" i="8"/>
  <c r="G5" i="8"/>
  <c r="G7" i="8"/>
  <c r="G9" i="8"/>
  <c r="G11" i="8"/>
  <c r="G13" i="8"/>
  <c r="G15" i="8"/>
  <c r="G17" i="8"/>
  <c r="G19" i="8"/>
  <c r="G21" i="8"/>
  <c r="G23" i="8"/>
  <c r="G25" i="8"/>
  <c r="G27" i="8"/>
  <c r="G29" i="8"/>
  <c r="G31" i="8"/>
  <c r="G33" i="8"/>
  <c r="G35" i="8"/>
  <c r="G37" i="8"/>
  <c r="G39" i="8"/>
  <c r="G41" i="8"/>
  <c r="G43" i="8"/>
  <c r="G45" i="8"/>
  <c r="G47" i="8"/>
  <c r="G49" i="8"/>
  <c r="G51" i="8"/>
  <c r="G53" i="8"/>
  <c r="G55" i="8"/>
  <c r="G57" i="8"/>
  <c r="G59" i="8"/>
  <c r="G61" i="8"/>
  <c r="G63" i="8"/>
  <c r="G65" i="8"/>
  <c r="G67" i="8"/>
  <c r="G69" i="8"/>
  <c r="G71" i="8"/>
  <c r="G73" i="8"/>
  <c r="G75" i="8"/>
  <c r="G77" i="8"/>
  <c r="G79" i="8"/>
  <c r="G81" i="8"/>
  <c r="G83" i="8"/>
  <c r="G85" i="8"/>
  <c r="G87" i="8"/>
  <c r="G89" i="8"/>
  <c r="G91" i="8"/>
  <c r="G93" i="8"/>
  <c r="G95" i="8"/>
  <c r="G97" i="8"/>
  <c r="G99" i="8"/>
  <c r="G101" i="8"/>
  <c r="G103" i="8"/>
  <c r="G105" i="8"/>
  <c r="G107" i="8"/>
  <c r="G109" i="8"/>
  <c r="G111" i="8"/>
  <c r="G113" i="8"/>
  <c r="G115" i="8"/>
  <c r="G117" i="8"/>
  <c r="G119" i="8"/>
  <c r="G121" i="8"/>
  <c r="G123" i="8"/>
  <c r="G125" i="8"/>
  <c r="G127" i="8"/>
  <c r="G129" i="8"/>
  <c r="G131" i="8"/>
  <c r="G133" i="8"/>
  <c r="G135" i="8"/>
  <c r="G137" i="8"/>
  <c r="G139" i="8"/>
  <c r="G141" i="8"/>
  <c r="G143" i="8"/>
  <c r="G145" i="8"/>
  <c r="G147" i="8"/>
  <c r="G149" i="8"/>
  <c r="G151" i="8"/>
  <c r="G153" i="8"/>
  <c r="G155" i="8"/>
  <c r="G157" i="8"/>
  <c r="G159" i="8"/>
  <c r="G161" i="8"/>
  <c r="G163" i="8"/>
  <c r="G165" i="8"/>
  <c r="G167" i="8"/>
  <c r="G169" i="8"/>
  <c r="G171" i="8"/>
  <c r="G173" i="8"/>
  <c r="G175" i="8"/>
  <c r="G177" i="8"/>
  <c r="G179" i="8"/>
  <c r="G181" i="8"/>
  <c r="G183" i="8"/>
  <c r="G185" i="8"/>
  <c r="G187" i="8"/>
  <c r="G189" i="8"/>
  <c r="G191" i="8"/>
  <c r="G193" i="8"/>
  <c r="G195" i="8"/>
  <c r="G197" i="8"/>
  <c r="G199" i="8"/>
  <c r="G201" i="8"/>
  <c r="G203" i="8"/>
  <c r="G205" i="8"/>
  <c r="G207" i="8"/>
  <c r="G209" i="8"/>
  <c r="G211" i="8"/>
  <c r="G213" i="8"/>
  <c r="G215" i="8"/>
  <c r="G217" i="8"/>
  <c r="G219" i="8"/>
  <c r="G221" i="8"/>
  <c r="G223" i="8"/>
  <c r="G225" i="8"/>
  <c r="G227" i="8"/>
  <c r="G229" i="8"/>
  <c r="G231" i="8"/>
  <c r="G233" i="8"/>
  <c r="G235" i="8"/>
  <c r="G237" i="8"/>
  <c r="G239" i="8"/>
  <c r="G241" i="8"/>
  <c r="G243" i="8"/>
  <c r="G245" i="8"/>
  <c r="G247" i="8"/>
  <c r="G249" i="8"/>
  <c r="G251" i="8"/>
  <c r="G253" i="8"/>
  <c r="G255" i="8"/>
  <c r="G257" i="8"/>
  <c r="G259" i="8"/>
  <c r="G261" i="8"/>
  <c r="G263" i="8"/>
  <c r="G265" i="8"/>
  <c r="G267" i="8"/>
  <c r="G269" i="8"/>
  <c r="G271" i="8"/>
  <c r="G273" i="8"/>
  <c r="G275" i="8"/>
  <c r="G277" i="8"/>
  <c r="G279" i="8"/>
  <c r="G281" i="8"/>
  <c r="G283" i="8"/>
  <c r="G285" i="8"/>
  <c r="G287" i="8"/>
  <c r="G289" i="8"/>
  <c r="G291" i="8"/>
  <c r="G293" i="8"/>
  <c r="G295" i="8"/>
  <c r="G297" i="8"/>
  <c r="G299" i="8"/>
  <c r="G301" i="8"/>
  <c r="G303" i="8"/>
  <c r="G305" i="8"/>
  <c r="G307" i="8"/>
  <c r="G309" i="8"/>
  <c r="G311" i="8"/>
  <c r="G313" i="8"/>
  <c r="G315" i="8"/>
  <c r="G317" i="8"/>
  <c r="G319" i="8"/>
  <c r="G321" i="8"/>
  <c r="G323" i="8"/>
  <c r="G325" i="8"/>
  <c r="G327" i="8"/>
  <c r="G329" i="8"/>
  <c r="G331" i="8"/>
  <c r="G333" i="8"/>
  <c r="G335" i="8"/>
  <c r="G337" i="8"/>
  <c r="G339" i="8"/>
  <c r="G341" i="8"/>
  <c r="G343" i="8"/>
  <c r="G345" i="8"/>
  <c r="G347" i="8"/>
  <c r="G349" i="8"/>
  <c r="G351" i="8"/>
  <c r="G353" i="8"/>
  <c r="G355" i="8"/>
  <c r="G357" i="8"/>
  <c r="G359" i="8"/>
  <c r="G361" i="8"/>
  <c r="G363" i="8"/>
  <c r="G365" i="8"/>
  <c r="G367" i="8"/>
  <c r="G369" i="8"/>
  <c r="G371" i="8"/>
  <c r="G373" i="8"/>
  <c r="G375" i="8"/>
  <c r="G377" i="8"/>
  <c r="G379" i="8"/>
  <c r="G381" i="8"/>
  <c r="G383" i="8"/>
  <c r="G385" i="8"/>
  <c r="G387" i="8"/>
  <c r="G389" i="8"/>
  <c r="G391" i="8"/>
  <c r="G393" i="8"/>
  <c r="G395" i="8"/>
  <c r="G397" i="8"/>
  <c r="G399" i="8"/>
  <c r="G401" i="8"/>
  <c r="G403" i="8"/>
  <c r="G405" i="8"/>
  <c r="G407" i="8"/>
  <c r="G409" i="8"/>
  <c r="G411" i="8"/>
  <c r="G413" i="8"/>
  <c r="G415" i="8"/>
  <c r="G417" i="8"/>
  <c r="G419" i="8"/>
  <c r="G421" i="8"/>
  <c r="G423" i="8"/>
  <c r="G425" i="8"/>
  <c r="G427" i="8"/>
  <c r="G429" i="8"/>
  <c r="G431" i="8"/>
  <c r="G433" i="8"/>
  <c r="G435" i="8"/>
  <c r="G437" i="8"/>
  <c r="G439" i="8"/>
  <c r="G441" i="8"/>
  <c r="G443" i="8"/>
  <c r="G445" i="8"/>
  <c r="G447" i="8"/>
  <c r="G449" i="8"/>
  <c r="G451" i="8"/>
  <c r="G453" i="8"/>
  <c r="G455" i="8"/>
  <c r="G457" i="8"/>
  <c r="G459" i="8"/>
  <c r="G461" i="8"/>
  <c r="G463" i="8"/>
  <c r="G465" i="8"/>
  <c r="G467" i="8"/>
  <c r="G469" i="8"/>
  <c r="G471" i="8"/>
  <c r="G473" i="8"/>
  <c r="G475" i="8"/>
  <c r="G477" i="8"/>
  <c r="G479" i="8"/>
  <c r="G481" i="8"/>
  <c r="G483" i="8"/>
  <c r="G485" i="8"/>
  <c r="G487" i="8"/>
  <c r="G489" i="8"/>
  <c r="G491" i="8"/>
  <c r="G493" i="8"/>
  <c r="G495" i="8"/>
  <c r="G497" i="8"/>
  <c r="G499" i="8"/>
  <c r="G501" i="8"/>
  <c r="G503" i="8"/>
  <c r="G505" i="8"/>
  <c r="G507" i="8"/>
  <c r="G509" i="8"/>
  <c r="G511" i="8"/>
  <c r="G513" i="8"/>
  <c r="G515" i="8"/>
  <c r="G517" i="8"/>
  <c r="G519" i="8"/>
  <c r="G521" i="8"/>
  <c r="G523" i="8"/>
  <c r="G525" i="8"/>
  <c r="G527" i="8"/>
  <c r="G529" i="8"/>
  <c r="G531" i="8"/>
  <c r="G533" i="8"/>
  <c r="G535" i="8"/>
  <c r="G537" i="8"/>
  <c r="G539" i="8"/>
  <c r="G541" i="8"/>
  <c r="G543" i="8"/>
  <c r="G545" i="8"/>
  <c r="G547" i="8"/>
  <c r="G549" i="8"/>
  <c r="G551" i="8"/>
  <c r="G553" i="8"/>
  <c r="G555" i="8"/>
  <c r="G557" i="8"/>
  <c r="G559" i="8"/>
  <c r="G561" i="8"/>
  <c r="G563" i="8"/>
  <c r="G565" i="8"/>
  <c r="G567" i="8"/>
  <c r="G569" i="8"/>
  <c r="G571" i="8"/>
  <c r="G573" i="8"/>
  <c r="G575" i="8"/>
  <c r="G577" i="8"/>
  <c r="G579" i="8"/>
  <c r="G581" i="8"/>
  <c r="G583" i="8"/>
  <c r="G585" i="8"/>
  <c r="G587" i="8"/>
  <c r="G589" i="8"/>
  <c r="G591" i="8"/>
  <c r="G593" i="8"/>
  <c r="G595" i="8"/>
  <c r="G597" i="8"/>
  <c r="G599" i="8"/>
  <c r="G601" i="8"/>
  <c r="G603" i="8"/>
  <c r="G605" i="8"/>
  <c r="G607" i="8"/>
  <c r="G609" i="8"/>
  <c r="G611" i="8"/>
  <c r="G613" i="8"/>
  <c r="G615" i="8"/>
  <c r="G617" i="8"/>
  <c r="G619" i="8"/>
  <c r="G621" i="8"/>
  <c r="G623" i="8"/>
  <c r="G625" i="8"/>
  <c r="G627" i="8"/>
  <c r="G629" i="8"/>
  <c r="G631" i="8"/>
  <c r="G633" i="8"/>
  <c r="G635" i="8"/>
  <c r="G637" i="8"/>
  <c r="G639" i="8"/>
  <c r="G641" i="8"/>
  <c r="G643" i="8"/>
  <c r="G645" i="8"/>
  <c r="G647" i="8"/>
  <c r="G649" i="8"/>
  <c r="G651" i="8"/>
  <c r="G653" i="8"/>
  <c r="G655" i="8"/>
  <c r="G657" i="8"/>
  <c r="G659" i="8"/>
  <c r="G661" i="8"/>
  <c r="G663" i="8"/>
  <c r="G665" i="8"/>
  <c r="G667" i="8"/>
  <c r="G669" i="8"/>
  <c r="G671" i="8"/>
  <c r="G673" i="8"/>
  <c r="G675" i="8"/>
  <c r="G677" i="8"/>
  <c r="G679" i="8"/>
  <c r="G681" i="8"/>
  <c r="G683" i="8"/>
  <c r="G685" i="8"/>
  <c r="G687" i="8"/>
  <c r="G689" i="8"/>
  <c r="G691" i="8"/>
  <c r="G693" i="8"/>
  <c r="G695" i="8"/>
  <c r="G697" i="8"/>
  <c r="G699" i="8"/>
  <c r="G701" i="8"/>
  <c r="G703" i="8"/>
  <c r="G705" i="8"/>
  <c r="G707" i="8"/>
  <c r="G709" i="8"/>
  <c r="G711" i="8"/>
  <c r="G713" i="8"/>
  <c r="G715" i="8"/>
  <c r="G717" i="8"/>
  <c r="G719" i="8"/>
  <c r="G721" i="8"/>
  <c r="G723" i="8"/>
  <c r="G725" i="8"/>
  <c r="G727" i="8"/>
  <c r="G729" i="8"/>
  <c r="G731" i="8"/>
  <c r="G733" i="8"/>
  <c r="G735" i="8"/>
  <c r="G737" i="8"/>
  <c r="G739" i="8"/>
  <c r="G741" i="8"/>
  <c r="G743" i="8"/>
  <c r="G745" i="8"/>
  <c r="G747" i="8"/>
  <c r="G749" i="8"/>
  <c r="G751" i="8"/>
  <c r="G753" i="8"/>
  <c r="G755" i="8"/>
  <c r="G757" i="8"/>
  <c r="G759" i="8"/>
  <c r="G761" i="8"/>
  <c r="G763" i="8"/>
  <c r="G765" i="8"/>
  <c r="G767" i="8"/>
  <c r="G769" i="8"/>
  <c r="G771" i="8"/>
  <c r="G773" i="8"/>
  <c r="G775" i="8"/>
  <c r="G777" i="8"/>
  <c r="G779" i="8"/>
  <c r="G781" i="8"/>
  <c r="G783" i="8"/>
  <c r="G785" i="8"/>
  <c r="G787" i="8"/>
  <c r="G789" i="8"/>
  <c r="G791" i="8"/>
  <c r="G793" i="8"/>
  <c r="G795" i="8"/>
  <c r="G797" i="8"/>
  <c r="G799" i="8"/>
  <c r="G801" i="8"/>
  <c r="G803" i="8"/>
  <c r="G805" i="8"/>
  <c r="G807" i="8"/>
  <c r="G809" i="8"/>
  <c r="G811" i="8"/>
  <c r="G813" i="8"/>
  <c r="G815" i="8"/>
  <c r="G817" i="8"/>
  <c r="G819" i="8"/>
  <c r="G821" i="8"/>
  <c r="G823" i="8"/>
  <c r="G825" i="8"/>
  <c r="G827" i="8"/>
  <c r="G829" i="8"/>
  <c r="G831" i="8"/>
  <c r="G833" i="8"/>
  <c r="G835" i="8"/>
  <c r="G837" i="8"/>
  <c r="G839" i="8"/>
  <c r="G841" i="8"/>
  <c r="G843" i="8"/>
  <c r="G845" i="8"/>
  <c r="G847" i="8"/>
  <c r="G849" i="8"/>
  <c r="G851" i="8"/>
  <c r="G853" i="8"/>
  <c r="G855" i="8"/>
  <c r="G857" i="8"/>
  <c r="G859" i="8"/>
  <c r="G861" i="8"/>
  <c r="G863" i="8"/>
  <c r="G865" i="8"/>
  <c r="G867" i="8"/>
  <c r="G869" i="8"/>
  <c r="G871" i="8"/>
  <c r="G873" i="8"/>
  <c r="G875" i="8"/>
  <c r="G877" i="8"/>
  <c r="G879" i="8"/>
  <c r="G881" i="8"/>
  <c r="G883" i="8"/>
  <c r="G885" i="8"/>
  <c r="G887" i="8"/>
  <c r="G889" i="8"/>
  <c r="G891" i="8"/>
  <c r="G893" i="8"/>
  <c r="G895" i="8"/>
  <c r="G897" i="8"/>
  <c r="G899" i="8"/>
  <c r="G901" i="8"/>
  <c r="G903" i="8"/>
  <c r="G905" i="8"/>
  <c r="G907" i="8"/>
  <c r="G909" i="8"/>
  <c r="G911" i="8"/>
  <c r="G913" i="8"/>
  <c r="G915" i="8"/>
  <c r="G917" i="8"/>
  <c r="G919" i="8"/>
  <c r="G921" i="8"/>
  <c r="G923" i="8"/>
  <c r="G925" i="8"/>
  <c r="G927" i="8"/>
  <c r="G929" i="8"/>
  <c r="G931" i="8"/>
  <c r="G933" i="8"/>
  <c r="G935" i="8"/>
  <c r="G937" i="8"/>
  <c r="G939" i="8"/>
  <c r="G941" i="8"/>
  <c r="G943" i="8"/>
  <c r="G945" i="8"/>
  <c r="G947" i="8"/>
  <c r="G949" i="8"/>
  <c r="G951" i="8"/>
  <c r="G953" i="8"/>
  <c r="G955" i="8"/>
  <c r="G957" i="8"/>
  <c r="G959" i="8"/>
  <c r="G961" i="8"/>
  <c r="G963" i="8"/>
  <c r="G965" i="8"/>
  <c r="G967" i="8"/>
  <c r="G969" i="8"/>
  <c r="G971" i="8"/>
  <c r="G973" i="8"/>
  <c r="G975" i="8"/>
  <c r="G977" i="8"/>
  <c r="G979" i="8"/>
  <c r="G981" i="8"/>
  <c r="G983" i="8"/>
  <c r="G985" i="8"/>
  <c r="G987" i="8"/>
  <c r="G989" i="8"/>
  <c r="G991" i="8"/>
  <c r="G993" i="8"/>
  <c r="G995" i="8"/>
  <c r="G997" i="8"/>
  <c r="G999" i="8"/>
  <c r="G1001" i="8"/>
  <c r="G1003" i="8"/>
  <c r="G1005" i="8"/>
  <c r="G1007" i="8"/>
  <c r="G1009" i="8"/>
  <c r="G1011" i="8"/>
  <c r="G1013" i="8"/>
  <c r="G1015" i="8"/>
  <c r="G1017" i="8"/>
  <c r="G1019" i="8"/>
  <c r="G1021" i="8"/>
  <c r="G1023" i="8"/>
  <c r="G1025" i="8"/>
  <c r="G1027" i="8"/>
  <c r="G1029" i="8"/>
  <c r="G1031" i="8"/>
  <c r="G1033" i="8"/>
  <c r="G1035" i="8"/>
  <c r="G1037" i="8"/>
  <c r="G1039" i="8"/>
  <c r="G1041" i="8"/>
  <c r="G1043" i="8"/>
  <c r="G1045" i="8"/>
  <c r="G1047" i="8"/>
  <c r="G1049" i="8"/>
  <c r="G1051" i="8"/>
  <c r="G1053" i="8"/>
  <c r="G1055" i="8"/>
  <c r="G1057" i="8"/>
  <c r="G1059" i="8"/>
  <c r="G1061" i="8"/>
  <c r="G1063" i="8"/>
  <c r="G1065" i="8"/>
  <c r="G1067" i="8"/>
  <c r="G1069" i="8"/>
  <c r="G1071" i="8"/>
  <c r="G1073" i="8"/>
  <c r="G1075" i="8"/>
  <c r="G1077" i="8"/>
  <c r="G1079" i="8"/>
  <c r="G1081" i="8"/>
  <c r="G1083" i="8"/>
  <c r="G1085" i="8"/>
  <c r="G1087" i="8"/>
  <c r="G1089" i="8"/>
  <c r="G1091" i="8"/>
  <c r="G1093" i="8"/>
  <c r="G1095" i="8"/>
  <c r="G1097" i="8"/>
  <c r="G1099" i="8"/>
  <c r="G1101" i="8"/>
  <c r="G1103" i="8"/>
  <c r="G1105" i="8"/>
  <c r="G1107" i="8"/>
  <c r="G1109" i="8"/>
  <c r="G1111" i="8"/>
  <c r="G1113" i="8"/>
  <c r="G1115" i="8"/>
  <c r="G1117" i="8"/>
  <c r="G1119" i="8"/>
  <c r="G1121" i="8"/>
  <c r="G1123" i="8"/>
  <c r="G1125" i="8"/>
  <c r="G1127" i="8"/>
  <c r="G1129" i="8"/>
  <c r="G1131" i="8"/>
  <c r="G1133" i="8"/>
  <c r="G1135" i="8"/>
  <c r="G1137" i="8"/>
  <c r="G1139" i="8"/>
  <c r="G1141" i="8"/>
  <c r="G1143" i="8"/>
  <c r="G1145" i="8"/>
  <c r="G1147" i="8"/>
  <c r="G1149" i="8"/>
  <c r="G1151" i="8"/>
  <c r="G1153" i="8"/>
  <c r="G1155" i="8"/>
  <c r="G1157" i="8"/>
  <c r="G1159" i="8"/>
  <c r="G1161" i="8"/>
  <c r="G1163" i="8"/>
  <c r="G1165" i="8"/>
  <c r="G1167" i="8"/>
  <c r="G1169" i="8"/>
  <c r="G1171" i="8"/>
  <c r="G1173" i="8"/>
  <c r="G1175" i="8"/>
  <c r="G1177" i="8"/>
  <c r="G1179" i="8"/>
  <c r="G1181" i="8"/>
  <c r="G1183" i="8"/>
  <c r="G1185" i="8"/>
  <c r="G1187" i="8"/>
  <c r="G1189" i="8"/>
  <c r="G1191" i="8"/>
  <c r="G1193" i="8"/>
  <c r="G1195" i="8"/>
  <c r="G1197" i="8"/>
  <c r="G1199" i="8"/>
  <c r="G1201" i="8"/>
  <c r="G1203" i="8"/>
  <c r="G1205" i="8"/>
  <c r="G1207" i="8"/>
  <c r="G1209" i="8"/>
  <c r="G1211" i="8"/>
  <c r="G1213" i="8"/>
  <c r="G1215" i="8"/>
  <c r="G1217" i="8"/>
  <c r="G1219" i="8"/>
  <c r="G1221" i="8"/>
  <c r="G1223" i="8"/>
  <c r="G1225" i="8"/>
  <c r="G1227" i="8"/>
  <c r="G1229" i="8"/>
  <c r="G1231" i="8"/>
  <c r="G1233" i="8"/>
  <c r="G1235" i="8"/>
  <c r="G1237" i="8"/>
  <c r="G1239" i="8"/>
  <c r="G1241" i="8"/>
  <c r="G1243" i="8"/>
  <c r="G1245" i="8"/>
  <c r="G1247" i="8"/>
  <c r="G1249" i="8"/>
  <c r="G1251" i="8"/>
  <c r="G1253" i="8"/>
  <c r="G1255" i="8"/>
  <c r="G1257" i="8"/>
  <c r="G1259" i="8"/>
  <c r="G1261" i="8"/>
  <c r="G1263" i="8"/>
  <c r="G1265" i="8"/>
  <c r="G1267" i="8"/>
  <c r="G1269" i="8"/>
  <c r="G1271" i="8"/>
  <c r="G1273" i="8"/>
  <c r="G1275" i="8"/>
  <c r="G1277" i="8"/>
  <c r="G1279" i="8"/>
  <c r="G1281" i="8"/>
  <c r="G1283" i="8"/>
  <c r="G1285" i="8"/>
  <c r="G1287" i="8"/>
  <c r="G1289" i="8"/>
  <c r="G1291" i="8"/>
  <c r="G1293" i="8"/>
  <c r="G1295" i="8"/>
  <c r="G1297" i="8"/>
  <c r="G1299" i="8"/>
  <c r="G1301" i="8"/>
  <c r="G1303" i="8"/>
  <c r="G1305" i="8"/>
  <c r="G1307" i="8"/>
  <c r="G1309" i="8"/>
  <c r="G1311" i="8"/>
  <c r="G1313" i="8"/>
  <c r="G1315" i="8"/>
  <c r="G1317" i="8"/>
  <c r="G1319" i="8"/>
  <c r="G1321" i="8"/>
  <c r="G1323" i="8"/>
  <c r="G1325" i="8"/>
  <c r="G1327" i="8"/>
  <c r="G1329" i="8"/>
  <c r="G1331" i="8"/>
  <c r="G1333" i="8"/>
  <c r="G1335" i="8"/>
  <c r="G1337" i="8"/>
  <c r="G1339" i="8"/>
  <c r="G1341" i="8"/>
  <c r="G1343" i="8"/>
  <c r="G1345" i="8"/>
  <c r="G1347" i="8"/>
  <c r="G1349" i="8"/>
  <c r="G1351" i="8"/>
  <c r="G1353" i="8"/>
  <c r="G1355" i="8"/>
  <c r="G1357" i="8"/>
  <c r="G1359" i="8"/>
  <c r="G1361" i="8"/>
  <c r="G1363" i="8"/>
  <c r="G1365" i="8"/>
  <c r="G1367" i="8"/>
  <c r="G1369" i="8"/>
  <c r="G1371" i="8"/>
  <c r="G1373" i="8"/>
  <c r="G1375" i="8"/>
  <c r="G1377" i="8"/>
  <c r="G1379" i="8"/>
  <c r="G1381" i="8"/>
  <c r="G1383" i="8"/>
  <c r="G1385" i="8"/>
  <c r="G1387" i="8"/>
  <c r="G1389" i="8"/>
  <c r="G1391" i="8"/>
  <c r="G1393" i="8"/>
  <c r="G1395" i="8"/>
  <c r="G1397" i="8"/>
  <c r="G1399" i="8"/>
  <c r="G1401" i="8"/>
  <c r="G1403" i="8"/>
  <c r="G1405" i="8"/>
  <c r="G1407" i="8"/>
  <c r="G1409" i="8"/>
  <c r="G1411" i="8"/>
  <c r="G1413" i="8"/>
  <c r="G1415" i="8"/>
  <c r="G1417" i="8"/>
  <c r="G1419" i="8"/>
  <c r="G1421" i="8"/>
  <c r="G1423" i="8"/>
  <c r="G1425" i="8"/>
  <c r="G1427" i="8"/>
  <c r="G1429" i="8"/>
  <c r="G1431" i="8"/>
  <c r="G1433" i="8"/>
  <c r="G1435" i="8"/>
  <c r="G1437" i="8"/>
  <c r="G1439" i="8"/>
  <c r="G1441" i="8"/>
  <c r="G1443" i="8"/>
  <c r="G1445" i="8"/>
  <c r="G1447" i="8"/>
  <c r="G1449" i="8"/>
  <c r="G1451" i="8"/>
  <c r="G1453" i="8"/>
  <c r="G1455" i="8"/>
  <c r="G1457" i="8"/>
  <c r="G1459" i="8"/>
  <c r="G1461" i="8"/>
  <c r="G1463" i="8"/>
  <c r="G1465" i="8"/>
  <c r="G1467" i="8"/>
  <c r="G1469" i="8"/>
  <c r="G1471" i="8"/>
  <c r="G1473" i="8"/>
  <c r="G1475" i="8"/>
  <c r="G1477" i="8"/>
  <c r="G1479" i="8"/>
  <c r="G1481" i="8"/>
  <c r="G1483" i="8"/>
  <c r="G1485" i="8"/>
  <c r="G1487" i="8"/>
  <c r="G1489" i="8"/>
  <c r="G1491" i="8"/>
  <c r="G1493" i="8"/>
  <c r="G1495" i="8"/>
  <c r="G1497" i="8"/>
  <c r="G1499" i="8"/>
  <c r="G1501" i="8"/>
  <c r="G1503" i="8"/>
  <c r="G1505" i="8"/>
  <c r="G1507" i="8"/>
  <c r="G1509" i="8"/>
  <c r="G1511" i="8"/>
  <c r="G1513" i="8"/>
  <c r="G1515" i="8"/>
  <c r="G1517" i="8"/>
  <c r="G1519" i="8"/>
  <c r="G1521" i="8"/>
  <c r="G1523" i="8"/>
  <c r="G1525" i="8"/>
  <c r="G1527" i="8"/>
  <c r="G1529" i="8"/>
  <c r="G1531" i="8"/>
  <c r="G1533" i="8"/>
  <c r="G1535" i="8"/>
  <c r="G1537" i="8"/>
  <c r="G1539" i="8"/>
  <c r="G1541" i="8"/>
  <c r="G1543" i="8"/>
  <c r="G1545" i="8"/>
  <c r="G1547" i="8"/>
  <c r="G1549" i="8"/>
  <c r="G1551" i="8"/>
  <c r="G1553" i="8"/>
  <c r="G1555" i="8"/>
  <c r="G1557" i="8"/>
  <c r="G1559" i="8"/>
  <c r="G1561" i="8"/>
  <c r="G1563" i="8"/>
  <c r="G1565" i="8"/>
  <c r="G1567" i="8"/>
  <c r="G1569" i="8"/>
  <c r="G1571" i="8"/>
  <c r="G1573" i="8"/>
  <c r="G1575" i="8"/>
  <c r="G1577" i="8"/>
  <c r="G1579" i="8"/>
  <c r="G1581" i="8"/>
  <c r="G1583" i="8"/>
  <c r="G1585" i="8"/>
  <c r="G1587" i="8"/>
  <c r="G1589" i="8"/>
  <c r="G1591" i="8"/>
  <c r="G1593" i="8"/>
  <c r="G1595" i="8"/>
  <c r="G1597" i="8"/>
  <c r="G1599" i="8"/>
  <c r="G1601" i="8"/>
  <c r="G1603" i="8"/>
  <c r="G1605" i="8"/>
  <c r="G1607" i="8"/>
  <c r="G1609" i="8"/>
  <c r="G1611" i="8"/>
  <c r="G1613" i="8"/>
  <c r="G1615" i="8"/>
  <c r="G1617" i="8"/>
  <c r="G1619" i="8"/>
  <c r="G1621" i="8"/>
  <c r="G1623" i="8"/>
  <c r="G1625" i="8"/>
  <c r="G1627" i="8"/>
  <c r="G1629" i="8"/>
  <c r="G1631" i="8"/>
  <c r="G1633" i="8"/>
  <c r="G1635" i="8"/>
  <c r="G1637" i="8"/>
  <c r="G1639" i="8"/>
  <c r="G1641" i="8"/>
  <c r="G1643" i="8"/>
  <c r="G1645" i="8"/>
  <c r="G1647" i="8"/>
  <c r="G1649" i="8"/>
  <c r="G1651" i="8"/>
  <c r="G1653" i="8"/>
  <c r="G1655" i="8"/>
  <c r="G1657" i="8"/>
  <c r="G1659" i="8"/>
  <c r="G1661" i="8"/>
  <c r="G1663" i="8"/>
  <c r="G1665" i="8"/>
  <c r="G1667" i="8"/>
  <c r="G1669" i="8"/>
  <c r="G1671" i="8"/>
  <c r="G1673" i="8"/>
  <c r="G1675" i="8"/>
  <c r="G1677" i="8"/>
  <c r="G1679" i="8"/>
  <c r="G1681" i="8"/>
  <c r="G1683" i="8"/>
  <c r="G1685" i="8"/>
  <c r="G1687" i="8"/>
  <c r="G1689" i="8"/>
  <c r="G1691" i="8"/>
  <c r="G1693" i="8"/>
  <c r="G1695" i="8"/>
  <c r="G1697" i="8"/>
  <c r="G1699" i="8"/>
  <c r="G1701" i="8"/>
  <c r="G1703" i="8"/>
  <c r="G1705" i="8"/>
  <c r="G1707" i="8"/>
  <c r="G1709" i="8"/>
  <c r="G1711" i="8"/>
  <c r="G1713" i="8"/>
  <c r="G1715" i="8"/>
  <c r="G1717" i="8"/>
  <c r="G1719" i="8"/>
  <c r="G1721" i="8"/>
  <c r="G1723" i="8"/>
  <c r="G1725" i="8"/>
  <c r="G1727" i="8"/>
  <c r="G1729" i="8"/>
  <c r="G1731" i="8"/>
  <c r="G1733" i="8"/>
  <c r="G1735" i="8"/>
  <c r="G1737" i="8"/>
  <c r="G1739" i="8"/>
  <c r="G1741" i="8"/>
  <c r="G1743" i="8"/>
  <c r="G1745" i="8"/>
  <c r="G1747" i="8"/>
  <c r="G1749" i="8"/>
  <c r="G1751" i="8"/>
  <c r="G1753" i="8"/>
  <c r="G1755" i="8"/>
  <c r="G1757" i="8"/>
  <c r="G1759" i="8"/>
  <c r="G1761" i="8"/>
  <c r="G1763" i="8"/>
  <c r="G1765" i="8"/>
  <c r="G1767" i="8"/>
  <c r="G1769" i="8"/>
  <c r="G1771" i="8"/>
  <c r="G1773" i="8"/>
  <c r="G1775" i="8"/>
  <c r="G1777" i="8"/>
  <c r="G1779" i="8"/>
  <c r="G1781" i="8"/>
  <c r="G1783" i="8"/>
  <c r="G1785" i="8"/>
  <c r="G1787" i="8"/>
  <c r="G1789" i="8"/>
  <c r="G1791" i="8"/>
  <c r="G1793" i="8"/>
  <c r="G1795" i="8"/>
  <c r="G1797" i="8"/>
  <c r="G1799" i="8"/>
  <c r="G1801" i="8"/>
  <c r="G1803" i="8"/>
  <c r="G1805" i="8"/>
  <c r="G1807" i="8"/>
  <c r="G1809" i="8"/>
  <c r="G1811" i="8"/>
  <c r="G1813" i="8"/>
  <c r="G1815" i="8"/>
  <c r="G1817" i="8"/>
  <c r="G1819" i="8"/>
  <c r="G1821" i="8"/>
  <c r="G1823" i="8"/>
  <c r="G1825" i="8"/>
  <c r="G1827" i="8"/>
  <c r="G1829" i="8"/>
  <c r="G1831" i="8"/>
  <c r="G1833" i="8"/>
  <c r="G1835" i="8"/>
  <c r="G1837" i="8"/>
  <c r="G1839" i="8"/>
  <c r="G1841" i="8"/>
  <c r="G1843" i="8"/>
  <c r="G1845" i="8"/>
  <c r="G1847" i="8"/>
  <c r="G1849" i="8"/>
  <c r="G1851" i="8"/>
  <c r="G1853" i="8"/>
  <c r="G1855" i="8"/>
  <c r="G1857" i="8"/>
  <c r="G1859" i="8"/>
  <c r="G1861" i="8"/>
  <c r="G1863" i="8"/>
  <c r="G1865" i="8"/>
  <c r="G1867" i="8"/>
  <c r="G1869" i="8"/>
  <c r="G1871" i="8"/>
  <c r="G1873" i="8"/>
  <c r="G1875" i="8"/>
  <c r="G1877" i="8"/>
  <c r="G1879" i="8"/>
  <c r="G1881" i="8"/>
  <c r="G1883" i="8"/>
  <c r="G1885" i="8"/>
  <c r="G1887" i="8"/>
  <c r="G1889" i="8"/>
  <c r="G1891" i="8"/>
  <c r="G1893" i="8"/>
  <c r="G1895" i="8"/>
  <c r="G1897" i="8"/>
  <c r="G1899" i="8"/>
  <c r="G1901" i="8"/>
  <c r="G1903" i="8"/>
  <c r="G1905" i="8"/>
  <c r="G1907" i="8"/>
  <c r="G1909" i="8"/>
  <c r="G1911" i="8"/>
  <c r="G1913" i="8"/>
  <c r="G1915" i="8"/>
  <c r="G1917" i="8"/>
  <c r="G1919" i="8"/>
  <c r="G1921" i="8"/>
  <c r="G1923" i="8"/>
  <c r="G1925" i="8"/>
  <c r="G1927" i="8"/>
  <c r="G1929" i="8"/>
  <c r="G1931" i="8"/>
  <c r="G1933" i="8"/>
  <c r="G1935" i="8"/>
  <c r="G1937" i="8"/>
  <c r="G1939" i="8"/>
  <c r="G1941" i="8"/>
  <c r="G1943" i="8"/>
  <c r="G1945" i="8"/>
  <c r="G1947" i="8"/>
  <c r="G1949" i="8"/>
  <c r="G1951" i="8"/>
  <c r="G1953" i="8"/>
  <c r="G1955" i="8"/>
  <c r="G1957" i="8"/>
  <c r="G1959" i="8"/>
  <c r="G1961" i="8"/>
  <c r="G1963" i="8"/>
  <c r="G1965" i="8"/>
  <c r="G1967" i="8"/>
  <c r="G1969" i="8"/>
  <c r="G1971" i="8"/>
  <c r="G1973" i="8"/>
  <c r="G1975" i="8"/>
  <c r="G1977" i="8"/>
  <c r="G1979" i="8"/>
  <c r="G1981" i="8"/>
  <c r="G1983" i="8"/>
  <c r="G1985" i="8"/>
  <c r="G1987" i="8"/>
  <c r="G1989" i="8"/>
  <c r="G1991" i="8"/>
  <c r="G1993" i="8"/>
  <c r="G1995" i="8"/>
  <c r="G1997" i="8"/>
  <c r="G1999" i="8"/>
  <c r="G2001" i="8"/>
  <c r="G2003" i="8"/>
  <c r="G2005" i="8"/>
  <c r="G2007" i="8"/>
  <c r="G2009" i="8"/>
  <c r="G2011" i="8"/>
  <c r="G2013" i="8"/>
  <c r="G2015" i="8"/>
  <c r="G2017" i="8"/>
  <c r="G2019" i="8"/>
  <c r="G2021" i="8"/>
  <c r="G2023" i="8"/>
  <c r="G2025" i="8"/>
  <c r="G2027" i="8"/>
  <c r="G2029" i="8"/>
  <c r="G2031" i="8"/>
  <c r="G2033" i="8"/>
  <c r="G2035" i="8"/>
  <c r="G2037" i="8"/>
  <c r="G2039" i="8"/>
  <c r="G2041" i="8"/>
  <c r="G2043" i="8"/>
  <c r="G2045" i="8"/>
  <c r="G2047" i="8"/>
  <c r="G2049" i="8"/>
  <c r="G2051" i="8"/>
  <c r="G2053" i="8"/>
  <c r="G2055" i="8"/>
  <c r="G2057" i="8"/>
  <c r="G2059" i="8"/>
  <c r="G2061" i="8"/>
  <c r="G2063" i="8"/>
  <c r="G2065" i="8"/>
  <c r="G2067" i="8"/>
  <c r="G2069" i="8"/>
  <c r="G2071" i="8"/>
  <c r="G2073" i="8"/>
  <c r="G2075" i="8"/>
  <c r="G2077" i="8"/>
  <c r="G2079" i="8"/>
  <c r="G2081" i="8"/>
  <c r="G2083" i="8"/>
  <c r="G2085" i="8"/>
  <c r="G2087" i="8"/>
  <c r="G2089" i="8"/>
  <c r="G2091" i="8"/>
  <c r="G2093" i="8"/>
  <c r="G2095" i="8"/>
  <c r="G2097" i="8"/>
  <c r="G2099" i="8"/>
  <c r="G2101" i="8"/>
  <c r="G2103" i="8"/>
  <c r="G2105" i="8"/>
  <c r="G2107" i="8"/>
  <c r="G2109" i="8"/>
  <c r="G2111" i="8"/>
  <c r="G2113" i="8"/>
  <c r="G2115" i="8"/>
  <c r="G2117" i="8"/>
  <c r="G2119" i="8"/>
  <c r="G2121" i="8"/>
  <c r="G2123" i="8"/>
  <c r="G2125" i="8"/>
  <c r="G2127" i="8"/>
  <c r="G2129" i="8"/>
  <c r="G2131" i="8"/>
  <c r="G2133" i="8"/>
  <c r="G2135" i="8"/>
  <c r="G2137" i="8"/>
  <c r="G2139" i="8"/>
  <c r="G2141" i="8"/>
  <c r="G2143" i="8"/>
  <c r="G2145" i="8"/>
  <c r="G2147" i="8"/>
  <c r="G2149" i="8"/>
  <c r="G2151" i="8"/>
  <c r="G2153" i="8"/>
  <c r="G2155" i="8"/>
  <c r="G2157" i="8"/>
  <c r="G2159" i="8"/>
  <c r="G2161" i="8"/>
  <c r="G2163" i="8"/>
  <c r="G2165" i="8"/>
  <c r="G2167" i="8"/>
  <c r="G2169" i="8"/>
  <c r="G2171" i="8"/>
  <c r="G2173" i="8"/>
  <c r="G2175" i="8"/>
  <c r="G2177" i="8"/>
  <c r="G2179" i="8"/>
  <c r="G2181" i="8"/>
  <c r="G2183" i="8"/>
  <c r="G2185" i="8"/>
  <c r="G2187" i="8"/>
  <c r="G2189" i="8"/>
  <c r="G2191" i="8"/>
  <c r="G2193" i="8"/>
  <c r="G2195" i="8"/>
  <c r="G2197" i="8"/>
  <c r="G2199" i="8"/>
  <c r="G2201" i="8"/>
  <c r="G2203" i="8"/>
  <c r="G2205" i="8"/>
  <c r="G2207" i="8"/>
  <c r="G2209" i="8"/>
  <c r="G2211" i="8"/>
  <c r="G2213" i="8"/>
  <c r="G2215" i="8"/>
  <c r="G2217" i="8"/>
  <c r="G2219" i="8"/>
  <c r="G2221" i="8"/>
  <c r="G2223" i="8"/>
  <c r="G2225" i="8"/>
  <c r="G2227" i="8"/>
  <c r="G2229" i="8"/>
  <c r="G2231" i="8"/>
  <c r="G2233" i="8"/>
  <c r="G2235" i="8"/>
  <c r="G2237" i="8"/>
  <c r="G2239" i="8"/>
  <c r="G2241" i="8"/>
  <c r="G2243" i="8"/>
  <c r="G2245" i="8"/>
  <c r="G2247" i="8"/>
  <c r="G2249" i="8"/>
  <c r="G2251" i="8"/>
  <c r="G2253" i="8"/>
  <c r="G2255" i="8"/>
  <c r="G2257" i="8"/>
  <c r="G2259" i="8"/>
  <c r="G2261" i="8"/>
  <c r="G2263" i="8"/>
  <c r="G2265" i="8"/>
  <c r="G2267" i="8"/>
  <c r="G2269" i="8"/>
  <c r="G2271" i="8"/>
  <c r="G2273" i="8"/>
  <c r="G2275" i="8"/>
  <c r="G2277" i="8"/>
  <c r="G2279" i="8"/>
  <c r="G2281" i="8"/>
  <c r="G2283" i="8"/>
  <c r="G2285" i="8"/>
  <c r="G2287" i="8"/>
  <c r="G2289" i="8"/>
  <c r="G2291" i="8"/>
  <c r="G2293" i="8"/>
  <c r="G2295" i="8"/>
  <c r="G2297" i="8"/>
  <c r="G2299" i="8"/>
  <c r="G2301" i="8"/>
  <c r="G2303" i="8"/>
  <c r="G2305" i="8"/>
  <c r="G2307" i="8"/>
  <c r="G2309" i="8"/>
  <c r="G2311" i="8"/>
  <c r="G2313" i="8"/>
  <c r="G2315" i="8"/>
  <c r="G2317" i="8"/>
  <c r="G2319" i="8"/>
  <c r="G2321" i="8"/>
  <c r="G2323" i="8"/>
  <c r="G2325" i="8"/>
  <c r="G2327" i="8"/>
  <c r="G2329" i="8"/>
  <c r="G2331" i="8"/>
  <c r="G2333" i="8"/>
  <c r="G2335" i="8"/>
  <c r="G2337" i="8"/>
  <c r="G2339" i="8"/>
  <c r="G2341" i="8"/>
  <c r="G2343" i="8"/>
  <c r="G2345" i="8"/>
  <c r="G2347" i="8"/>
  <c r="G2349" i="8"/>
  <c r="G2351" i="8"/>
  <c r="G2353" i="8"/>
  <c r="G2355" i="8"/>
  <c r="G2357" i="8"/>
  <c r="G2359" i="8"/>
  <c r="G2361" i="8"/>
  <c r="G2363" i="8"/>
  <c r="G2365" i="8"/>
  <c r="G2367" i="8"/>
  <c r="G2369" i="8"/>
  <c r="G2371" i="8"/>
  <c r="G2373" i="8"/>
  <c r="G2375" i="8"/>
  <c r="G2377" i="8"/>
  <c r="G2379" i="8"/>
  <c r="G2381" i="8"/>
  <c r="G2383" i="8"/>
  <c r="G2385" i="8"/>
  <c r="G2387" i="8"/>
  <c r="G2389" i="8"/>
  <c r="G2391" i="8"/>
  <c r="G2393" i="8"/>
  <c r="G2395" i="8"/>
  <c r="G2397" i="8"/>
  <c r="G2399" i="8"/>
  <c r="G2401" i="8"/>
  <c r="G2403" i="8"/>
  <c r="G2405" i="8"/>
  <c r="G2407" i="8"/>
  <c r="G2409" i="8"/>
  <c r="G2411" i="8"/>
  <c r="G2413" i="8"/>
  <c r="G2415" i="8"/>
  <c r="G2417" i="8"/>
  <c r="G2419" i="8"/>
  <c r="G2421" i="8"/>
  <c r="G2423" i="8"/>
  <c r="G2425" i="8"/>
  <c r="G2427" i="8"/>
  <c r="G2429" i="8"/>
  <c r="G2431" i="8"/>
  <c r="G2433" i="8"/>
  <c r="G2435" i="8"/>
  <c r="G2437" i="8"/>
  <c r="G2439" i="8"/>
  <c r="G2441" i="8"/>
  <c r="G2443" i="8"/>
  <c r="G2445" i="8"/>
  <c r="G2447" i="8"/>
  <c r="G2449" i="8"/>
  <c r="G2451" i="8"/>
  <c r="G2453" i="8"/>
  <c r="G2455" i="8"/>
  <c r="G2457" i="8"/>
  <c r="G2459" i="8"/>
  <c r="G2461" i="8"/>
  <c r="G2463" i="8"/>
  <c r="G2465" i="8"/>
  <c r="G2467" i="8"/>
  <c r="G2469" i="8"/>
  <c r="G2471" i="8"/>
  <c r="G2473" i="8"/>
  <c r="G2475" i="8"/>
  <c r="G2477" i="8"/>
  <c r="G2479" i="8"/>
  <c r="G2481" i="8"/>
  <c r="G2483" i="8"/>
  <c r="G2485" i="8"/>
  <c r="G2487" i="8"/>
  <c r="G2489" i="8"/>
  <c r="G2491" i="8"/>
  <c r="G2493" i="8"/>
  <c r="G2495" i="8"/>
  <c r="G2497" i="8"/>
  <c r="G2499" i="8"/>
  <c r="G2501" i="8"/>
  <c r="G2503" i="8"/>
  <c r="G2505" i="8"/>
  <c r="G2507" i="8"/>
  <c r="G2509" i="8"/>
  <c r="G2511" i="8"/>
  <c r="G2513" i="8"/>
  <c r="G2515" i="8"/>
  <c r="G2517" i="8"/>
  <c r="G2519" i="8"/>
  <c r="G2521" i="8"/>
  <c r="G2523" i="8"/>
  <c r="G2525" i="8"/>
  <c r="G2527" i="8"/>
  <c r="G2529" i="8"/>
  <c r="G2531" i="8"/>
  <c r="G2533" i="8"/>
  <c r="G2535" i="8"/>
  <c r="G2537" i="8"/>
  <c r="G2539" i="8"/>
  <c r="G2541" i="8"/>
  <c r="G2543" i="8"/>
  <c r="G2545" i="8"/>
  <c r="G2547" i="8"/>
  <c r="G2549" i="8"/>
  <c r="G2551" i="8"/>
  <c r="G2553" i="8"/>
  <c r="G2555" i="8"/>
  <c r="G2557" i="8"/>
  <c r="G2559" i="8"/>
  <c r="G2561" i="8"/>
  <c r="G2563" i="8"/>
  <c r="G2565" i="8"/>
  <c r="G2567" i="8"/>
  <c r="G2569" i="8"/>
  <c r="G2571" i="8"/>
  <c r="G2573" i="8"/>
  <c r="G2575" i="8"/>
  <c r="G2577" i="8"/>
  <c r="G2579" i="8"/>
  <c r="G2581" i="8"/>
  <c r="G2583" i="8"/>
  <c r="G2585" i="8"/>
  <c r="G2587" i="8"/>
  <c r="G2589" i="8"/>
  <c r="G2591" i="8"/>
  <c r="G2593" i="8"/>
  <c r="G2595" i="8"/>
  <c r="G2597" i="8"/>
  <c r="G2599" i="8"/>
  <c r="G2601" i="8"/>
  <c r="G2603" i="8"/>
  <c r="G2605" i="8"/>
  <c r="G2607" i="8"/>
  <c r="G2609" i="8"/>
  <c r="G2611" i="8"/>
  <c r="G2613" i="8"/>
  <c r="G2615" i="8"/>
  <c r="G2617" i="8"/>
  <c r="G2619" i="8"/>
  <c r="G2621" i="8"/>
  <c r="G2623" i="8"/>
  <c r="G2625" i="8"/>
  <c r="G2627" i="8"/>
  <c r="G2629" i="8"/>
  <c r="G2631" i="8"/>
  <c r="G2633" i="8"/>
  <c r="G2635" i="8"/>
  <c r="G2637" i="8"/>
  <c r="G2639" i="8"/>
  <c r="G2641" i="8"/>
  <c r="G2643" i="8"/>
  <c r="G2645" i="8"/>
  <c r="G2647" i="8"/>
  <c r="G2649" i="8"/>
  <c r="G2651" i="8"/>
  <c r="G2653" i="8"/>
  <c r="G2655" i="8"/>
  <c r="G2657" i="8"/>
  <c r="G2659" i="8"/>
  <c r="G2661" i="8"/>
  <c r="G2663" i="8"/>
  <c r="G2665" i="8"/>
  <c r="G2667" i="8"/>
  <c r="G2669" i="8"/>
  <c r="G2671" i="8"/>
  <c r="G2673" i="8"/>
  <c r="G2675" i="8"/>
  <c r="G2677" i="8"/>
  <c r="G2679" i="8"/>
  <c r="G2681" i="8"/>
  <c r="G2683" i="8"/>
  <c r="G2685" i="8"/>
  <c r="G2687" i="8"/>
  <c r="G2689" i="8"/>
  <c r="G2691" i="8"/>
  <c r="G2693" i="8"/>
  <c r="G2695" i="8"/>
  <c r="G2697" i="8"/>
  <c r="G2699" i="8"/>
  <c r="G2701" i="8"/>
  <c r="G2703" i="8"/>
  <c r="G2705" i="8"/>
  <c r="G2707" i="8"/>
  <c r="G2709" i="8"/>
  <c r="G2711" i="8"/>
  <c r="G2713" i="8"/>
  <c r="G2715" i="8"/>
  <c r="G2717" i="8"/>
  <c r="G2719" i="8"/>
  <c r="G2721" i="8"/>
  <c r="G2723" i="8"/>
  <c r="G2725" i="8"/>
  <c r="G2727" i="8"/>
  <c r="G2729" i="8"/>
  <c r="G2731" i="8"/>
  <c r="G2733" i="8"/>
  <c r="G2735" i="8"/>
  <c r="G2737" i="8"/>
  <c r="G2739" i="8"/>
  <c r="G2741" i="8"/>
  <c r="G2743" i="8"/>
  <c r="G2745" i="8"/>
  <c r="G2747" i="8"/>
  <c r="G2749" i="8"/>
  <c r="G2751" i="8"/>
  <c r="G2753" i="8"/>
  <c r="G2755" i="8"/>
  <c r="G2757" i="8"/>
  <c r="G2759" i="8"/>
  <c r="G2761" i="8"/>
  <c r="G2763" i="8"/>
  <c r="G2765" i="8"/>
  <c r="G2767" i="8"/>
  <c r="G2769" i="8"/>
  <c r="G2771" i="8"/>
  <c r="G2773" i="8"/>
  <c r="G2775" i="8"/>
  <c r="G2777" i="8"/>
  <c r="G2779" i="8"/>
  <c r="G2781" i="8"/>
  <c r="G2783" i="8"/>
  <c r="G2785" i="8"/>
  <c r="G2787" i="8"/>
  <c r="G2789" i="8"/>
  <c r="G2791" i="8"/>
  <c r="G2793" i="8"/>
  <c r="G2795" i="8"/>
  <c r="G2797" i="8"/>
  <c r="G2799" i="8"/>
  <c r="G2801" i="8"/>
  <c r="G2803" i="8"/>
  <c r="G2805" i="8"/>
  <c r="G2807" i="8"/>
  <c r="G2809" i="8"/>
  <c r="G2811" i="8"/>
  <c r="G2813" i="8"/>
  <c r="G2815" i="8"/>
  <c r="G2817" i="8"/>
  <c r="G2819" i="8"/>
  <c r="G2821" i="8"/>
  <c r="G2823" i="8"/>
  <c r="G2825" i="8"/>
  <c r="G2827" i="8"/>
  <c r="G2829" i="8"/>
  <c r="G2831" i="8"/>
  <c r="G2833" i="8"/>
  <c r="G2835" i="8"/>
  <c r="G2837" i="8"/>
  <c r="G2839" i="8"/>
  <c r="G2841" i="8"/>
  <c r="G2843" i="8"/>
  <c r="G2845" i="8"/>
  <c r="G2847" i="8"/>
  <c r="G2849" i="8"/>
  <c r="G2851" i="8"/>
  <c r="G2853" i="8"/>
  <c r="G2855" i="8"/>
  <c r="G2857" i="8"/>
  <c r="G2859" i="8"/>
  <c r="G2861" i="8"/>
  <c r="G2863" i="8"/>
  <c r="G2865" i="8"/>
  <c r="G2867" i="8"/>
  <c r="G2869" i="8"/>
  <c r="G2871" i="8"/>
  <c r="G2873" i="8"/>
  <c r="G2875" i="8"/>
  <c r="G2877" i="8"/>
  <c r="G2879" i="8"/>
  <c r="G2881" i="8"/>
  <c r="G2883" i="8"/>
  <c r="G2885" i="8"/>
  <c r="G2887" i="8"/>
  <c r="G2889" i="8"/>
  <c r="G2891" i="8"/>
  <c r="G2893" i="8"/>
  <c r="G2895" i="8"/>
  <c r="G2897" i="8"/>
  <c r="G2899" i="8"/>
  <c r="G2901" i="8"/>
  <c r="G2903" i="8"/>
  <c r="G2905" i="8"/>
  <c r="G2907" i="8"/>
  <c r="G2909" i="8"/>
  <c r="G2911" i="8"/>
  <c r="G2913" i="8"/>
  <c r="G2915" i="8"/>
  <c r="G2917" i="8"/>
  <c r="G2919" i="8"/>
  <c r="G2921" i="8"/>
  <c r="G2923" i="8"/>
  <c r="G2925" i="8"/>
  <c r="G2927" i="8"/>
  <c r="G2929" i="8"/>
  <c r="G2931" i="8"/>
  <c r="G2933" i="8"/>
  <c r="G2935" i="8"/>
  <c r="G2937" i="8"/>
  <c r="G2939" i="8"/>
  <c r="G2941" i="8"/>
  <c r="G2943" i="8"/>
  <c r="G2945" i="8"/>
  <c r="G2947" i="8"/>
  <c r="G2949" i="8"/>
  <c r="G2951" i="8"/>
  <c r="G2953" i="8"/>
  <c r="G2955" i="8"/>
  <c r="G2957" i="8"/>
  <c r="G2959" i="8"/>
  <c r="G2961" i="8"/>
  <c r="G2963" i="8"/>
  <c r="G2965" i="8"/>
  <c r="G2967" i="8"/>
  <c r="G2969" i="8"/>
  <c r="G2971" i="8"/>
  <c r="G2973" i="8"/>
  <c r="G2975" i="8"/>
  <c r="G2977" i="8"/>
  <c r="G2979" i="8"/>
  <c r="G2981" i="8"/>
  <c r="G2983" i="8"/>
  <c r="G2985" i="8"/>
  <c r="G2987" i="8"/>
  <c r="G2989" i="8"/>
  <c r="G2991" i="8"/>
  <c r="G2993" i="8"/>
  <c r="G2995" i="8"/>
  <c r="G2997" i="8"/>
  <c r="G2999" i="8"/>
  <c r="G3001" i="8"/>
  <c r="G3003" i="8"/>
  <c r="G3005" i="8"/>
  <c r="G3007" i="8"/>
  <c r="G3009" i="8"/>
  <c r="G3011" i="8"/>
  <c r="G3013" i="8"/>
  <c r="G3015" i="8"/>
  <c r="G3017" i="8"/>
  <c r="G3019" i="8"/>
  <c r="G3021" i="8"/>
  <c r="G3023" i="8"/>
  <c r="G3025" i="8"/>
  <c r="G3027" i="8"/>
  <c r="G3029" i="8"/>
  <c r="G3031" i="8"/>
  <c r="G3033" i="8"/>
  <c r="G3035" i="8"/>
  <c r="G3037" i="8"/>
  <c r="G3039" i="8"/>
  <c r="G3041" i="8"/>
  <c r="G3043" i="8"/>
  <c r="G3045" i="8"/>
  <c r="G3047" i="8"/>
  <c r="G3049" i="8"/>
  <c r="G3051" i="8"/>
  <c r="G3053" i="8"/>
  <c r="G3055" i="8"/>
  <c r="G3057" i="8"/>
  <c r="G3059" i="8"/>
  <c r="G3061" i="8"/>
  <c r="G3063" i="8"/>
  <c r="G3065" i="8"/>
  <c r="G3067" i="8"/>
  <c r="G3069" i="8"/>
  <c r="G3071" i="8"/>
  <c r="G3073" i="8"/>
  <c r="G3075" i="8"/>
  <c r="G3077" i="8"/>
  <c r="G3079" i="8"/>
  <c r="G3081" i="8"/>
  <c r="G3083" i="8"/>
  <c r="G3085" i="8"/>
  <c r="G3087" i="8"/>
  <c r="G3089" i="8"/>
  <c r="G3091" i="8"/>
  <c r="G3093" i="8"/>
  <c r="G3095" i="8"/>
  <c r="G3097" i="8"/>
  <c r="G3099" i="8"/>
  <c r="G3101" i="8"/>
  <c r="G3103" i="8"/>
  <c r="G3105" i="8"/>
  <c r="G3107" i="8"/>
  <c r="G3109" i="8"/>
  <c r="G3111" i="8"/>
  <c r="G3113" i="8"/>
  <c r="G3115" i="8"/>
  <c r="G3117" i="8"/>
  <c r="G3119" i="8"/>
  <c r="G3121" i="8"/>
  <c r="G3123" i="8"/>
  <c r="G3125" i="8"/>
  <c r="G3127" i="8"/>
  <c r="G3129" i="8"/>
  <c r="G3131" i="8"/>
  <c r="G3133" i="8"/>
  <c r="G3135" i="8"/>
  <c r="G3137" i="8"/>
  <c r="G3139" i="8"/>
  <c r="G3141" i="8"/>
  <c r="G3143" i="8"/>
  <c r="G3145" i="8"/>
  <c r="G3147" i="8"/>
  <c r="G3149" i="8"/>
  <c r="G3151" i="8"/>
  <c r="G3153" i="8"/>
  <c r="G3155" i="8"/>
  <c r="G3157" i="8"/>
  <c r="G3159" i="8"/>
  <c r="G3161" i="8"/>
  <c r="G3163" i="8"/>
  <c r="G3165" i="8"/>
  <c r="G3167" i="8"/>
  <c r="G3169" i="8"/>
  <c r="G3171" i="8"/>
  <c r="G3173" i="8"/>
  <c r="G3175" i="8"/>
  <c r="G3177" i="8"/>
  <c r="G3179" i="8"/>
  <c r="G3181" i="8"/>
  <c r="G3183" i="8"/>
  <c r="G3185" i="8"/>
  <c r="G3187" i="8"/>
  <c r="G3189" i="8"/>
  <c r="G3191" i="8"/>
  <c r="G3193" i="8"/>
  <c r="G3195" i="8"/>
  <c r="G3197" i="8"/>
  <c r="G3199" i="8"/>
  <c r="G3201" i="8"/>
  <c r="G3203" i="8"/>
  <c r="G3205" i="8"/>
  <c r="G3207" i="8"/>
  <c r="G3209" i="8"/>
  <c r="G3211" i="8"/>
  <c r="G3213" i="8"/>
  <c r="G3215" i="8"/>
  <c r="G3217" i="8"/>
  <c r="G3219" i="8"/>
  <c r="G3221" i="8"/>
  <c r="G3223" i="8"/>
  <c r="G3225" i="8"/>
  <c r="G3227" i="8"/>
  <c r="G3229" i="8"/>
  <c r="G3231" i="8"/>
  <c r="G3233" i="8"/>
  <c r="G3235" i="8"/>
  <c r="G3237" i="8"/>
  <c r="G3239" i="8"/>
  <c r="G3241" i="8"/>
  <c r="G3243" i="8"/>
  <c r="G3245" i="8"/>
  <c r="G3247" i="8"/>
  <c r="G3249" i="8"/>
  <c r="G3251" i="8"/>
  <c r="G3253" i="8"/>
  <c r="G3255" i="8"/>
  <c r="G3257" i="8"/>
  <c r="G3259" i="8"/>
  <c r="G3261" i="8"/>
  <c r="G3263" i="8"/>
  <c r="G3265" i="8"/>
  <c r="G3267" i="8"/>
  <c r="G3269" i="8"/>
  <c r="G3271" i="8"/>
  <c r="G3273" i="8"/>
  <c r="G3275" i="8"/>
  <c r="G3277" i="8"/>
  <c r="G3279" i="8"/>
  <c r="G3281" i="8"/>
  <c r="G3283" i="8"/>
  <c r="G3285" i="8"/>
  <c r="G3287" i="8"/>
  <c r="G3289" i="8"/>
  <c r="G3291" i="8"/>
  <c r="G3293" i="8"/>
  <c r="G3295" i="8"/>
  <c r="G3297" i="8"/>
  <c r="G3299" i="8"/>
  <c r="G3301" i="8"/>
  <c r="G3303" i="8"/>
  <c r="G3305" i="8"/>
  <c r="G3307" i="8"/>
  <c r="G3309" i="8"/>
  <c r="G3311" i="8"/>
  <c r="G3313" i="8"/>
  <c r="G3315" i="8"/>
  <c r="G3317" i="8"/>
  <c r="G3319" i="8"/>
  <c r="G3321" i="8"/>
  <c r="G3323" i="8"/>
  <c r="G3325" i="8"/>
  <c r="G3327" i="8"/>
  <c r="G3329" i="8"/>
  <c r="G3331" i="8"/>
  <c r="G3333" i="8"/>
  <c r="G3335" i="8"/>
  <c r="G3337" i="8"/>
  <c r="G3339" i="8"/>
  <c r="G3341" i="8"/>
  <c r="G3343" i="8"/>
  <c r="G3345" i="8"/>
  <c r="G3347" i="8"/>
  <c r="G3349" i="8"/>
  <c r="G3351" i="8"/>
  <c r="G3353" i="8"/>
  <c r="G3355" i="8"/>
  <c r="G3357" i="8"/>
  <c r="G3359" i="8"/>
  <c r="G3361" i="8"/>
  <c r="G3363" i="8"/>
  <c r="G3365" i="8"/>
  <c r="G3367" i="8"/>
  <c r="G3369" i="8"/>
  <c r="G3371" i="8"/>
  <c r="G3373" i="8"/>
  <c r="G3375" i="8"/>
  <c r="G3377" i="8"/>
  <c r="G3379" i="8"/>
  <c r="G3381" i="8"/>
  <c r="G3383" i="8"/>
  <c r="G3385" i="8"/>
  <c r="G3387" i="8"/>
  <c r="G3389" i="8"/>
  <c r="G3391" i="8"/>
  <c r="G3393" i="8"/>
  <c r="G3395" i="8"/>
  <c r="G3397" i="8"/>
  <c r="G3399" i="8"/>
  <c r="G3401" i="8"/>
  <c r="G3403" i="8"/>
  <c r="G3405" i="8"/>
  <c r="G3407" i="8"/>
  <c r="G3409" i="8"/>
  <c r="G3411" i="8"/>
  <c r="G3413" i="8"/>
  <c r="G3415" i="8"/>
  <c r="G3417" i="8"/>
  <c r="G3419" i="8"/>
  <c r="G3421" i="8"/>
  <c r="G3423" i="8"/>
  <c r="G3425" i="8"/>
  <c r="G3427" i="8"/>
  <c r="G3429" i="8"/>
  <c r="G3431" i="8"/>
  <c r="G3433" i="8"/>
  <c r="G3435" i="8"/>
  <c r="G3437" i="8"/>
  <c r="G3439" i="8"/>
  <c r="G3441" i="8"/>
  <c r="G3443" i="8"/>
  <c r="G3445" i="8"/>
  <c r="G3447" i="8"/>
  <c r="G3449" i="8"/>
  <c r="G3451" i="8"/>
  <c r="G3453" i="8"/>
  <c r="G3455" i="8"/>
  <c r="G3457" i="8"/>
  <c r="G3459" i="8"/>
  <c r="G3461" i="8"/>
  <c r="G3463" i="8"/>
  <c r="G3465" i="8"/>
  <c r="G3467" i="8"/>
  <c r="G3469" i="8"/>
  <c r="G3471" i="8"/>
  <c r="G3473" i="8"/>
  <c r="G3475" i="8"/>
  <c r="G3477" i="8"/>
  <c r="G3479" i="8"/>
  <c r="G3481" i="8"/>
  <c r="G3483" i="8"/>
  <c r="G3485" i="8"/>
  <c r="G3487" i="8"/>
  <c r="G3489" i="8"/>
  <c r="G3491" i="8"/>
  <c r="G3493" i="8"/>
  <c r="G3495" i="8"/>
  <c r="G3497" i="8"/>
  <c r="G3499" i="8"/>
  <c r="G3501" i="8"/>
  <c r="G3503" i="8"/>
  <c r="G3505" i="8"/>
  <c r="G3507" i="8"/>
  <c r="G3509" i="8"/>
  <c r="G3511" i="8"/>
  <c r="G3513" i="8"/>
  <c r="G3515" i="8"/>
  <c r="G3517" i="8"/>
  <c r="G3519" i="8"/>
  <c r="G3521" i="8"/>
  <c r="G3523" i="8"/>
  <c r="G3525" i="8"/>
  <c r="G3527" i="8"/>
  <c r="G3529" i="8"/>
  <c r="G3531" i="8"/>
  <c r="G3533" i="8"/>
  <c r="G3535" i="8"/>
  <c r="G3537" i="8"/>
  <c r="G3539" i="8"/>
  <c r="G3541" i="8"/>
  <c r="G3543" i="8"/>
  <c r="G3545" i="8"/>
  <c r="G3547" i="8"/>
  <c r="G3549" i="8"/>
  <c r="G3551" i="8"/>
  <c r="G3553" i="8"/>
  <c r="G3555" i="8"/>
  <c r="G3557" i="8"/>
  <c r="G3559" i="8"/>
  <c r="G3561" i="8"/>
  <c r="G3563" i="8"/>
  <c r="G3565" i="8"/>
  <c r="G3567" i="8"/>
  <c r="G3569" i="8"/>
  <c r="G3571" i="8"/>
  <c r="G3573" i="8"/>
  <c r="G3575" i="8"/>
  <c r="G3577" i="8"/>
  <c r="G3579" i="8"/>
  <c r="G3581" i="8"/>
  <c r="G3583" i="8"/>
  <c r="G3585" i="8"/>
  <c r="G3587" i="8"/>
  <c r="G3589" i="8"/>
  <c r="G3591" i="8"/>
  <c r="G3593" i="8"/>
  <c r="G3595" i="8"/>
  <c r="G3597" i="8"/>
  <c r="G3599" i="8"/>
  <c r="G3601" i="8"/>
  <c r="G3603" i="8"/>
  <c r="G3605" i="8"/>
  <c r="G3607" i="8"/>
  <c r="G3609" i="8"/>
  <c r="G3611" i="8"/>
  <c r="G3613" i="8"/>
  <c r="G3615" i="8"/>
  <c r="G3617" i="8"/>
  <c r="G3619" i="8"/>
  <c r="G3621" i="8"/>
  <c r="G3623" i="8"/>
  <c r="G3625" i="8"/>
  <c r="G3627" i="8"/>
  <c r="G3629" i="8"/>
  <c r="G3631" i="8"/>
  <c r="G3633" i="8"/>
  <c r="G3635" i="8"/>
  <c r="G3637" i="8"/>
  <c r="G3639" i="8"/>
  <c r="G3641" i="8"/>
  <c r="G3643" i="8"/>
  <c r="G3645" i="8"/>
  <c r="G3647" i="8"/>
  <c r="G3649" i="8"/>
  <c r="G3651" i="8"/>
  <c r="G3653" i="8"/>
  <c r="G3655" i="8"/>
  <c r="G3657" i="8"/>
  <c r="G3659" i="8"/>
  <c r="G3661" i="8"/>
  <c r="G3663" i="8"/>
  <c r="G3665" i="8"/>
  <c r="G3667" i="8"/>
  <c r="G3669" i="8"/>
  <c r="G3671" i="8"/>
  <c r="G3673" i="8"/>
  <c r="G3675" i="8"/>
  <c r="G3677" i="8"/>
  <c r="G3679" i="8"/>
  <c r="G3681" i="8"/>
  <c r="G3683" i="8"/>
  <c r="G3685" i="8"/>
  <c r="G3687" i="8"/>
  <c r="G3689" i="8"/>
  <c r="G3691" i="8"/>
  <c r="G3693" i="8"/>
  <c r="G3695" i="8"/>
  <c r="G3697" i="8"/>
  <c r="G3699" i="8"/>
  <c r="G3701" i="8"/>
  <c r="G3703" i="8"/>
  <c r="G3705" i="8"/>
  <c r="G3707" i="8"/>
  <c r="G3709" i="8"/>
  <c r="G3711" i="8"/>
  <c r="G3713" i="8"/>
  <c r="G3715" i="8"/>
  <c r="G3717" i="8"/>
  <c r="G3719" i="8"/>
  <c r="G3721" i="8"/>
  <c r="G3723" i="8"/>
  <c r="G3725" i="8"/>
  <c r="G3727" i="8"/>
  <c r="G3729" i="8"/>
  <c r="G3732" i="8"/>
  <c r="G3736" i="8"/>
  <c r="G3740" i="8"/>
  <c r="G3744" i="8"/>
  <c r="G3748" i="8"/>
  <c r="G3752" i="8"/>
  <c r="G3756" i="8"/>
  <c r="G3760" i="8"/>
  <c r="G3764" i="8"/>
  <c r="G3768" i="8"/>
  <c r="G3772" i="8"/>
  <c r="G3776" i="8"/>
  <c r="G3780" i="8"/>
  <c r="G3784" i="8"/>
  <c r="G3788" i="8"/>
  <c r="G3792" i="8"/>
  <c r="G3796" i="8"/>
  <c r="G3800" i="8"/>
  <c r="G3804" i="8"/>
  <c r="G3808" i="8"/>
  <c r="G3812" i="8"/>
  <c r="G3816" i="8"/>
  <c r="G3820" i="8"/>
  <c r="G3824" i="8"/>
  <c r="G3828" i="8"/>
  <c r="G3832" i="8"/>
  <c r="G3836" i="8"/>
  <c r="G3840" i="8"/>
  <c r="G3844" i="8"/>
  <c r="G3848" i="8"/>
  <c r="G3852" i="8"/>
  <c r="G3856" i="8"/>
  <c r="G3860" i="8"/>
  <c r="G3864" i="8"/>
  <c r="G3868" i="8"/>
  <c r="G3872" i="8"/>
  <c r="G3876" i="8"/>
  <c r="G3880" i="8"/>
  <c r="G3884" i="8"/>
  <c r="G3888" i="8"/>
  <c r="G3892" i="8"/>
  <c r="G3896" i="8"/>
  <c r="G3900" i="8"/>
  <c r="G3904" i="8"/>
  <c r="G3908" i="8"/>
  <c r="G3912" i="8"/>
  <c r="G3916" i="8"/>
  <c r="G3920" i="8"/>
  <c r="G3924" i="8"/>
  <c r="G3928" i="8"/>
  <c r="G3932" i="8"/>
  <c r="G3936" i="8"/>
  <c r="G3940" i="8"/>
  <c r="G3944" i="8"/>
  <c r="G3948" i="8"/>
  <c r="G3952" i="8"/>
  <c r="G3956" i="8"/>
  <c r="G3960" i="8"/>
  <c r="G3964" i="8"/>
  <c r="G3968" i="8"/>
  <c r="G3972" i="8"/>
  <c r="G3976" i="8"/>
  <c r="G3980" i="8"/>
  <c r="G3984" i="8"/>
  <c r="G3988" i="8"/>
  <c r="G3992" i="8"/>
  <c r="G3996" i="8"/>
  <c r="G4000" i="8"/>
  <c r="G4004" i="8"/>
  <c r="G4008" i="8"/>
  <c r="G4012" i="8"/>
  <c r="G4016" i="8"/>
  <c r="G4020" i="8"/>
  <c r="G4024" i="8"/>
  <c r="G4028" i="8"/>
  <c r="G4032" i="8"/>
  <c r="G4036" i="8"/>
  <c r="G4040" i="8"/>
  <c r="G4044" i="8"/>
  <c r="G4048" i="8"/>
  <c r="G4052" i="8"/>
  <c r="G4056" i="8"/>
  <c r="G4060" i="8"/>
  <c r="G4064" i="8"/>
  <c r="G4068" i="8"/>
  <c r="G4072" i="8"/>
  <c r="G4076" i="8"/>
  <c r="G4080" i="8"/>
  <c r="G4084" i="8"/>
  <c r="G4088" i="8"/>
  <c r="G4092" i="8"/>
  <c r="G4096" i="8"/>
  <c r="G4100" i="8"/>
  <c r="G4104" i="8"/>
  <c r="G4108" i="8"/>
  <c r="G4112" i="8"/>
  <c r="G4116" i="8"/>
  <c r="G4120" i="8"/>
  <c r="G4124" i="8"/>
  <c r="G4128" i="8"/>
  <c r="G4132" i="8"/>
  <c r="G4136" i="8"/>
  <c r="G4140" i="8"/>
  <c r="G4144" i="8"/>
  <c r="G4148" i="8"/>
  <c r="G4152" i="8"/>
  <c r="G4156" i="8"/>
  <c r="G4160" i="8"/>
  <c r="G4164" i="8"/>
  <c r="G4168" i="8"/>
  <c r="G4172" i="8"/>
  <c r="G4176" i="8"/>
  <c r="G4180" i="8"/>
  <c r="G4184" i="8"/>
  <c r="G4188" i="8"/>
  <c r="G4192" i="8"/>
  <c r="G4196" i="8"/>
  <c r="G4200" i="8"/>
  <c r="G4204" i="8"/>
  <c r="G4208" i="8"/>
  <c r="G4212" i="8"/>
  <c r="G4216" i="8"/>
  <c r="G4220" i="8"/>
  <c r="G4224" i="8"/>
  <c r="G4228" i="8"/>
  <c r="G4232" i="8"/>
  <c r="G4236" i="8"/>
  <c r="G4240" i="8"/>
  <c r="G4244" i="8"/>
  <c r="G4248" i="8"/>
  <c r="G4252" i="8"/>
  <c r="G4256" i="8"/>
  <c r="G4260" i="8"/>
  <c r="G4264" i="8"/>
  <c r="G4268" i="8"/>
  <c r="G4272" i="8"/>
  <c r="G4276" i="8"/>
  <c r="G4280" i="8"/>
  <c r="G4284" i="8"/>
  <c r="G4288" i="8"/>
  <c r="G4292" i="8"/>
  <c r="G4296" i="8"/>
  <c r="G4300" i="8"/>
  <c r="G4304" i="8"/>
  <c r="G4308" i="8"/>
  <c r="G4312" i="8"/>
  <c r="G4316" i="8"/>
  <c r="G4320" i="8"/>
  <c r="G4324" i="8"/>
  <c r="G4328" i="8"/>
  <c r="G4332" i="8"/>
  <c r="G4336" i="8"/>
  <c r="G4340" i="8"/>
  <c r="G4344" i="8"/>
  <c r="G4348" i="8"/>
  <c r="G4352" i="8"/>
  <c r="G4356" i="8"/>
  <c r="G4360" i="8"/>
  <c r="G4364" i="8"/>
  <c r="G4368" i="8"/>
  <c r="G4372" i="8"/>
  <c r="G4376" i="8"/>
  <c r="G4380" i="8"/>
  <c r="G4384" i="8"/>
  <c r="G4388" i="8"/>
  <c r="G4392" i="8"/>
  <c r="G4396" i="8"/>
  <c r="G4400" i="8"/>
  <c r="G4404" i="8"/>
  <c r="G4408" i="8"/>
  <c r="G4412" i="8"/>
  <c r="G4416" i="8"/>
  <c r="G4420" i="8"/>
  <c r="G4424" i="8"/>
  <c r="G4428" i="8"/>
  <c r="G4432" i="8"/>
  <c r="G4436" i="8"/>
  <c r="G4440" i="8"/>
  <c r="G4444" i="8"/>
  <c r="G4448" i="8"/>
  <c r="G4452" i="8"/>
  <c r="G4456" i="8"/>
  <c r="G4460" i="8"/>
  <c r="G4464" i="8"/>
  <c r="G4468" i="8"/>
  <c r="G4472" i="8"/>
  <c r="G4476" i="8"/>
  <c r="G4480" i="8"/>
  <c r="G4484" i="8"/>
  <c r="G4488" i="8"/>
  <c r="G4492" i="8"/>
  <c r="G4496" i="8"/>
  <c r="G4500" i="8"/>
  <c r="G4504" i="8"/>
  <c r="G4508" i="8"/>
  <c r="G4512" i="8"/>
  <c r="G4516" i="8"/>
  <c r="G4520" i="8"/>
  <c r="G4524" i="8"/>
  <c r="G4528" i="8"/>
  <c r="G4532" i="8"/>
  <c r="G4536" i="8"/>
  <c r="G4540" i="8"/>
  <c r="G4544" i="8"/>
  <c r="G4548" i="8"/>
  <c r="G4552" i="8"/>
  <c r="G4556" i="8"/>
  <c r="G4560" i="8"/>
  <c r="G4564" i="8"/>
  <c r="G4568" i="8"/>
  <c r="G4572" i="8"/>
  <c r="G4576" i="8"/>
  <c r="G4580" i="8"/>
  <c r="G4584" i="8"/>
  <c r="G4588" i="8"/>
  <c r="G4592" i="8"/>
  <c r="G4596" i="8"/>
  <c r="G4600" i="8"/>
  <c r="G4604" i="8"/>
  <c r="G4608" i="8"/>
  <c r="G4612" i="8"/>
  <c r="G4616" i="8"/>
  <c r="G4620" i="8"/>
  <c r="G4624" i="8"/>
  <c r="G4628" i="8"/>
  <c r="G4632" i="8"/>
  <c r="G4636" i="8"/>
  <c r="G4640" i="8"/>
  <c r="G4644" i="8"/>
  <c r="G4648" i="8"/>
  <c r="G4652" i="8"/>
  <c r="G4656" i="8"/>
  <c r="G4660" i="8"/>
  <c r="G4664" i="8"/>
  <c r="G4668" i="8"/>
  <c r="G4672" i="8"/>
  <c r="G4676" i="8"/>
  <c r="G4680" i="8"/>
  <c r="G4684" i="8"/>
  <c r="G4688" i="8"/>
  <c r="G4692" i="8"/>
  <c r="G4696" i="8"/>
  <c r="G4700" i="8"/>
  <c r="G4704" i="8"/>
  <c r="G4708" i="8"/>
  <c r="G4712" i="8"/>
  <c r="G4716" i="8"/>
  <c r="G4720" i="8"/>
  <c r="G4724" i="8"/>
  <c r="G4728" i="8"/>
  <c r="G4732" i="8"/>
  <c r="G4736" i="8"/>
  <c r="G4740" i="8"/>
  <c r="G4744" i="8"/>
  <c r="G4748" i="8"/>
  <c r="G4752" i="8"/>
  <c r="G4756" i="8"/>
  <c r="G4760" i="8"/>
  <c r="G4764" i="8"/>
  <c r="G4768" i="8"/>
  <c r="G4772" i="8"/>
  <c r="G4776" i="8"/>
  <c r="G4780" i="8"/>
  <c r="G4784" i="8"/>
  <c r="G4788" i="8"/>
  <c r="G4792" i="8"/>
  <c r="G4796" i="8"/>
  <c r="G4800" i="8"/>
  <c r="G4804" i="8"/>
  <c r="G4808" i="8"/>
  <c r="G4812" i="8"/>
  <c r="G4816" i="8"/>
  <c r="G4820" i="8"/>
  <c r="G4824" i="8"/>
  <c r="G4828" i="8"/>
  <c r="G4832" i="8"/>
  <c r="G4836" i="8"/>
  <c r="G4840" i="8"/>
  <c r="G4844" i="8"/>
  <c r="G4848" i="8"/>
  <c r="G4852" i="8"/>
  <c r="G4856" i="8"/>
  <c r="G4860" i="8"/>
  <c r="G4864" i="8"/>
  <c r="G4868" i="8"/>
  <c r="G4872" i="8"/>
  <c r="G4876" i="8"/>
  <c r="G4880" i="8"/>
  <c r="G4884" i="8"/>
  <c r="G4888" i="8"/>
  <c r="G4892" i="8"/>
  <c r="G4896" i="8"/>
  <c r="G4900" i="8"/>
  <c r="G4904" i="8"/>
  <c r="G4908" i="8"/>
  <c r="G4912" i="8"/>
  <c r="G4916" i="8"/>
  <c r="G4920" i="8"/>
  <c r="G4924" i="8"/>
  <c r="G4928" i="8"/>
  <c r="G4932" i="8"/>
  <c r="G4936" i="8"/>
  <c r="G4940" i="8"/>
  <c r="G4944" i="8"/>
  <c r="G4948" i="8"/>
  <c r="G4952" i="8"/>
  <c r="G4956" i="8"/>
  <c r="G4960" i="8"/>
  <c r="G4964" i="8"/>
  <c r="G4968" i="8"/>
  <c r="G4972" i="8"/>
  <c r="G4976" i="8"/>
  <c r="G4980" i="8"/>
  <c r="G4984" i="8"/>
  <c r="G4988" i="8"/>
  <c r="G4992" i="8"/>
  <c r="G4996" i="8"/>
  <c r="G5000" i="8"/>
  <c r="G5004" i="8"/>
  <c r="G5008" i="8"/>
  <c r="G5012" i="8"/>
  <c r="G5016" i="8"/>
  <c r="G5020" i="8"/>
  <c r="G5024" i="8"/>
  <c r="G5028" i="8"/>
  <c r="G5032" i="8"/>
  <c r="G5036" i="8"/>
  <c r="G5040" i="8"/>
  <c r="G5044" i="8"/>
  <c r="G5048" i="8"/>
  <c r="G5052" i="8"/>
  <c r="G5056" i="8"/>
  <c r="G5060" i="8"/>
  <c r="G5064" i="8"/>
  <c r="G5068" i="8"/>
  <c r="G5072" i="8"/>
  <c r="G5076" i="8"/>
  <c r="G5080" i="8"/>
  <c r="G5084" i="8"/>
  <c r="G5088" i="8"/>
  <c r="G5092" i="8"/>
  <c r="G5096" i="8"/>
  <c r="G5100" i="8"/>
  <c r="G5104" i="8"/>
  <c r="G5108" i="8"/>
  <c r="G5112" i="8"/>
  <c r="G5116" i="8"/>
  <c r="G5120" i="8"/>
  <c r="G5124" i="8"/>
  <c r="G5128" i="8"/>
  <c r="G5132" i="8"/>
  <c r="G5136" i="8"/>
  <c r="G5140" i="8"/>
  <c r="G5144" i="8"/>
  <c r="G5148" i="8"/>
  <c r="G5152" i="8"/>
  <c r="G5156" i="8"/>
  <c r="G5160" i="8"/>
  <c r="G5164" i="8"/>
  <c r="G5168" i="8"/>
  <c r="G5172" i="8"/>
  <c r="G5176" i="8"/>
  <c r="G5180" i="8"/>
  <c r="G5184" i="8"/>
  <c r="G5188" i="8"/>
  <c r="G5192" i="8"/>
  <c r="G5196" i="8"/>
  <c r="G5200" i="8"/>
  <c r="G5204" i="8"/>
  <c r="G5208" i="8"/>
  <c r="G5212" i="8"/>
  <c r="G5216" i="8"/>
  <c r="G5220" i="8"/>
  <c r="G5224" i="8"/>
  <c r="G5228" i="8"/>
  <c r="G5232" i="8"/>
  <c r="G5236" i="8"/>
  <c r="G5240" i="8"/>
  <c r="G5244" i="8"/>
  <c r="G5248" i="8"/>
  <c r="G5252" i="8"/>
  <c r="G5256" i="8"/>
  <c r="G5260" i="8"/>
  <c r="G5264" i="8"/>
  <c r="G5268" i="8"/>
  <c r="G5272" i="8"/>
  <c r="G5276" i="8"/>
  <c r="G5280" i="8"/>
  <c r="G5284" i="8"/>
  <c r="G5288" i="8"/>
  <c r="G5292" i="8"/>
  <c r="G5296" i="8"/>
  <c r="G5300" i="8"/>
  <c r="G5304" i="8"/>
  <c r="G5308" i="8"/>
  <c r="G5312" i="8"/>
  <c r="G5316" i="8"/>
  <c r="G5320" i="8"/>
  <c r="G5324" i="8"/>
  <c r="G5328" i="8"/>
  <c r="G5332" i="8"/>
  <c r="G5336" i="8"/>
  <c r="G5340" i="8"/>
  <c r="G5344" i="8"/>
  <c r="G5348" i="8"/>
  <c r="G5352" i="8"/>
  <c r="G5356" i="8"/>
  <c r="G5360" i="8"/>
  <c r="G5364" i="8"/>
  <c r="G5368" i="8"/>
  <c r="G5372" i="8"/>
  <c r="G5376" i="8"/>
  <c r="G5380" i="8"/>
  <c r="G5384" i="8"/>
  <c r="G5388" i="8"/>
  <c r="G5392" i="8"/>
  <c r="G5396" i="8"/>
  <c r="G5400" i="8"/>
  <c r="G5404" i="8"/>
  <c r="G5408" i="8"/>
  <c r="G5412" i="8"/>
  <c r="G5416" i="8"/>
  <c r="G5420" i="8"/>
  <c r="G5424" i="8"/>
  <c r="G5428" i="8"/>
  <c r="G5432" i="8"/>
  <c r="G5436" i="8"/>
  <c r="G5440" i="8"/>
  <c r="G5444" i="8"/>
  <c r="G5448" i="8"/>
  <c r="G5452" i="8"/>
  <c r="G5456" i="8"/>
  <c r="G5460" i="8"/>
  <c r="G5464" i="8"/>
  <c r="G5468" i="8"/>
  <c r="G5472" i="8"/>
  <c r="G5476" i="8"/>
  <c r="G5480" i="8"/>
  <c r="G5484" i="8"/>
  <c r="G5488" i="8"/>
  <c r="G5492" i="8"/>
  <c r="G5496" i="8"/>
  <c r="G5500" i="8"/>
  <c r="G5504" i="8"/>
  <c r="G5508" i="8"/>
  <c r="G5512" i="8"/>
  <c r="G5516" i="8"/>
  <c r="G5520" i="8"/>
  <c r="G5524" i="8"/>
  <c r="G5528" i="8"/>
  <c r="G5532" i="8"/>
  <c r="G5536" i="8"/>
  <c r="G5540" i="8"/>
  <c r="G5544" i="8"/>
  <c r="G5548" i="8"/>
  <c r="G5552" i="8"/>
  <c r="G5556" i="8"/>
  <c r="G5560" i="8"/>
  <c r="G5564" i="8"/>
  <c r="G5568" i="8"/>
  <c r="G5572" i="8"/>
  <c r="G5576" i="8"/>
  <c r="G5580" i="8"/>
  <c r="G5584" i="8"/>
  <c r="G5588" i="8"/>
  <c r="G5592" i="8"/>
  <c r="G5596" i="8"/>
  <c r="G5600" i="8"/>
  <c r="G5604" i="8"/>
  <c r="G5608" i="8"/>
  <c r="G5612" i="8"/>
  <c r="G5616" i="8"/>
  <c r="G5620" i="8"/>
  <c r="H5621" i="8"/>
  <c r="H5619" i="8"/>
  <c r="H5617" i="8"/>
  <c r="H5615" i="8"/>
  <c r="H5613" i="8"/>
  <c r="H5611" i="8"/>
  <c r="H5609" i="8"/>
  <c r="H5607" i="8"/>
  <c r="H5605" i="8"/>
  <c r="H5603" i="8"/>
  <c r="H5601" i="8"/>
  <c r="H5599" i="8"/>
  <c r="H5597" i="8"/>
  <c r="H5595" i="8"/>
  <c r="H5593" i="8"/>
  <c r="H5591" i="8"/>
  <c r="H5589" i="8"/>
  <c r="H5587" i="8"/>
  <c r="H5585" i="8"/>
  <c r="H5583" i="8"/>
  <c r="H5581" i="8"/>
  <c r="H5579" i="8"/>
  <c r="H5577" i="8"/>
  <c r="H5575" i="8"/>
  <c r="H5573" i="8"/>
  <c r="H5571" i="8"/>
  <c r="H5569" i="8"/>
  <c r="H5567" i="8"/>
  <c r="H5565" i="8"/>
  <c r="H5563" i="8"/>
  <c r="H5561" i="8"/>
  <c r="H5559" i="8"/>
  <c r="H5557" i="8"/>
  <c r="H5555" i="8"/>
  <c r="H5553" i="8"/>
  <c r="H5551" i="8"/>
  <c r="H5549" i="8"/>
  <c r="H5547" i="8"/>
  <c r="H5545" i="8"/>
  <c r="H5543" i="8"/>
  <c r="H5541" i="8"/>
  <c r="H5539" i="8"/>
  <c r="H5537" i="8"/>
  <c r="H5535" i="8"/>
  <c r="H5533" i="8"/>
  <c r="H5531" i="8"/>
  <c r="H5529" i="8"/>
  <c r="H5527" i="8"/>
  <c r="H5525" i="8"/>
  <c r="H5523" i="8"/>
  <c r="H5521" i="8"/>
  <c r="H5519" i="8"/>
  <c r="H5517" i="8"/>
  <c r="H5515" i="8"/>
  <c r="H5513" i="8"/>
  <c r="H5511" i="8"/>
  <c r="H5509" i="8"/>
  <c r="H5507" i="8"/>
  <c r="H5505" i="8"/>
  <c r="H5503" i="8"/>
  <c r="H5501" i="8"/>
  <c r="H5499" i="8"/>
  <c r="H5497" i="8"/>
  <c r="H5495" i="8"/>
  <c r="H5493" i="8"/>
  <c r="H5491" i="8"/>
  <c r="H5489" i="8"/>
  <c r="H5487" i="8"/>
  <c r="H5485" i="8"/>
  <c r="H5483" i="8"/>
  <c r="H5481" i="8"/>
  <c r="H5479" i="8"/>
  <c r="H5477" i="8"/>
  <c r="H5475" i="8"/>
  <c r="H5473" i="8"/>
  <c r="H5471" i="8"/>
  <c r="H5469" i="8"/>
  <c r="H5467" i="8"/>
  <c r="H5465" i="8"/>
  <c r="H5463" i="8"/>
  <c r="H5461" i="8"/>
  <c r="H5459" i="8"/>
  <c r="H5457" i="8"/>
  <c r="H5455" i="8"/>
  <c r="H5453" i="8"/>
  <c r="H5451" i="8"/>
  <c r="H5449" i="8"/>
  <c r="H5447" i="8"/>
  <c r="H5445" i="8"/>
  <c r="H5443" i="8"/>
  <c r="H5441" i="8"/>
  <c r="H5439" i="8"/>
  <c r="H5437" i="8"/>
  <c r="H5435" i="8"/>
  <c r="H5433" i="8"/>
  <c r="H5431" i="8"/>
  <c r="H5429" i="8"/>
  <c r="H5427" i="8"/>
  <c r="H5425" i="8"/>
  <c r="H5423" i="8"/>
  <c r="H5421" i="8"/>
  <c r="H5419" i="8"/>
  <c r="H5417" i="8"/>
  <c r="H5415" i="8"/>
  <c r="H5413" i="8"/>
  <c r="H5411" i="8"/>
  <c r="H5409" i="8"/>
  <c r="H5407" i="8"/>
  <c r="H5405" i="8"/>
  <c r="H5403" i="8"/>
  <c r="H5401" i="8"/>
  <c r="H5399" i="8"/>
  <c r="H5397" i="8"/>
  <c r="H5395" i="8"/>
  <c r="H5393" i="8"/>
  <c r="H5391" i="8"/>
  <c r="H5389" i="8"/>
  <c r="H5387" i="8"/>
  <c r="H5385" i="8"/>
  <c r="H5383" i="8"/>
  <c r="H5381" i="8"/>
  <c r="H5379" i="8"/>
  <c r="H5377" i="8"/>
  <c r="H5375" i="8"/>
  <c r="H5373" i="8"/>
  <c r="H5371" i="8"/>
  <c r="H5369" i="8"/>
  <c r="H5367" i="8"/>
  <c r="H5365" i="8"/>
  <c r="H5363" i="8"/>
  <c r="H5361" i="8"/>
  <c r="H5359" i="8"/>
  <c r="H5357" i="8"/>
  <c r="H5355" i="8"/>
  <c r="H5353" i="8"/>
  <c r="H5351" i="8"/>
  <c r="H5349" i="8"/>
  <c r="H5347" i="8"/>
  <c r="H5345" i="8"/>
  <c r="H5343" i="8"/>
  <c r="H5341" i="8"/>
  <c r="H5339" i="8"/>
  <c r="H5337" i="8"/>
  <c r="H5335" i="8"/>
  <c r="H5333" i="8"/>
  <c r="H5331" i="8"/>
  <c r="H5329" i="8"/>
  <c r="H5327" i="8"/>
  <c r="H5325" i="8"/>
  <c r="H5323" i="8"/>
  <c r="H5321" i="8"/>
  <c r="H5319" i="8"/>
  <c r="H5317" i="8"/>
  <c r="H5315" i="8"/>
  <c r="H5313" i="8"/>
  <c r="H5311" i="8"/>
  <c r="H5309" i="8"/>
  <c r="H5307" i="8"/>
  <c r="H5305" i="8"/>
  <c r="H5303" i="8"/>
  <c r="H5301" i="8"/>
  <c r="H5299" i="8"/>
  <c r="H5297" i="8"/>
  <c r="H5295" i="8"/>
  <c r="H5293" i="8"/>
  <c r="H5291" i="8"/>
  <c r="H5289" i="8"/>
  <c r="H5287" i="8"/>
  <c r="H5285" i="8"/>
  <c r="H5283" i="8"/>
  <c r="H5281" i="8"/>
  <c r="H5279" i="8"/>
  <c r="H5277" i="8"/>
  <c r="H5275" i="8"/>
  <c r="H5273" i="8"/>
  <c r="H5271" i="8"/>
  <c r="H5269" i="8"/>
  <c r="H5267" i="8"/>
  <c r="H5265" i="8"/>
  <c r="H5263" i="8"/>
  <c r="H5261" i="8"/>
  <c r="H5259" i="8"/>
  <c r="H5257" i="8"/>
  <c r="H5255" i="8"/>
  <c r="H5253" i="8"/>
  <c r="H5251" i="8"/>
  <c r="H5249" i="8"/>
  <c r="H5247" i="8"/>
  <c r="H5245" i="8"/>
  <c r="H5243" i="8"/>
  <c r="H5241" i="8"/>
  <c r="H5239" i="8"/>
  <c r="H5237" i="8"/>
  <c r="H5235" i="8"/>
  <c r="H5233" i="8"/>
  <c r="H5231" i="8"/>
  <c r="H5229" i="8"/>
  <c r="H5227" i="8"/>
  <c r="H5225" i="8"/>
  <c r="H5223" i="8"/>
  <c r="H5221" i="8"/>
  <c r="H5219" i="8"/>
  <c r="H5217" i="8"/>
  <c r="H5215" i="8"/>
  <c r="H5213" i="8"/>
  <c r="H5211" i="8"/>
  <c r="H5209" i="8"/>
  <c r="H5207" i="8"/>
  <c r="H5205" i="8"/>
  <c r="H5203" i="8"/>
  <c r="H5201" i="8"/>
  <c r="H5199" i="8"/>
  <c r="H5197" i="8"/>
  <c r="H5195" i="8"/>
  <c r="H5193" i="8"/>
  <c r="H5191" i="8"/>
  <c r="H5189" i="8"/>
  <c r="H5187" i="8"/>
  <c r="H5185" i="8"/>
  <c r="H5183" i="8"/>
  <c r="H5181" i="8"/>
  <c r="H5179" i="8"/>
  <c r="H5177" i="8"/>
  <c r="H5175" i="8"/>
  <c r="H5173" i="8"/>
  <c r="H5171" i="8"/>
  <c r="H5169" i="8"/>
  <c r="H5167" i="8"/>
  <c r="H5165" i="8"/>
  <c r="H5163" i="8"/>
  <c r="H5161" i="8"/>
  <c r="H5159" i="8"/>
  <c r="H5157" i="8"/>
  <c r="H5155" i="8"/>
  <c r="H5153" i="8"/>
  <c r="H5151" i="8"/>
  <c r="H5149" i="8"/>
  <c r="H5147" i="8"/>
  <c r="H5145" i="8"/>
  <c r="H5143" i="8"/>
  <c r="H5141" i="8"/>
  <c r="H5139" i="8"/>
  <c r="H5137" i="8"/>
  <c r="H5135" i="8"/>
  <c r="H5133" i="8"/>
  <c r="H5131" i="8"/>
  <c r="H5129" i="8"/>
  <c r="H5127" i="8"/>
  <c r="H5125" i="8"/>
  <c r="H5123" i="8"/>
  <c r="H5121" i="8"/>
  <c r="H5119" i="8"/>
  <c r="H5117" i="8"/>
  <c r="H5115" i="8"/>
  <c r="H5113" i="8"/>
  <c r="H5111" i="8"/>
  <c r="H5109" i="8"/>
  <c r="H5107" i="8"/>
  <c r="H5105" i="8"/>
  <c r="H5103" i="8"/>
  <c r="H5101" i="8"/>
  <c r="H5099" i="8"/>
  <c r="H5097" i="8"/>
  <c r="H5095" i="8"/>
  <c r="H5093" i="8"/>
  <c r="H5091" i="8"/>
  <c r="H5089" i="8"/>
  <c r="H5087" i="8"/>
  <c r="H5085" i="8"/>
  <c r="H5083" i="8"/>
  <c r="H5081" i="8"/>
  <c r="H5079" i="8"/>
  <c r="H5077" i="8"/>
  <c r="H5075" i="8"/>
  <c r="H5073" i="8"/>
  <c r="H5071" i="8"/>
  <c r="H5069" i="8"/>
  <c r="H5067" i="8"/>
  <c r="H5065" i="8"/>
  <c r="H5063" i="8"/>
  <c r="H5061" i="8"/>
  <c r="H5059" i="8"/>
  <c r="H5057" i="8"/>
  <c r="H5055" i="8"/>
  <c r="H5053" i="8"/>
  <c r="H5051" i="8"/>
  <c r="H5049" i="8"/>
  <c r="H5047" i="8"/>
  <c r="H5045" i="8"/>
  <c r="H5043" i="8"/>
  <c r="H5041" i="8"/>
  <c r="H5039" i="8"/>
  <c r="H5037" i="8"/>
  <c r="H5035" i="8"/>
  <c r="H5033" i="8"/>
  <c r="H5031" i="8"/>
  <c r="H5029" i="8"/>
  <c r="H5027" i="8"/>
  <c r="H5025" i="8"/>
  <c r="H5023" i="8"/>
  <c r="H5021" i="8"/>
  <c r="H5019" i="8"/>
  <c r="H5017" i="8"/>
  <c r="H5015" i="8"/>
  <c r="H5013" i="8"/>
  <c r="H5011" i="8"/>
  <c r="H5009" i="8"/>
  <c r="H5007" i="8"/>
  <c r="H5005" i="8"/>
  <c r="H5003" i="8"/>
  <c r="H5001" i="8"/>
  <c r="H4999" i="8"/>
  <c r="H4997" i="8"/>
  <c r="H4995" i="8"/>
  <c r="H4993" i="8"/>
  <c r="H4991" i="8"/>
  <c r="H4989" i="8"/>
  <c r="H4987" i="8"/>
  <c r="H4985" i="8"/>
  <c r="H4983" i="8"/>
  <c r="H4981" i="8"/>
  <c r="H4979" i="8"/>
  <c r="H4977" i="8"/>
  <c r="H4975" i="8"/>
  <c r="H4973" i="8"/>
  <c r="H4971" i="8"/>
  <c r="H4969" i="8"/>
  <c r="H4967" i="8"/>
  <c r="H4965" i="8"/>
  <c r="H4963" i="8"/>
  <c r="H4961" i="8"/>
  <c r="H4959" i="8"/>
  <c r="H4957" i="8"/>
  <c r="H4955" i="8"/>
  <c r="H4953" i="8"/>
  <c r="H4951" i="8"/>
  <c r="H4949" i="8"/>
  <c r="H4947" i="8"/>
  <c r="H4945" i="8"/>
  <c r="H4943" i="8"/>
  <c r="H4941" i="8"/>
  <c r="H4939" i="8"/>
  <c r="H4937" i="8"/>
  <c r="H4935" i="8"/>
  <c r="H4933" i="8"/>
  <c r="H4931" i="8"/>
  <c r="H4929" i="8"/>
  <c r="H4927" i="8"/>
  <c r="H4925" i="8"/>
  <c r="H4923" i="8"/>
  <c r="H4921" i="8"/>
  <c r="H4919" i="8"/>
  <c r="H4917" i="8"/>
  <c r="H4915" i="8"/>
  <c r="H4913" i="8"/>
  <c r="H4911" i="8"/>
  <c r="H4909" i="8"/>
  <c r="H4907" i="8"/>
  <c r="H4905" i="8"/>
  <c r="H4903" i="8"/>
  <c r="H4901" i="8"/>
  <c r="H4899" i="8"/>
  <c r="H4897" i="8"/>
  <c r="H4895" i="8"/>
  <c r="H4893" i="8"/>
  <c r="H4891" i="8"/>
  <c r="H4889" i="8"/>
  <c r="H4887" i="8"/>
  <c r="H4885" i="8"/>
  <c r="H4883" i="8"/>
  <c r="H4881" i="8"/>
  <c r="H4879" i="8"/>
  <c r="H4877" i="8"/>
  <c r="H4875" i="8"/>
  <c r="H4873" i="8"/>
  <c r="H4871" i="8"/>
  <c r="H4869" i="8"/>
  <c r="H4867" i="8"/>
  <c r="H4865" i="8"/>
  <c r="H4863" i="8"/>
  <c r="H4861" i="8"/>
  <c r="H4859" i="8"/>
  <c r="H4857" i="8"/>
  <c r="H4855" i="8"/>
  <c r="H4853" i="8"/>
  <c r="H4851" i="8"/>
  <c r="H4849" i="8"/>
  <c r="H4847" i="8"/>
  <c r="H4845" i="8"/>
  <c r="H4843" i="8"/>
  <c r="H4841" i="8"/>
  <c r="H4839" i="8"/>
  <c r="H4837" i="8"/>
  <c r="H4835" i="8"/>
  <c r="H4833" i="8"/>
  <c r="H4831" i="8"/>
  <c r="H4829" i="8"/>
  <c r="H4827" i="8"/>
  <c r="H4825" i="8"/>
  <c r="H4823" i="8"/>
  <c r="H4821" i="8"/>
  <c r="H4819" i="8"/>
  <c r="H4817" i="8"/>
  <c r="H4815" i="8"/>
  <c r="H4813" i="8"/>
  <c r="H4811" i="8"/>
  <c r="H4809" i="8"/>
  <c r="H4807" i="8"/>
  <c r="H4805" i="8"/>
  <c r="H4803" i="8"/>
  <c r="H4801" i="8"/>
  <c r="H4799" i="8"/>
  <c r="H4797" i="8"/>
  <c r="H4795" i="8"/>
  <c r="H4793" i="8"/>
  <c r="H4791" i="8"/>
  <c r="H4789" i="8"/>
  <c r="H4787" i="8"/>
  <c r="H4785" i="8"/>
  <c r="H4783" i="8"/>
  <c r="H4781" i="8"/>
  <c r="H4779" i="8"/>
  <c r="H4777" i="8"/>
  <c r="H4775" i="8"/>
  <c r="H4773" i="8"/>
  <c r="H4771" i="8"/>
  <c r="H4769" i="8"/>
  <c r="H4767" i="8"/>
  <c r="H4765" i="8"/>
  <c r="H4763" i="8"/>
  <c r="H4761" i="8"/>
  <c r="H4759" i="8"/>
  <c r="H4757" i="8"/>
  <c r="H4755" i="8"/>
  <c r="H4753" i="8"/>
  <c r="H4751" i="8"/>
  <c r="H4749" i="8"/>
  <c r="H4747" i="8"/>
  <c r="H4745" i="8"/>
  <c r="H4743" i="8"/>
  <c r="H4741" i="8"/>
  <c r="H4739" i="8"/>
  <c r="H4737" i="8"/>
  <c r="H4735" i="8"/>
  <c r="H4733" i="8"/>
  <c r="H4731" i="8"/>
  <c r="H4729" i="8"/>
  <c r="H4727" i="8"/>
  <c r="H4725" i="8"/>
  <c r="H4723" i="8"/>
  <c r="H4721" i="8"/>
  <c r="H4719" i="8"/>
  <c r="H4717" i="8"/>
  <c r="H4715" i="8"/>
  <c r="H4713" i="8"/>
  <c r="H4711" i="8"/>
  <c r="H4709" i="8"/>
  <c r="H4707" i="8"/>
  <c r="H4705" i="8"/>
  <c r="H4703" i="8"/>
  <c r="H4701" i="8"/>
  <c r="H4699" i="8"/>
  <c r="H4697" i="8"/>
  <c r="H4695" i="8"/>
  <c r="H4693" i="8"/>
  <c r="H4691" i="8"/>
  <c r="H4689" i="8"/>
  <c r="H4687" i="8"/>
  <c r="H4685" i="8"/>
  <c r="H4683" i="8"/>
  <c r="H4681" i="8"/>
  <c r="H4679" i="8"/>
  <c r="H4677" i="8"/>
  <c r="H4675" i="8"/>
  <c r="H4673" i="8"/>
  <c r="H4671" i="8"/>
  <c r="H4669" i="8"/>
  <c r="H4667" i="8"/>
  <c r="H4665" i="8"/>
  <c r="H4663" i="8"/>
  <c r="H4661" i="8"/>
  <c r="H4659" i="8"/>
  <c r="H4657" i="8"/>
  <c r="H4655" i="8"/>
  <c r="H4653" i="8"/>
  <c r="H4651" i="8"/>
  <c r="H4649" i="8"/>
  <c r="H4647" i="8"/>
  <c r="H4645" i="8"/>
  <c r="H4643" i="8"/>
  <c r="H4641" i="8"/>
  <c r="H4639" i="8"/>
  <c r="H4637" i="8"/>
  <c r="H4635" i="8"/>
  <c r="H4633" i="8"/>
  <c r="H4631" i="8"/>
  <c r="H4629" i="8"/>
  <c r="H4627" i="8"/>
  <c r="H4625" i="8"/>
  <c r="H4623" i="8"/>
  <c r="H4621" i="8"/>
  <c r="H4619" i="8"/>
  <c r="H4617" i="8"/>
  <c r="H4615" i="8"/>
  <c r="H4613" i="8"/>
  <c r="H4611" i="8"/>
  <c r="H4609" i="8"/>
  <c r="H4607" i="8"/>
  <c r="H4605" i="8"/>
  <c r="H4603" i="8"/>
  <c r="H4601" i="8"/>
  <c r="H4599" i="8"/>
  <c r="H4597" i="8"/>
  <c r="H4595" i="8"/>
  <c r="H4593" i="8"/>
  <c r="H4591" i="8"/>
  <c r="H4589" i="8"/>
  <c r="H4587" i="8"/>
  <c r="H4585" i="8"/>
  <c r="H4583" i="8"/>
  <c r="H4581" i="8"/>
  <c r="H4579" i="8"/>
  <c r="H4577" i="8"/>
  <c r="H4575" i="8"/>
  <c r="H4573" i="8"/>
  <c r="H4571" i="8"/>
  <c r="H4569" i="8"/>
  <c r="H4567" i="8"/>
  <c r="H4565" i="8"/>
  <c r="H4563" i="8"/>
  <c r="H4561" i="8"/>
  <c r="H4559" i="8"/>
  <c r="H4557" i="8"/>
  <c r="H4555" i="8"/>
  <c r="H4553" i="8"/>
  <c r="H4551" i="8"/>
  <c r="H4549" i="8"/>
  <c r="H4547" i="8"/>
  <c r="H4545" i="8"/>
  <c r="H4543" i="8"/>
  <c r="H4541" i="8"/>
  <c r="H4539" i="8"/>
  <c r="H4537" i="8"/>
  <c r="H4535" i="8"/>
  <c r="H4533" i="8"/>
  <c r="H4531" i="8"/>
  <c r="H4529" i="8"/>
  <c r="H4527" i="8"/>
  <c r="H4525" i="8"/>
  <c r="H4523" i="8"/>
  <c r="H4521" i="8"/>
  <c r="H4519" i="8"/>
  <c r="H4517" i="8"/>
  <c r="H4515" i="8"/>
  <c r="H4513" i="8"/>
  <c r="H4511" i="8"/>
  <c r="H4509" i="8"/>
  <c r="H4507" i="8"/>
  <c r="H4505" i="8"/>
  <c r="H4503" i="8"/>
  <c r="H4501" i="8"/>
  <c r="H4499" i="8"/>
  <c r="H4497" i="8"/>
  <c r="H4495" i="8"/>
  <c r="H4493" i="8"/>
  <c r="H4491" i="8"/>
  <c r="H4489" i="8"/>
  <c r="H4487" i="8"/>
  <c r="H4485" i="8"/>
  <c r="H4483" i="8"/>
  <c r="H4481" i="8"/>
  <c r="H4479" i="8"/>
  <c r="H4477" i="8"/>
  <c r="H4475" i="8"/>
  <c r="H4473" i="8"/>
  <c r="H4471" i="8"/>
  <c r="H4469" i="8"/>
  <c r="H4467" i="8"/>
  <c r="H4465" i="8"/>
  <c r="H4463" i="8"/>
  <c r="H4461" i="8"/>
  <c r="H4459" i="8"/>
  <c r="H4457" i="8"/>
  <c r="H4455" i="8"/>
  <c r="H4453" i="8"/>
  <c r="H4451" i="8"/>
  <c r="H4449" i="8"/>
  <c r="H4447" i="8"/>
  <c r="H4445" i="8"/>
  <c r="H4443" i="8"/>
  <c r="H4441" i="8"/>
  <c r="H4439" i="8"/>
  <c r="H4437" i="8"/>
  <c r="H4435" i="8"/>
  <c r="H4433" i="8"/>
  <c r="H4431" i="8"/>
  <c r="H4429" i="8"/>
  <c r="H4427" i="8"/>
  <c r="H4425" i="8"/>
  <c r="H4423" i="8"/>
  <c r="H4421" i="8"/>
  <c r="H4419" i="8"/>
  <c r="H4417" i="8"/>
  <c r="H4415" i="8"/>
  <c r="H4413" i="8"/>
  <c r="H4411" i="8"/>
  <c r="H4409" i="8"/>
  <c r="H4407" i="8"/>
  <c r="H4405" i="8"/>
  <c r="H4403" i="8"/>
  <c r="H4401" i="8"/>
  <c r="H4399" i="8"/>
  <c r="H4397" i="8"/>
  <c r="H4395" i="8"/>
  <c r="H4393" i="8"/>
  <c r="H4391" i="8"/>
  <c r="H4389" i="8"/>
  <c r="H4387" i="8"/>
  <c r="H4385" i="8"/>
  <c r="H4383" i="8"/>
  <c r="H4381" i="8"/>
  <c r="H4379" i="8"/>
  <c r="H4377" i="8"/>
  <c r="H4375" i="8"/>
  <c r="H4373" i="8"/>
  <c r="H4371" i="8"/>
  <c r="H4369" i="8"/>
  <c r="H4367" i="8"/>
  <c r="H4365" i="8"/>
  <c r="H4363" i="8"/>
  <c r="H4361" i="8"/>
  <c r="H4359" i="8"/>
  <c r="H4357" i="8"/>
  <c r="H4355" i="8"/>
  <c r="H4353" i="8"/>
  <c r="H4351" i="8"/>
  <c r="H4349" i="8"/>
  <c r="H4347" i="8"/>
  <c r="H4345" i="8"/>
  <c r="H4343" i="8"/>
  <c r="H4341" i="8"/>
  <c r="H4339" i="8"/>
  <c r="H4337" i="8"/>
  <c r="H4335" i="8"/>
  <c r="H4333" i="8"/>
  <c r="H4331" i="8"/>
  <c r="H4329" i="8"/>
  <c r="H4327" i="8"/>
  <c r="H4325" i="8"/>
  <c r="H4323" i="8"/>
  <c r="H4321" i="8"/>
  <c r="H4319" i="8"/>
  <c r="H4317" i="8"/>
  <c r="H4315" i="8"/>
  <c r="H4313" i="8"/>
  <c r="H4311" i="8"/>
  <c r="H4309" i="8"/>
  <c r="H4307" i="8"/>
  <c r="H4305" i="8"/>
  <c r="H4303" i="8"/>
  <c r="H4301" i="8"/>
  <c r="H4299" i="8"/>
  <c r="H4297" i="8"/>
  <c r="H4295" i="8"/>
  <c r="H4293" i="8"/>
  <c r="H4291" i="8"/>
  <c r="H4289" i="8"/>
  <c r="H4287" i="8"/>
  <c r="H4285" i="8"/>
  <c r="H4283" i="8"/>
  <c r="H4281" i="8"/>
  <c r="H4279" i="8"/>
  <c r="H4277" i="8"/>
  <c r="H4275" i="8"/>
  <c r="H4273" i="8"/>
  <c r="H4271" i="8"/>
  <c r="H4269" i="8"/>
  <c r="H4267" i="8"/>
  <c r="H4265" i="8"/>
  <c r="H4263" i="8"/>
  <c r="H4261" i="8"/>
  <c r="H4259" i="8"/>
  <c r="H4257" i="8"/>
  <c r="H4255" i="8"/>
  <c r="H4253" i="8"/>
  <c r="H5620" i="8"/>
  <c r="H5616" i="8"/>
  <c r="H5612" i="8"/>
  <c r="H5608" i="8"/>
  <c r="H5604" i="8"/>
  <c r="H5600" i="8"/>
  <c r="H5596" i="8"/>
  <c r="H5592" i="8"/>
  <c r="H5588" i="8"/>
  <c r="H5584" i="8"/>
  <c r="H5580" i="8"/>
  <c r="H5576" i="8"/>
  <c r="H5572" i="8"/>
  <c r="H5568" i="8"/>
  <c r="H5564" i="8"/>
  <c r="H5560" i="8"/>
  <c r="H5556" i="8"/>
  <c r="H5552" i="8"/>
  <c r="H5548" i="8"/>
  <c r="H5544" i="8"/>
  <c r="H5540" i="8"/>
  <c r="H5536" i="8"/>
  <c r="H5532" i="8"/>
  <c r="H5528" i="8"/>
  <c r="H5524" i="8"/>
  <c r="H5520" i="8"/>
  <c r="H5516" i="8"/>
  <c r="H5512" i="8"/>
  <c r="H5508" i="8"/>
  <c r="H5504" i="8"/>
  <c r="H5500" i="8"/>
  <c r="H5496" i="8"/>
  <c r="H5492" i="8"/>
  <c r="H5488" i="8"/>
  <c r="H5484" i="8"/>
  <c r="H5480" i="8"/>
  <c r="H5476" i="8"/>
  <c r="H5472" i="8"/>
  <c r="H5468" i="8"/>
  <c r="H5464" i="8"/>
  <c r="H5460" i="8"/>
  <c r="H5456" i="8"/>
  <c r="H5452" i="8"/>
  <c r="H5448" i="8"/>
  <c r="H5444" i="8"/>
  <c r="H5440" i="8"/>
  <c r="H5436" i="8"/>
  <c r="H5432" i="8"/>
  <c r="H5428" i="8"/>
  <c r="H5424" i="8"/>
  <c r="H5420" i="8"/>
  <c r="H5416" i="8"/>
  <c r="H5412" i="8"/>
  <c r="H5408" i="8"/>
  <c r="H5404" i="8"/>
  <c r="H5400" i="8"/>
  <c r="H5396" i="8"/>
  <c r="H5392" i="8"/>
  <c r="H5388" i="8"/>
  <c r="H5384" i="8"/>
  <c r="H5380" i="8"/>
  <c r="H5376" i="8"/>
  <c r="H5372" i="8"/>
  <c r="H5368" i="8"/>
  <c r="H5364" i="8"/>
  <c r="H5360" i="8"/>
  <c r="H5356" i="8"/>
  <c r="H5352" i="8"/>
  <c r="H5348" i="8"/>
  <c r="H5344" i="8"/>
  <c r="H5340" i="8"/>
  <c r="H5336" i="8"/>
  <c r="H5332" i="8"/>
  <c r="H5328" i="8"/>
  <c r="H5324" i="8"/>
  <c r="H5320" i="8"/>
  <c r="H5316" i="8"/>
  <c r="H5312" i="8"/>
  <c r="H5308" i="8"/>
  <c r="H5304" i="8"/>
  <c r="H5300" i="8"/>
  <c r="H5296" i="8"/>
  <c r="H5292" i="8"/>
  <c r="H5288" i="8"/>
  <c r="H5284" i="8"/>
  <c r="H5280" i="8"/>
  <c r="H5276" i="8"/>
  <c r="H5272" i="8"/>
  <c r="H5268" i="8"/>
  <c r="H5264" i="8"/>
  <c r="H5260" i="8"/>
  <c r="H5256" i="8"/>
  <c r="H5252" i="8"/>
  <c r="H5248" i="8"/>
  <c r="H5244" i="8"/>
  <c r="H5240" i="8"/>
  <c r="H5236" i="8"/>
  <c r="H5232" i="8"/>
  <c r="H5228" i="8"/>
  <c r="H5224" i="8"/>
  <c r="H5220" i="8"/>
  <c r="H5216" i="8"/>
  <c r="H5212" i="8"/>
  <c r="H5208" i="8"/>
  <c r="H5204" i="8"/>
  <c r="H5200" i="8"/>
  <c r="H5196" i="8"/>
  <c r="H5192" i="8"/>
  <c r="H5188" i="8"/>
  <c r="H5184" i="8"/>
  <c r="H5180" i="8"/>
  <c r="H5176" i="8"/>
  <c r="H5172" i="8"/>
  <c r="H5168" i="8"/>
  <c r="H5164" i="8"/>
  <c r="H5160" i="8"/>
  <c r="H5156" i="8"/>
  <c r="H5152" i="8"/>
  <c r="H5148" i="8"/>
  <c r="H5144" i="8"/>
  <c r="H5140" i="8"/>
  <c r="H5136" i="8"/>
  <c r="H5132" i="8"/>
  <c r="H5128" i="8"/>
  <c r="H5124" i="8"/>
  <c r="H5120" i="8"/>
  <c r="H5116" i="8"/>
  <c r="H5112" i="8"/>
  <c r="H5108" i="8"/>
  <c r="H5104" i="8"/>
  <c r="H5100" i="8"/>
  <c r="H5096" i="8"/>
  <c r="H5092" i="8"/>
  <c r="H5088" i="8"/>
  <c r="H5084" i="8"/>
  <c r="H5080" i="8"/>
  <c r="H5076" i="8"/>
  <c r="H5072" i="8"/>
  <c r="H5068" i="8"/>
  <c r="H5064" i="8"/>
  <c r="H5060" i="8"/>
  <c r="H5056" i="8"/>
  <c r="H5052" i="8"/>
  <c r="H5048" i="8"/>
  <c r="H5044" i="8"/>
  <c r="H5040" i="8"/>
  <c r="H5036" i="8"/>
  <c r="H5032" i="8"/>
  <c r="H5028" i="8"/>
  <c r="H5024" i="8"/>
  <c r="H5020" i="8"/>
  <c r="H5016" i="8"/>
  <c r="H5012" i="8"/>
  <c r="H5008" i="8"/>
  <c r="H5004" i="8"/>
  <c r="H5000" i="8"/>
  <c r="H4996" i="8"/>
  <c r="H4992" i="8"/>
  <c r="H4988" i="8"/>
  <c r="H4984" i="8"/>
  <c r="H4980" i="8"/>
  <c r="H4976" i="8"/>
  <c r="H4972" i="8"/>
  <c r="H4968" i="8"/>
  <c r="H4964" i="8"/>
  <c r="H4960" i="8"/>
  <c r="H4956" i="8"/>
  <c r="H4952" i="8"/>
  <c r="H4948" i="8"/>
  <c r="H4944" i="8"/>
  <c r="H4940" i="8"/>
  <c r="H4936" i="8"/>
  <c r="H4932" i="8"/>
  <c r="H4928" i="8"/>
  <c r="H4924" i="8"/>
  <c r="H4920" i="8"/>
  <c r="H4916" i="8"/>
  <c r="H4912" i="8"/>
  <c r="H4908" i="8"/>
  <c r="H4904" i="8"/>
  <c r="H4900" i="8"/>
  <c r="H4896" i="8"/>
  <c r="H4892" i="8"/>
  <c r="H4888" i="8"/>
  <c r="H4884" i="8"/>
  <c r="H4880" i="8"/>
  <c r="H4876" i="8"/>
  <c r="H4872" i="8"/>
  <c r="H4868" i="8"/>
  <c r="H4864" i="8"/>
  <c r="H4860" i="8"/>
  <c r="H4856" i="8"/>
  <c r="H4852" i="8"/>
  <c r="H4848" i="8"/>
  <c r="H4844" i="8"/>
  <c r="H4840" i="8"/>
  <c r="H4836" i="8"/>
  <c r="H4832" i="8"/>
  <c r="H4828" i="8"/>
  <c r="H4824" i="8"/>
  <c r="H4820" i="8"/>
  <c r="H4816" i="8"/>
  <c r="H4812" i="8"/>
  <c r="H4808" i="8"/>
  <c r="H4804" i="8"/>
  <c r="H4800" i="8"/>
  <c r="H4796" i="8"/>
  <c r="H4792" i="8"/>
  <c r="H4788" i="8"/>
  <c r="H4784" i="8"/>
  <c r="H4780" i="8"/>
  <c r="H4776" i="8"/>
  <c r="H4772" i="8"/>
  <c r="H4768" i="8"/>
  <c r="H4764" i="8"/>
  <c r="H4760" i="8"/>
  <c r="H4756" i="8"/>
  <c r="H4752" i="8"/>
  <c r="H4748" i="8"/>
  <c r="H4744" i="8"/>
  <c r="H4740" i="8"/>
  <c r="H4736" i="8"/>
  <c r="H4732" i="8"/>
  <c r="H4728" i="8"/>
  <c r="H4724" i="8"/>
  <c r="H4720" i="8"/>
  <c r="H4716" i="8"/>
  <c r="H4712" i="8"/>
  <c r="H4708" i="8"/>
  <c r="H4704" i="8"/>
  <c r="H4700" i="8"/>
  <c r="H4696" i="8"/>
  <c r="H4692" i="8"/>
  <c r="H4688" i="8"/>
  <c r="H4684" i="8"/>
  <c r="H4680" i="8"/>
  <c r="H4676" i="8"/>
  <c r="H4672" i="8"/>
  <c r="H4668" i="8"/>
  <c r="H4664" i="8"/>
  <c r="H4660" i="8"/>
  <c r="H4656" i="8"/>
  <c r="H4652" i="8"/>
  <c r="H4648" i="8"/>
  <c r="H4644" i="8"/>
  <c r="H4640" i="8"/>
  <c r="H4636" i="8"/>
  <c r="H4632" i="8"/>
  <c r="H4628" i="8"/>
  <c r="H4624" i="8"/>
  <c r="H4620" i="8"/>
  <c r="H4616" i="8"/>
  <c r="H4612" i="8"/>
  <c r="H4608" i="8"/>
  <c r="H4604" i="8"/>
  <c r="H4600" i="8"/>
  <c r="H4596" i="8"/>
  <c r="H4592" i="8"/>
  <c r="H4588" i="8"/>
  <c r="H4584" i="8"/>
  <c r="H4580" i="8"/>
  <c r="H4576" i="8"/>
  <c r="H4572" i="8"/>
  <c r="H4568" i="8"/>
  <c r="H4564" i="8"/>
  <c r="H4560" i="8"/>
  <c r="H4556" i="8"/>
  <c r="H4552" i="8"/>
  <c r="H4548" i="8"/>
  <c r="H4544" i="8"/>
  <c r="H4540" i="8"/>
  <c r="H4536" i="8"/>
  <c r="H4532" i="8"/>
  <c r="H4528" i="8"/>
  <c r="H4524" i="8"/>
  <c r="H4520" i="8"/>
  <c r="H4516" i="8"/>
  <c r="H4512" i="8"/>
  <c r="H4508" i="8"/>
  <c r="H4504" i="8"/>
  <c r="H4500" i="8"/>
  <c r="H4496" i="8"/>
  <c r="H4492" i="8"/>
  <c r="H4488" i="8"/>
  <c r="H4484" i="8"/>
  <c r="H4480" i="8"/>
  <c r="H4476" i="8"/>
  <c r="H4472" i="8"/>
  <c r="H4468" i="8"/>
  <c r="H4464" i="8"/>
  <c r="H4460" i="8"/>
  <c r="H4456" i="8"/>
  <c r="H4452" i="8"/>
  <c r="H4448" i="8"/>
  <c r="H4444" i="8"/>
  <c r="H4440" i="8"/>
  <c r="H4436" i="8"/>
  <c r="H4432" i="8"/>
  <c r="H4428" i="8"/>
  <c r="H4424" i="8"/>
  <c r="H4420" i="8"/>
  <c r="H4416" i="8"/>
  <c r="H4412" i="8"/>
  <c r="H4408" i="8"/>
  <c r="H4404" i="8"/>
  <c r="H4400" i="8"/>
  <c r="H4396" i="8"/>
  <c r="H4392" i="8"/>
  <c r="H4388" i="8"/>
  <c r="H4384" i="8"/>
  <c r="H4380" i="8"/>
  <c r="H4376" i="8"/>
  <c r="H4372" i="8"/>
  <c r="H4368" i="8"/>
  <c r="H4364" i="8"/>
  <c r="H4360" i="8"/>
  <c r="H4356" i="8"/>
  <c r="H4352" i="8"/>
  <c r="H4348" i="8"/>
  <c r="H4344" i="8"/>
  <c r="H4340" i="8"/>
  <c r="H4336" i="8"/>
  <c r="H4332" i="8"/>
  <c r="H4328" i="8"/>
  <c r="H4324" i="8"/>
  <c r="H4320" i="8"/>
  <c r="H4316" i="8"/>
  <c r="H4312" i="8"/>
  <c r="H4308" i="8"/>
  <c r="H4304" i="8"/>
  <c r="H4300" i="8"/>
  <c r="H4296" i="8"/>
  <c r="H4292" i="8"/>
  <c r="H4288" i="8"/>
  <c r="H4284" i="8"/>
  <c r="H4280" i="8"/>
  <c r="H4276" i="8"/>
  <c r="H4272" i="8"/>
  <c r="H4268" i="8"/>
  <c r="H4264" i="8"/>
  <c r="H4260" i="8"/>
  <c r="H4256" i="8"/>
  <c r="H4252" i="8"/>
  <c r="H4250" i="8"/>
  <c r="H4248" i="8"/>
  <c r="H4246" i="8"/>
  <c r="H4244" i="8"/>
  <c r="H4242" i="8"/>
  <c r="H4240" i="8"/>
  <c r="H4238" i="8"/>
  <c r="H4236" i="8"/>
  <c r="H4234" i="8"/>
  <c r="H4232" i="8"/>
  <c r="H4230" i="8"/>
  <c r="H4228" i="8"/>
  <c r="H4226" i="8"/>
  <c r="H4224" i="8"/>
  <c r="H4222" i="8"/>
  <c r="H4220" i="8"/>
  <c r="H4218" i="8"/>
  <c r="H4216" i="8"/>
  <c r="H4214" i="8"/>
  <c r="H4212" i="8"/>
  <c r="H4210" i="8"/>
  <c r="H4208" i="8"/>
  <c r="H4206" i="8"/>
  <c r="H4204" i="8"/>
  <c r="H4202" i="8"/>
  <c r="H4200" i="8"/>
  <c r="H4198" i="8"/>
  <c r="H4196" i="8"/>
  <c r="H4194" i="8"/>
  <c r="H4192" i="8"/>
  <c r="H4190" i="8"/>
  <c r="H4188" i="8"/>
  <c r="H4186" i="8"/>
  <c r="H4184" i="8"/>
  <c r="H4182" i="8"/>
  <c r="H4180" i="8"/>
  <c r="H4178" i="8"/>
  <c r="H4176" i="8"/>
  <c r="H4174" i="8"/>
  <c r="H4172" i="8"/>
  <c r="H4170" i="8"/>
  <c r="H4168" i="8"/>
  <c r="H4166" i="8"/>
  <c r="H4164" i="8"/>
  <c r="H4162" i="8"/>
  <c r="H4160" i="8"/>
  <c r="H4158" i="8"/>
  <c r="H4156" i="8"/>
  <c r="H4154" i="8"/>
  <c r="H4152" i="8"/>
  <c r="H4150" i="8"/>
  <c r="H4148" i="8"/>
  <c r="H4146" i="8"/>
  <c r="H4144" i="8"/>
  <c r="H4142" i="8"/>
  <c r="H4140" i="8"/>
  <c r="H4138" i="8"/>
  <c r="H4136" i="8"/>
  <c r="H4134" i="8"/>
  <c r="H4132" i="8"/>
  <c r="H4130" i="8"/>
  <c r="H4128" i="8"/>
  <c r="H4126" i="8"/>
  <c r="H4124" i="8"/>
  <c r="H4122" i="8"/>
  <c r="H4120" i="8"/>
  <c r="H4118" i="8"/>
  <c r="H4116" i="8"/>
  <c r="H4114" i="8"/>
  <c r="H4112" i="8"/>
  <c r="H4110" i="8"/>
  <c r="H4108" i="8"/>
  <c r="H4106" i="8"/>
  <c r="H4104" i="8"/>
  <c r="H4102" i="8"/>
  <c r="H4100" i="8"/>
  <c r="H4098" i="8"/>
  <c r="H4096" i="8"/>
  <c r="H4094" i="8"/>
  <c r="H4092" i="8"/>
  <c r="H4090" i="8"/>
  <c r="H4088" i="8"/>
  <c r="H4086" i="8"/>
  <c r="H4084" i="8"/>
  <c r="H4082" i="8"/>
  <c r="H4080" i="8"/>
  <c r="H4078" i="8"/>
  <c r="H4076" i="8"/>
  <c r="H4074" i="8"/>
  <c r="H4072" i="8"/>
  <c r="H4070" i="8"/>
  <c r="H4068" i="8"/>
  <c r="H4066" i="8"/>
  <c r="H4064" i="8"/>
  <c r="H4062" i="8"/>
  <c r="H4060" i="8"/>
  <c r="H4058" i="8"/>
  <c r="H4056" i="8"/>
  <c r="H4054" i="8"/>
  <c r="H4052" i="8"/>
  <c r="H4050" i="8"/>
  <c r="H4048" i="8"/>
  <c r="H4046" i="8"/>
  <c r="H4044" i="8"/>
  <c r="H4042" i="8"/>
  <c r="H4040" i="8"/>
  <c r="H4038" i="8"/>
  <c r="H4036" i="8"/>
  <c r="H4034" i="8"/>
  <c r="H4032" i="8"/>
  <c r="H4030" i="8"/>
  <c r="H4028" i="8"/>
  <c r="H4026" i="8"/>
  <c r="H4024" i="8"/>
  <c r="H4022" i="8"/>
  <c r="H4020" i="8"/>
  <c r="H4018" i="8"/>
  <c r="H4016" i="8"/>
  <c r="H4014" i="8"/>
  <c r="H4012" i="8"/>
  <c r="H4010" i="8"/>
  <c r="H4008" i="8"/>
  <c r="H4006" i="8"/>
  <c r="H4004" i="8"/>
  <c r="H4002" i="8"/>
  <c r="H4000" i="8"/>
  <c r="H3998" i="8"/>
  <c r="H3996" i="8"/>
  <c r="H3994" i="8"/>
  <c r="H3992" i="8"/>
  <c r="H3990" i="8"/>
  <c r="H3988" i="8"/>
  <c r="H3986" i="8"/>
  <c r="H3984" i="8"/>
  <c r="H3982" i="8"/>
  <c r="H3980" i="8"/>
  <c r="H3978" i="8"/>
  <c r="H3976" i="8"/>
  <c r="H3974" i="8"/>
  <c r="H3972" i="8"/>
  <c r="H3970" i="8"/>
  <c r="H3968" i="8"/>
  <c r="H3966" i="8"/>
  <c r="H3964" i="8"/>
  <c r="H3962" i="8"/>
  <c r="H3960" i="8"/>
  <c r="H3958" i="8"/>
  <c r="H3956" i="8"/>
  <c r="H3954" i="8"/>
  <c r="H3952" i="8"/>
  <c r="H3950" i="8"/>
  <c r="H3948" i="8"/>
  <c r="H3946" i="8"/>
  <c r="H3944" i="8"/>
  <c r="H3942" i="8"/>
  <c r="H3940" i="8"/>
  <c r="H3938" i="8"/>
  <c r="H3936" i="8"/>
  <c r="H3934" i="8"/>
  <c r="H3932" i="8"/>
  <c r="H3930" i="8"/>
  <c r="H3928" i="8"/>
  <c r="H3926" i="8"/>
  <c r="H3924" i="8"/>
  <c r="H3922" i="8"/>
  <c r="H3920" i="8"/>
  <c r="H3918" i="8"/>
  <c r="H3916" i="8"/>
  <c r="H3914" i="8"/>
  <c r="H3912" i="8"/>
  <c r="H3910" i="8"/>
  <c r="H3908" i="8"/>
  <c r="H3906" i="8"/>
  <c r="H3904" i="8"/>
  <c r="H3902" i="8"/>
  <c r="H3900" i="8"/>
  <c r="H3898" i="8"/>
  <c r="H3896" i="8"/>
  <c r="H3894" i="8"/>
  <c r="H3892" i="8"/>
  <c r="H3890" i="8"/>
  <c r="H3888" i="8"/>
  <c r="H3886" i="8"/>
  <c r="H3884" i="8"/>
  <c r="H3882" i="8"/>
  <c r="H3880" i="8"/>
  <c r="H3878" i="8"/>
  <c r="H3876" i="8"/>
  <c r="H3874" i="8"/>
  <c r="H3872" i="8"/>
  <c r="H3870" i="8"/>
  <c r="H3868" i="8"/>
  <c r="H3866" i="8"/>
  <c r="H3864" i="8"/>
  <c r="H3862" i="8"/>
  <c r="H3860" i="8"/>
  <c r="H3858" i="8"/>
  <c r="H3856" i="8"/>
  <c r="H3854" i="8"/>
  <c r="H3852" i="8"/>
  <c r="H3850" i="8"/>
  <c r="H3848" i="8"/>
  <c r="H3846" i="8"/>
  <c r="H3844" i="8"/>
  <c r="H3842" i="8"/>
  <c r="H3840" i="8"/>
  <c r="H3838" i="8"/>
  <c r="H3836" i="8"/>
  <c r="H3834" i="8"/>
  <c r="H3832" i="8"/>
  <c r="H3830" i="8"/>
  <c r="H3828" i="8"/>
  <c r="H3826" i="8"/>
  <c r="H3824" i="8"/>
  <c r="H3822" i="8"/>
  <c r="H3820" i="8"/>
  <c r="H3818" i="8"/>
  <c r="H3816" i="8"/>
  <c r="H3814" i="8"/>
  <c r="H3812" i="8"/>
  <c r="H3810" i="8"/>
  <c r="H3808" i="8"/>
  <c r="H3806" i="8"/>
  <c r="H3804" i="8"/>
  <c r="H3802" i="8"/>
  <c r="H3800" i="8"/>
  <c r="H3798" i="8"/>
  <c r="H3796" i="8"/>
  <c r="H3794" i="8"/>
  <c r="H3792" i="8"/>
  <c r="H3790" i="8"/>
  <c r="H3788" i="8"/>
  <c r="H3786" i="8"/>
  <c r="H3784" i="8"/>
  <c r="H3782" i="8"/>
  <c r="H3780" i="8"/>
  <c r="H3778" i="8"/>
  <c r="H3776" i="8"/>
  <c r="H3774" i="8"/>
  <c r="H3772" i="8"/>
  <c r="H3770" i="8"/>
  <c r="H3768" i="8"/>
  <c r="H3766" i="8"/>
  <c r="H3764" i="8"/>
  <c r="H3762" i="8"/>
  <c r="H3760" i="8"/>
  <c r="H3758" i="8"/>
  <c r="H3756" i="8"/>
  <c r="H3754" i="8"/>
  <c r="H3752" i="8"/>
  <c r="H3750" i="8"/>
  <c r="H3748" i="8"/>
  <c r="H3746" i="8"/>
  <c r="H3744" i="8"/>
  <c r="H3742" i="8"/>
  <c r="H3740" i="8"/>
  <c r="H3738" i="8"/>
  <c r="H3736" i="8"/>
  <c r="H3734" i="8"/>
  <c r="H3732" i="8"/>
  <c r="H3730" i="8"/>
  <c r="H3728" i="8"/>
  <c r="H3726" i="8"/>
  <c r="H3724" i="8"/>
  <c r="H3722" i="8"/>
  <c r="H3720" i="8"/>
  <c r="H3718" i="8"/>
  <c r="H3716" i="8"/>
  <c r="H3714" i="8"/>
  <c r="H3712" i="8"/>
  <c r="H3710" i="8"/>
  <c r="H3708" i="8"/>
  <c r="H3706" i="8"/>
  <c r="H3704" i="8"/>
  <c r="H3702" i="8"/>
  <c r="H3700" i="8"/>
  <c r="H3698" i="8"/>
  <c r="H3696" i="8"/>
  <c r="H3694" i="8"/>
  <c r="H3692" i="8"/>
  <c r="H3690" i="8"/>
  <c r="H3688" i="8"/>
  <c r="H3686" i="8"/>
  <c r="H3684" i="8"/>
  <c r="H3682" i="8"/>
  <c r="H3680" i="8"/>
  <c r="H3678" i="8"/>
  <c r="H3676" i="8"/>
  <c r="H3674" i="8"/>
  <c r="H3672" i="8"/>
  <c r="H3670" i="8"/>
  <c r="H3668" i="8"/>
  <c r="H3666" i="8"/>
  <c r="H3664" i="8"/>
  <c r="H3662" i="8"/>
  <c r="H3660" i="8"/>
  <c r="H3658" i="8"/>
  <c r="H3656" i="8"/>
  <c r="H3654" i="8"/>
  <c r="H3652" i="8"/>
  <c r="H3650" i="8"/>
  <c r="H3648" i="8"/>
  <c r="H3646" i="8"/>
  <c r="H3644" i="8"/>
  <c r="H3642" i="8"/>
  <c r="H3640" i="8"/>
  <c r="H3638" i="8"/>
  <c r="H3636" i="8"/>
  <c r="H3634" i="8"/>
  <c r="H3632" i="8"/>
  <c r="H3630" i="8"/>
  <c r="H3628" i="8"/>
  <c r="H3626" i="8"/>
  <c r="H3624" i="8"/>
  <c r="H3622" i="8"/>
  <c r="H3620" i="8"/>
  <c r="H3618" i="8"/>
  <c r="H3616" i="8"/>
  <c r="H3614" i="8"/>
  <c r="H3612" i="8"/>
  <c r="H3610" i="8"/>
  <c r="H3608" i="8"/>
  <c r="H3606" i="8"/>
  <c r="H3604" i="8"/>
  <c r="H3602" i="8"/>
  <c r="H3600" i="8"/>
  <c r="H3598" i="8"/>
  <c r="H3596" i="8"/>
  <c r="H3594" i="8"/>
  <c r="H3592" i="8"/>
  <c r="H3590" i="8"/>
  <c r="H3588" i="8"/>
  <c r="H3586" i="8"/>
  <c r="H3584" i="8"/>
  <c r="H3582" i="8"/>
  <c r="H3580" i="8"/>
  <c r="H3578" i="8"/>
  <c r="H3576" i="8"/>
  <c r="H3574" i="8"/>
  <c r="H3572" i="8"/>
  <c r="H3570" i="8"/>
  <c r="H3568" i="8"/>
  <c r="H3566" i="8"/>
  <c r="H3564" i="8"/>
  <c r="H3562" i="8"/>
  <c r="H3560" i="8"/>
  <c r="H3558" i="8"/>
  <c r="H3556" i="8"/>
  <c r="H3554" i="8"/>
  <c r="H3552" i="8"/>
  <c r="H3550" i="8"/>
  <c r="H3548" i="8"/>
  <c r="H3546" i="8"/>
  <c r="H3544" i="8"/>
  <c r="H3542" i="8"/>
  <c r="H3540" i="8"/>
  <c r="H3538" i="8"/>
  <c r="H3536" i="8"/>
  <c r="H3534" i="8"/>
  <c r="H3532" i="8"/>
  <c r="H3530" i="8"/>
  <c r="H3528" i="8"/>
  <c r="H3526" i="8"/>
  <c r="H3524" i="8"/>
  <c r="H3522" i="8"/>
  <c r="H3520" i="8"/>
  <c r="H3518" i="8"/>
  <c r="H3516" i="8"/>
  <c r="H3514" i="8"/>
  <c r="H3512" i="8"/>
  <c r="H3510" i="8"/>
  <c r="H3508" i="8"/>
  <c r="H3506" i="8"/>
  <c r="H3504" i="8"/>
  <c r="H3502" i="8"/>
  <c r="H3500" i="8"/>
  <c r="H3498" i="8"/>
  <c r="H3496" i="8"/>
  <c r="H3494" i="8"/>
  <c r="H3492" i="8"/>
  <c r="H3490" i="8"/>
  <c r="H3488" i="8"/>
  <c r="H3486" i="8"/>
  <c r="H3484" i="8"/>
  <c r="H3482" i="8"/>
  <c r="H3480" i="8"/>
  <c r="H3478" i="8"/>
  <c r="H3476" i="8"/>
  <c r="H3474" i="8"/>
  <c r="H3472" i="8"/>
  <c r="H3470" i="8"/>
  <c r="H3468" i="8"/>
  <c r="H3466" i="8"/>
  <c r="H3464" i="8"/>
  <c r="H3462" i="8"/>
  <c r="H3460" i="8"/>
  <c r="H3458" i="8"/>
  <c r="H3456" i="8"/>
  <c r="H3454" i="8"/>
  <c r="H3452" i="8"/>
  <c r="H3450" i="8"/>
  <c r="H3448" i="8"/>
  <c r="H3446" i="8"/>
  <c r="H3444" i="8"/>
  <c r="H3442" i="8"/>
  <c r="H3440" i="8"/>
  <c r="H3438" i="8"/>
  <c r="H3436" i="8"/>
  <c r="H3434" i="8"/>
  <c r="H3432" i="8"/>
  <c r="H3430" i="8"/>
  <c r="H3428" i="8"/>
  <c r="H3426" i="8"/>
  <c r="H3424" i="8"/>
  <c r="H3422" i="8"/>
  <c r="H3420" i="8"/>
  <c r="H3418" i="8"/>
  <c r="H3416" i="8"/>
  <c r="H3414" i="8"/>
  <c r="H3412" i="8"/>
  <c r="H3410" i="8"/>
  <c r="H3408" i="8"/>
  <c r="H3406" i="8"/>
  <c r="H3404" i="8"/>
  <c r="H3402" i="8"/>
  <c r="H3400" i="8"/>
  <c r="H3398" i="8"/>
  <c r="H3396" i="8"/>
  <c r="H3394" i="8"/>
  <c r="H3392" i="8"/>
  <c r="H3390" i="8"/>
  <c r="H3388" i="8"/>
  <c r="H3386" i="8"/>
  <c r="H3384" i="8"/>
  <c r="H3382" i="8"/>
  <c r="H3380" i="8"/>
  <c r="H3378" i="8"/>
  <c r="H3376" i="8"/>
  <c r="H3374" i="8"/>
  <c r="H3372" i="8"/>
  <c r="H3370" i="8"/>
  <c r="H3368" i="8"/>
  <c r="H3366" i="8"/>
  <c r="H3364" i="8"/>
  <c r="H3362" i="8"/>
  <c r="H3360" i="8"/>
  <c r="H3358" i="8"/>
  <c r="H3356" i="8"/>
  <c r="H3354" i="8"/>
  <c r="H3352" i="8"/>
  <c r="H3350" i="8"/>
  <c r="H3348" i="8"/>
  <c r="H3346" i="8"/>
  <c r="H3344" i="8"/>
  <c r="H3342" i="8"/>
  <c r="H3340" i="8"/>
  <c r="H3338" i="8"/>
  <c r="H3336" i="8"/>
  <c r="H3334" i="8"/>
  <c r="H3332" i="8"/>
  <c r="H3330" i="8"/>
  <c r="H3328" i="8"/>
  <c r="H3326" i="8"/>
  <c r="H3324" i="8"/>
  <c r="H3322" i="8"/>
  <c r="H3320" i="8"/>
  <c r="H3318" i="8"/>
  <c r="H3316" i="8"/>
  <c r="H3314" i="8"/>
  <c r="H3312" i="8"/>
  <c r="H3310" i="8"/>
  <c r="H3308" i="8"/>
  <c r="H3306" i="8"/>
  <c r="H3304" i="8"/>
  <c r="H3302" i="8"/>
  <c r="H3300" i="8"/>
  <c r="H3298" i="8"/>
  <c r="H3296" i="8"/>
  <c r="H3294" i="8"/>
  <c r="H3292" i="8"/>
  <c r="H3290" i="8"/>
  <c r="H3288" i="8"/>
  <c r="H3286" i="8"/>
  <c r="H3284" i="8"/>
  <c r="H3282" i="8"/>
  <c r="H3280" i="8"/>
  <c r="H3278" i="8"/>
  <c r="H3276" i="8"/>
  <c r="H3274" i="8"/>
  <c r="H3272" i="8"/>
  <c r="H3270" i="8"/>
  <c r="H3268" i="8"/>
  <c r="H3266" i="8"/>
  <c r="H3264" i="8"/>
  <c r="H3262" i="8"/>
  <c r="H3260" i="8"/>
  <c r="H3258" i="8"/>
  <c r="H3256" i="8"/>
  <c r="H3254" i="8"/>
  <c r="H3252" i="8"/>
  <c r="H3250" i="8"/>
  <c r="H3248" i="8"/>
  <c r="H3246" i="8"/>
  <c r="H3244" i="8"/>
  <c r="H3242" i="8"/>
  <c r="H3240" i="8"/>
  <c r="H3238" i="8"/>
  <c r="H3236" i="8"/>
  <c r="H3234" i="8"/>
  <c r="H3232" i="8"/>
  <c r="H3230" i="8"/>
  <c r="H3228" i="8"/>
  <c r="H3226" i="8"/>
  <c r="H3224" i="8"/>
  <c r="H3222" i="8"/>
  <c r="H3220" i="8"/>
  <c r="H3218" i="8"/>
  <c r="H3216" i="8"/>
  <c r="H3214" i="8"/>
  <c r="H3212" i="8"/>
  <c r="H3210" i="8"/>
  <c r="H3208" i="8"/>
  <c r="H3206" i="8"/>
  <c r="H3204" i="8"/>
  <c r="H3202" i="8"/>
  <c r="H3200" i="8"/>
  <c r="H3198" i="8"/>
  <c r="H3196" i="8"/>
  <c r="H3194" i="8"/>
  <c r="H3192" i="8"/>
  <c r="H3190" i="8"/>
  <c r="H3188" i="8"/>
  <c r="H3186" i="8"/>
  <c r="H3184" i="8"/>
  <c r="H3182" i="8"/>
  <c r="H3180" i="8"/>
  <c r="H3178" i="8"/>
  <c r="H3176" i="8"/>
  <c r="H3174" i="8"/>
  <c r="H3172" i="8"/>
  <c r="H3170" i="8"/>
  <c r="H3168" i="8"/>
  <c r="H3166" i="8"/>
  <c r="H3164" i="8"/>
  <c r="H3162" i="8"/>
  <c r="H3160" i="8"/>
  <c r="H3158" i="8"/>
  <c r="H3156" i="8"/>
  <c r="H3154" i="8"/>
  <c r="H3152" i="8"/>
  <c r="H3150" i="8"/>
  <c r="H3148" i="8"/>
  <c r="H3146" i="8"/>
  <c r="H3144" i="8"/>
  <c r="H3142" i="8"/>
  <c r="H3140" i="8"/>
  <c r="H3138" i="8"/>
  <c r="H3136" i="8"/>
  <c r="H3134" i="8"/>
  <c r="H3132" i="8"/>
  <c r="H3130" i="8"/>
  <c r="H3128" i="8"/>
  <c r="H3126" i="8"/>
  <c r="H3124" i="8"/>
  <c r="H3122" i="8"/>
  <c r="H3120" i="8"/>
  <c r="H3118" i="8"/>
  <c r="H3116" i="8"/>
  <c r="H3114" i="8"/>
  <c r="H3112" i="8"/>
  <c r="H3110" i="8"/>
  <c r="H3108" i="8"/>
  <c r="H3106" i="8"/>
  <c r="H3104" i="8"/>
  <c r="H3102" i="8"/>
  <c r="H3100" i="8"/>
  <c r="H3098" i="8"/>
  <c r="H3096" i="8"/>
  <c r="H3094" i="8"/>
  <c r="H3092" i="8"/>
  <c r="H3090" i="8"/>
  <c r="H3088" i="8"/>
  <c r="H3086" i="8"/>
  <c r="H3084" i="8"/>
  <c r="H3082" i="8"/>
  <c r="H3080" i="8"/>
  <c r="H3078" i="8"/>
  <c r="H3076" i="8"/>
  <c r="H3074" i="8"/>
  <c r="H3072" i="8"/>
  <c r="H3070" i="8"/>
  <c r="H3068" i="8"/>
  <c r="H3066" i="8"/>
  <c r="H3064" i="8"/>
  <c r="H3062" i="8"/>
  <c r="H3060" i="8"/>
  <c r="H3058" i="8"/>
  <c r="H3056" i="8"/>
  <c r="H3054" i="8"/>
  <c r="H3052" i="8"/>
  <c r="H3050" i="8"/>
  <c r="H3048" i="8"/>
  <c r="H3046" i="8"/>
  <c r="H3044" i="8"/>
  <c r="H3042" i="8"/>
  <c r="H3040" i="8"/>
  <c r="H3038" i="8"/>
  <c r="H3036" i="8"/>
  <c r="H3034" i="8"/>
  <c r="H3032" i="8"/>
  <c r="H3030" i="8"/>
  <c r="H3028" i="8"/>
  <c r="H3026" i="8"/>
  <c r="H3024" i="8"/>
  <c r="H3022" i="8"/>
  <c r="H3020" i="8"/>
  <c r="H3018" i="8"/>
  <c r="H3016" i="8"/>
  <c r="H3014" i="8"/>
  <c r="H3012" i="8"/>
  <c r="H3010" i="8"/>
  <c r="H3008" i="8"/>
  <c r="H3006" i="8"/>
  <c r="H3004" i="8"/>
  <c r="H3002" i="8"/>
  <c r="H3000" i="8"/>
  <c r="H2998" i="8"/>
  <c r="H2996" i="8"/>
  <c r="H2994" i="8"/>
  <c r="H2992" i="8"/>
  <c r="H2990" i="8"/>
  <c r="H2988" i="8"/>
  <c r="H2986" i="8"/>
  <c r="H2984" i="8"/>
  <c r="H2982" i="8"/>
  <c r="H2980" i="8"/>
  <c r="H2978" i="8"/>
  <c r="H2976" i="8"/>
  <c r="H2974" i="8"/>
  <c r="H2972" i="8"/>
  <c r="H2970" i="8"/>
  <c r="H2968" i="8"/>
  <c r="H2966" i="8"/>
  <c r="H2964" i="8"/>
  <c r="H2962" i="8"/>
  <c r="H2960" i="8"/>
  <c r="H2958" i="8"/>
  <c r="H2956" i="8"/>
  <c r="H2954" i="8"/>
  <c r="H2952" i="8"/>
  <c r="H2950" i="8"/>
  <c r="H2948" i="8"/>
  <c r="H2946" i="8"/>
  <c r="H2944" i="8"/>
  <c r="H2942" i="8"/>
  <c r="H2940" i="8"/>
  <c r="H2938" i="8"/>
  <c r="H2936" i="8"/>
  <c r="H2934" i="8"/>
  <c r="H2932" i="8"/>
  <c r="H2930" i="8"/>
  <c r="H2928" i="8"/>
  <c r="H2926" i="8"/>
  <c r="H2924" i="8"/>
  <c r="H2922" i="8"/>
  <c r="H2920" i="8"/>
  <c r="H2918" i="8"/>
  <c r="H2916" i="8"/>
  <c r="H2914" i="8"/>
  <c r="H2912" i="8"/>
  <c r="H2910" i="8"/>
  <c r="H2908" i="8"/>
  <c r="H2906" i="8"/>
  <c r="H2904" i="8"/>
  <c r="H2902" i="8"/>
  <c r="H2900" i="8"/>
  <c r="H2898" i="8"/>
  <c r="H2896" i="8"/>
  <c r="H2894" i="8"/>
  <c r="H2892" i="8"/>
  <c r="H2890" i="8"/>
  <c r="H2888" i="8"/>
  <c r="H2886" i="8"/>
  <c r="H2884" i="8"/>
  <c r="H2882" i="8"/>
  <c r="H2880" i="8"/>
  <c r="H2878" i="8"/>
  <c r="H2876" i="8"/>
  <c r="H2874" i="8"/>
  <c r="H2872" i="8"/>
  <c r="H2870" i="8"/>
  <c r="H2868" i="8"/>
  <c r="H2866" i="8"/>
  <c r="H2864" i="8"/>
  <c r="H2862" i="8"/>
  <c r="H2860" i="8"/>
  <c r="H2858" i="8"/>
  <c r="H2856" i="8"/>
  <c r="H2854" i="8"/>
  <c r="H2852" i="8"/>
  <c r="H2850" i="8"/>
  <c r="H2848" i="8"/>
  <c r="H2846" i="8"/>
  <c r="H2844" i="8"/>
  <c r="H2842" i="8"/>
  <c r="H2840" i="8"/>
  <c r="H2838" i="8"/>
  <c r="H2836" i="8"/>
  <c r="H2834" i="8"/>
  <c r="H2832" i="8"/>
  <c r="H2830" i="8"/>
  <c r="H2828" i="8"/>
  <c r="H2826" i="8"/>
  <c r="H2824" i="8"/>
  <c r="H2822" i="8"/>
  <c r="H2820" i="8"/>
  <c r="H2818" i="8"/>
  <c r="H2816" i="8"/>
  <c r="H2814" i="8"/>
  <c r="H2812" i="8"/>
  <c r="H2810" i="8"/>
  <c r="H2808" i="8"/>
  <c r="H2806" i="8"/>
  <c r="H2804" i="8"/>
  <c r="H2802" i="8"/>
  <c r="H2800" i="8"/>
  <c r="H2798" i="8"/>
  <c r="H2796" i="8"/>
  <c r="H2794" i="8"/>
  <c r="H2792" i="8"/>
  <c r="H2790" i="8"/>
  <c r="H2788" i="8"/>
  <c r="H2786" i="8"/>
  <c r="H2784" i="8"/>
  <c r="H2782" i="8"/>
  <c r="H2780" i="8"/>
  <c r="H2778" i="8"/>
  <c r="H2776" i="8"/>
  <c r="H2774" i="8"/>
  <c r="H2772" i="8"/>
  <c r="H2770" i="8"/>
  <c r="H2768" i="8"/>
  <c r="H2766" i="8"/>
  <c r="H2764" i="8"/>
  <c r="H2762" i="8"/>
  <c r="H2760" i="8"/>
  <c r="H2758" i="8"/>
  <c r="H2756" i="8"/>
  <c r="H2754" i="8"/>
  <c r="H2752" i="8"/>
  <c r="H2750" i="8"/>
  <c r="H2748" i="8"/>
  <c r="H2746" i="8"/>
  <c r="H2744" i="8"/>
  <c r="H2742" i="8"/>
  <c r="H2740" i="8"/>
  <c r="H2738" i="8"/>
  <c r="H2736" i="8"/>
  <c r="H2734" i="8"/>
  <c r="H2732" i="8"/>
  <c r="H2730" i="8"/>
  <c r="H2728" i="8"/>
  <c r="H2726" i="8"/>
  <c r="H2724" i="8"/>
  <c r="H2722" i="8"/>
  <c r="H2720" i="8"/>
  <c r="H2718" i="8"/>
  <c r="H2716" i="8"/>
  <c r="H2714" i="8"/>
  <c r="H2712" i="8"/>
  <c r="H2710" i="8"/>
  <c r="H2708" i="8"/>
  <c r="H2706" i="8"/>
  <c r="H2704" i="8"/>
  <c r="H2702" i="8"/>
  <c r="H2700" i="8"/>
  <c r="H2698" i="8"/>
  <c r="H2696" i="8"/>
  <c r="H2694" i="8"/>
  <c r="H2692" i="8"/>
  <c r="H2690" i="8"/>
  <c r="H2688" i="8"/>
  <c r="H2686" i="8"/>
  <c r="H2684" i="8"/>
  <c r="H2682" i="8"/>
  <c r="H2680" i="8"/>
  <c r="H2678" i="8"/>
  <c r="H2676" i="8"/>
  <c r="H2674" i="8"/>
  <c r="H2672" i="8"/>
  <c r="H2670" i="8"/>
  <c r="H2668" i="8"/>
  <c r="H2666" i="8"/>
  <c r="H2664" i="8"/>
  <c r="H2662" i="8"/>
  <c r="H2660" i="8"/>
  <c r="H2658" i="8"/>
  <c r="H2656" i="8"/>
  <c r="H2654" i="8"/>
  <c r="H2652" i="8"/>
  <c r="H2650" i="8"/>
  <c r="H2648" i="8"/>
  <c r="H2646" i="8"/>
  <c r="H2644" i="8"/>
  <c r="H2642" i="8"/>
  <c r="H2640" i="8"/>
  <c r="H2638" i="8"/>
  <c r="H2636" i="8"/>
  <c r="H2634" i="8"/>
  <c r="H2632" i="8"/>
  <c r="H2630" i="8"/>
  <c r="H2628" i="8"/>
  <c r="H2626" i="8"/>
  <c r="H2624" i="8"/>
  <c r="H2622" i="8"/>
  <c r="H2620" i="8"/>
  <c r="H2618" i="8"/>
  <c r="H2616" i="8"/>
  <c r="H2614" i="8"/>
  <c r="H2612" i="8"/>
  <c r="H2610" i="8"/>
  <c r="H2608" i="8"/>
  <c r="H2606" i="8"/>
  <c r="H2604" i="8"/>
  <c r="H2602" i="8"/>
  <c r="H2600" i="8"/>
  <c r="H2598" i="8"/>
  <c r="H2596" i="8"/>
  <c r="H2594" i="8"/>
  <c r="H2592" i="8"/>
  <c r="H2590" i="8"/>
  <c r="H2588" i="8"/>
  <c r="H2586" i="8"/>
  <c r="H2584" i="8"/>
  <c r="H2582" i="8"/>
  <c r="H2580" i="8"/>
  <c r="H2578" i="8"/>
  <c r="H2576" i="8"/>
  <c r="H2574" i="8"/>
  <c r="H2572" i="8"/>
  <c r="H2570" i="8"/>
  <c r="H2568" i="8"/>
  <c r="H2566" i="8"/>
  <c r="H2564" i="8"/>
  <c r="H2562" i="8"/>
  <c r="H2560" i="8"/>
  <c r="H2558" i="8"/>
  <c r="H2556" i="8"/>
  <c r="H2554" i="8"/>
  <c r="H2552" i="8"/>
  <c r="H2550" i="8"/>
  <c r="H2548" i="8"/>
  <c r="H2546" i="8"/>
  <c r="H2544" i="8"/>
  <c r="H2542" i="8"/>
  <c r="H2540" i="8"/>
  <c r="H2538" i="8"/>
  <c r="H2536" i="8"/>
  <c r="H2534" i="8"/>
  <c r="H2532" i="8"/>
  <c r="H2530" i="8"/>
  <c r="H2528" i="8"/>
  <c r="H2526" i="8"/>
  <c r="H2524" i="8"/>
  <c r="H2522" i="8"/>
  <c r="H2520" i="8"/>
  <c r="H2518" i="8"/>
  <c r="H2516" i="8"/>
  <c r="H2514" i="8"/>
  <c r="H2512" i="8"/>
  <c r="H2510" i="8"/>
  <c r="H2508" i="8"/>
  <c r="H2506" i="8"/>
  <c r="H2504" i="8"/>
  <c r="H2502" i="8"/>
  <c r="H2500" i="8"/>
  <c r="H2498" i="8"/>
  <c r="H2496" i="8"/>
  <c r="H2494" i="8"/>
  <c r="H2492" i="8"/>
  <c r="H2490" i="8"/>
  <c r="H2488" i="8"/>
  <c r="H2486" i="8"/>
  <c r="H2484" i="8"/>
  <c r="H2482" i="8"/>
  <c r="H2480" i="8"/>
  <c r="H2478" i="8"/>
  <c r="H2476" i="8"/>
  <c r="H2474" i="8"/>
  <c r="H2472" i="8"/>
  <c r="H2470" i="8"/>
  <c r="H2468" i="8"/>
  <c r="H2466" i="8"/>
  <c r="H2464" i="8"/>
  <c r="H2462" i="8"/>
  <c r="H2460" i="8"/>
  <c r="H2458" i="8"/>
  <c r="H2456" i="8"/>
  <c r="H2454" i="8"/>
  <c r="H2452" i="8"/>
  <c r="H2450" i="8"/>
  <c r="H2448" i="8"/>
  <c r="H2446" i="8"/>
  <c r="H2444" i="8"/>
  <c r="H2442" i="8"/>
  <c r="H2440" i="8"/>
  <c r="H2438" i="8"/>
  <c r="H2436" i="8"/>
  <c r="H2434" i="8"/>
  <c r="H2432" i="8"/>
  <c r="H2430" i="8"/>
  <c r="H2428" i="8"/>
  <c r="H2426" i="8"/>
  <c r="H2424" i="8"/>
  <c r="H2422" i="8"/>
  <c r="H2420" i="8"/>
  <c r="H2418" i="8"/>
  <c r="H2416" i="8"/>
  <c r="H2414" i="8"/>
  <c r="H2412" i="8"/>
  <c r="H2410" i="8"/>
  <c r="H2408" i="8"/>
  <c r="H2406" i="8"/>
  <c r="H2404" i="8"/>
  <c r="H2402" i="8"/>
  <c r="H2400" i="8"/>
  <c r="H2398" i="8"/>
  <c r="H2396" i="8"/>
  <c r="H2394" i="8"/>
  <c r="H2392" i="8"/>
  <c r="H2390" i="8"/>
  <c r="H2388" i="8"/>
  <c r="H2386" i="8"/>
  <c r="H2384" i="8"/>
  <c r="H2382" i="8"/>
  <c r="H2380" i="8"/>
  <c r="H2378" i="8"/>
  <c r="H2376" i="8"/>
  <c r="H2374" i="8"/>
  <c r="H2372" i="8"/>
  <c r="H2370" i="8"/>
  <c r="H2368" i="8"/>
  <c r="H2366" i="8"/>
  <c r="H2364" i="8"/>
  <c r="H2362" i="8"/>
  <c r="H2360" i="8"/>
  <c r="H2358" i="8"/>
  <c r="H2356" i="8"/>
  <c r="H2354" i="8"/>
  <c r="H2352" i="8"/>
  <c r="H2350" i="8"/>
  <c r="H2348" i="8"/>
  <c r="H2346" i="8"/>
  <c r="H2344" i="8"/>
  <c r="H2342" i="8"/>
  <c r="H2340" i="8"/>
  <c r="H2338" i="8"/>
  <c r="H2336" i="8"/>
  <c r="H2334" i="8"/>
  <c r="H2332" i="8"/>
  <c r="H2330" i="8"/>
  <c r="H2328" i="8"/>
  <c r="H2326" i="8"/>
  <c r="H2324" i="8"/>
  <c r="H2322" i="8"/>
  <c r="H2320" i="8"/>
  <c r="H2318" i="8"/>
  <c r="H2316" i="8"/>
  <c r="H2314" i="8"/>
  <c r="H2312" i="8"/>
  <c r="H2310" i="8"/>
  <c r="H2308" i="8"/>
  <c r="H2306" i="8"/>
  <c r="H2304" i="8"/>
  <c r="H2302" i="8"/>
  <c r="H2300" i="8"/>
  <c r="H2298" i="8"/>
  <c r="H2296" i="8"/>
  <c r="H2294" i="8"/>
  <c r="H2292" i="8"/>
  <c r="H2290" i="8"/>
  <c r="H2288" i="8"/>
  <c r="H2286" i="8"/>
  <c r="H2284" i="8"/>
  <c r="H2282" i="8"/>
  <c r="H2280" i="8"/>
  <c r="H2278" i="8"/>
  <c r="H2276" i="8"/>
  <c r="H2274" i="8"/>
  <c r="H2272" i="8"/>
  <c r="H2270" i="8"/>
  <c r="H2268" i="8"/>
  <c r="H2266" i="8"/>
  <c r="H2264" i="8"/>
  <c r="H2262" i="8"/>
  <c r="H2260" i="8"/>
  <c r="H2258" i="8"/>
  <c r="H2256" i="8"/>
  <c r="H2254" i="8"/>
  <c r="H2252" i="8"/>
  <c r="H2250" i="8"/>
  <c r="H2248" i="8"/>
  <c r="H2246" i="8"/>
  <c r="H2244" i="8"/>
  <c r="H2242" i="8"/>
  <c r="H2240" i="8"/>
  <c r="H2238" i="8"/>
  <c r="H2236" i="8"/>
  <c r="H2234" i="8"/>
  <c r="H2232" i="8"/>
  <c r="H2230" i="8"/>
  <c r="H2228" i="8"/>
  <c r="H2226" i="8"/>
  <c r="H2224" i="8"/>
  <c r="H2222" i="8"/>
  <c r="H2220" i="8"/>
  <c r="H2218" i="8"/>
  <c r="H2216" i="8"/>
  <c r="H2214" i="8"/>
  <c r="H2212" i="8"/>
  <c r="H2210" i="8"/>
  <c r="H2208" i="8"/>
  <c r="H4" i="8"/>
  <c r="H6" i="8"/>
  <c r="H8" i="8"/>
  <c r="H10" i="8"/>
  <c r="H12" i="8"/>
  <c r="H14" i="8"/>
  <c r="H16" i="8"/>
  <c r="H18" i="8"/>
  <c r="H20" i="8"/>
  <c r="H22" i="8"/>
  <c r="H24" i="8"/>
  <c r="H26" i="8"/>
  <c r="H28" i="8"/>
  <c r="H30" i="8"/>
  <c r="H32" i="8"/>
  <c r="H34" i="8"/>
  <c r="H36" i="8"/>
  <c r="H38" i="8"/>
  <c r="H40" i="8"/>
  <c r="H42" i="8"/>
  <c r="H44" i="8"/>
  <c r="H46" i="8"/>
  <c r="H48" i="8"/>
  <c r="H50" i="8"/>
  <c r="H52" i="8"/>
  <c r="H54" i="8"/>
  <c r="H56" i="8"/>
  <c r="H58" i="8"/>
  <c r="H60" i="8"/>
  <c r="H62" i="8"/>
  <c r="H64" i="8"/>
  <c r="H66" i="8"/>
  <c r="H68" i="8"/>
  <c r="H70" i="8"/>
  <c r="H72" i="8"/>
  <c r="H74" i="8"/>
  <c r="H76" i="8"/>
  <c r="H78" i="8"/>
  <c r="H80" i="8"/>
  <c r="H82" i="8"/>
  <c r="H84" i="8"/>
  <c r="H86" i="8"/>
  <c r="H88" i="8"/>
  <c r="H90" i="8"/>
  <c r="H92" i="8"/>
  <c r="H94" i="8"/>
  <c r="H96" i="8"/>
  <c r="H98" i="8"/>
  <c r="H100" i="8"/>
  <c r="H102" i="8"/>
  <c r="H104" i="8"/>
  <c r="H106" i="8"/>
  <c r="H108" i="8"/>
  <c r="H110" i="8"/>
  <c r="H112" i="8"/>
  <c r="H114" i="8"/>
  <c r="H116" i="8"/>
  <c r="H118" i="8"/>
  <c r="H120" i="8"/>
  <c r="H122" i="8"/>
  <c r="H124" i="8"/>
  <c r="H126" i="8"/>
  <c r="H128" i="8"/>
  <c r="H130" i="8"/>
  <c r="H132" i="8"/>
  <c r="H134" i="8"/>
  <c r="H136" i="8"/>
  <c r="H138" i="8"/>
  <c r="H140" i="8"/>
  <c r="H142" i="8"/>
  <c r="H144" i="8"/>
  <c r="H146" i="8"/>
  <c r="H148" i="8"/>
  <c r="H150" i="8"/>
  <c r="H152" i="8"/>
  <c r="H154" i="8"/>
  <c r="H156" i="8"/>
  <c r="H158" i="8"/>
  <c r="H160" i="8"/>
  <c r="H162" i="8"/>
  <c r="H164" i="8"/>
  <c r="H166" i="8"/>
  <c r="H168" i="8"/>
  <c r="H170" i="8"/>
  <c r="H172" i="8"/>
  <c r="H174" i="8"/>
  <c r="H176" i="8"/>
  <c r="H178" i="8"/>
  <c r="H180" i="8"/>
  <c r="H182" i="8"/>
  <c r="H184" i="8"/>
  <c r="H186" i="8"/>
  <c r="H188" i="8"/>
  <c r="H190" i="8"/>
  <c r="H192" i="8"/>
  <c r="H194" i="8"/>
  <c r="H196" i="8"/>
  <c r="H198" i="8"/>
  <c r="H200" i="8"/>
  <c r="H202" i="8"/>
  <c r="H204" i="8"/>
  <c r="H206" i="8"/>
  <c r="H208" i="8"/>
  <c r="H210" i="8"/>
  <c r="H212" i="8"/>
  <c r="H214" i="8"/>
  <c r="H216" i="8"/>
  <c r="H218" i="8"/>
  <c r="H220" i="8"/>
  <c r="H222" i="8"/>
  <c r="H224" i="8"/>
  <c r="H226" i="8"/>
  <c r="H228" i="8"/>
  <c r="H230" i="8"/>
  <c r="H232" i="8"/>
  <c r="H234" i="8"/>
  <c r="H236" i="8"/>
  <c r="H238" i="8"/>
  <c r="H240" i="8"/>
  <c r="H242" i="8"/>
  <c r="H244" i="8"/>
  <c r="H246" i="8"/>
  <c r="H248" i="8"/>
  <c r="H250" i="8"/>
  <c r="H252" i="8"/>
  <c r="H254" i="8"/>
  <c r="H256" i="8"/>
  <c r="H258" i="8"/>
  <c r="H260" i="8"/>
  <c r="H262" i="8"/>
  <c r="H264" i="8"/>
  <c r="H266" i="8"/>
  <c r="H268" i="8"/>
  <c r="H270" i="8"/>
  <c r="H272" i="8"/>
  <c r="H274" i="8"/>
  <c r="H276" i="8"/>
  <c r="H278" i="8"/>
  <c r="H280" i="8"/>
  <c r="H282" i="8"/>
  <c r="H284" i="8"/>
  <c r="H286" i="8"/>
  <c r="H288" i="8"/>
  <c r="H290" i="8"/>
  <c r="H292" i="8"/>
  <c r="H294" i="8"/>
  <c r="H296" i="8"/>
  <c r="H298" i="8"/>
  <c r="H300" i="8"/>
  <c r="H302" i="8"/>
  <c r="H304" i="8"/>
  <c r="H306" i="8"/>
  <c r="H308" i="8"/>
  <c r="H310" i="8"/>
  <c r="H312" i="8"/>
  <c r="H314" i="8"/>
  <c r="H316" i="8"/>
  <c r="H318" i="8"/>
  <c r="H320" i="8"/>
  <c r="H322" i="8"/>
  <c r="H324" i="8"/>
  <c r="H326" i="8"/>
  <c r="H328" i="8"/>
  <c r="H330" i="8"/>
  <c r="H332" i="8"/>
  <c r="H334" i="8"/>
  <c r="H336" i="8"/>
  <c r="H338" i="8"/>
  <c r="H340" i="8"/>
  <c r="H342" i="8"/>
  <c r="H344" i="8"/>
  <c r="H346" i="8"/>
  <c r="H348" i="8"/>
  <c r="H350" i="8"/>
  <c r="H352" i="8"/>
  <c r="H354" i="8"/>
  <c r="H356" i="8"/>
  <c r="H358" i="8"/>
  <c r="H360" i="8"/>
  <c r="H362" i="8"/>
  <c r="H364" i="8"/>
  <c r="H366" i="8"/>
  <c r="H368" i="8"/>
  <c r="H370" i="8"/>
  <c r="H372" i="8"/>
  <c r="H374" i="8"/>
  <c r="H376" i="8"/>
  <c r="H378" i="8"/>
  <c r="H380" i="8"/>
  <c r="H382" i="8"/>
  <c r="H384" i="8"/>
  <c r="H386" i="8"/>
  <c r="H388" i="8"/>
  <c r="H390" i="8"/>
  <c r="H392" i="8"/>
  <c r="H394" i="8"/>
  <c r="H396" i="8"/>
  <c r="H398" i="8"/>
  <c r="H400" i="8"/>
  <c r="H402" i="8"/>
  <c r="H404" i="8"/>
  <c r="H406" i="8"/>
  <c r="H408" i="8"/>
  <c r="H410" i="8"/>
  <c r="H412" i="8"/>
  <c r="H414" i="8"/>
  <c r="H416" i="8"/>
  <c r="H418" i="8"/>
  <c r="H420" i="8"/>
  <c r="H422" i="8"/>
  <c r="H424" i="8"/>
  <c r="H426" i="8"/>
  <c r="H428" i="8"/>
  <c r="H430" i="8"/>
  <c r="H432" i="8"/>
  <c r="H434" i="8"/>
  <c r="H436" i="8"/>
  <c r="H438" i="8"/>
  <c r="H440" i="8"/>
  <c r="H442" i="8"/>
  <c r="H444" i="8"/>
  <c r="H446" i="8"/>
  <c r="H448" i="8"/>
  <c r="H450" i="8"/>
  <c r="H452" i="8"/>
  <c r="H454" i="8"/>
  <c r="H456" i="8"/>
  <c r="H458" i="8"/>
  <c r="H460" i="8"/>
  <c r="H462" i="8"/>
  <c r="H464" i="8"/>
  <c r="H466" i="8"/>
  <c r="H468" i="8"/>
  <c r="H470" i="8"/>
  <c r="H472" i="8"/>
  <c r="H474" i="8"/>
  <c r="H476" i="8"/>
  <c r="H478" i="8"/>
  <c r="H480" i="8"/>
  <c r="H482" i="8"/>
  <c r="H484" i="8"/>
  <c r="H486" i="8"/>
  <c r="H488" i="8"/>
  <c r="H490" i="8"/>
  <c r="H492" i="8"/>
  <c r="H494" i="8"/>
  <c r="H496" i="8"/>
  <c r="H498" i="8"/>
  <c r="H500" i="8"/>
  <c r="H502" i="8"/>
  <c r="H504" i="8"/>
  <c r="H506" i="8"/>
  <c r="H508" i="8"/>
  <c r="H510" i="8"/>
  <c r="H512" i="8"/>
  <c r="H514" i="8"/>
  <c r="H516" i="8"/>
  <c r="H518" i="8"/>
  <c r="H520" i="8"/>
  <c r="H522" i="8"/>
  <c r="H524" i="8"/>
  <c r="H526" i="8"/>
  <c r="H528" i="8"/>
  <c r="H530" i="8"/>
  <c r="H532" i="8"/>
  <c r="H534" i="8"/>
  <c r="H536" i="8"/>
  <c r="H538" i="8"/>
  <c r="H540" i="8"/>
  <c r="H542" i="8"/>
  <c r="H544" i="8"/>
  <c r="H546" i="8"/>
  <c r="H548" i="8"/>
  <c r="H550" i="8"/>
  <c r="H552" i="8"/>
  <c r="H554" i="8"/>
  <c r="H556" i="8"/>
  <c r="H558" i="8"/>
  <c r="H560" i="8"/>
  <c r="H562" i="8"/>
  <c r="H564" i="8"/>
  <c r="H566" i="8"/>
  <c r="H568" i="8"/>
  <c r="H570" i="8"/>
  <c r="H572" i="8"/>
  <c r="H574" i="8"/>
  <c r="H576" i="8"/>
  <c r="H578" i="8"/>
  <c r="H580" i="8"/>
  <c r="H582" i="8"/>
  <c r="H584" i="8"/>
  <c r="H586" i="8"/>
  <c r="H588" i="8"/>
  <c r="H590" i="8"/>
  <c r="H592" i="8"/>
  <c r="H594" i="8"/>
  <c r="H596" i="8"/>
  <c r="H598" i="8"/>
  <c r="H600" i="8"/>
  <c r="H602" i="8"/>
  <c r="H604" i="8"/>
  <c r="H606" i="8"/>
  <c r="H608" i="8"/>
  <c r="H610" i="8"/>
  <c r="H612" i="8"/>
  <c r="H614" i="8"/>
  <c r="H616" i="8"/>
  <c r="H618" i="8"/>
  <c r="H620" i="8"/>
  <c r="H622" i="8"/>
  <c r="H624" i="8"/>
  <c r="H626" i="8"/>
  <c r="H628" i="8"/>
  <c r="H630" i="8"/>
  <c r="H632" i="8"/>
  <c r="H634" i="8"/>
  <c r="H636" i="8"/>
  <c r="H638" i="8"/>
  <c r="H640" i="8"/>
  <c r="H642" i="8"/>
  <c r="H644" i="8"/>
  <c r="H646" i="8"/>
  <c r="H648" i="8"/>
  <c r="H650" i="8"/>
  <c r="H652" i="8"/>
  <c r="H654" i="8"/>
  <c r="H656" i="8"/>
  <c r="H658" i="8"/>
  <c r="H660" i="8"/>
  <c r="H662" i="8"/>
  <c r="H664" i="8"/>
  <c r="H666" i="8"/>
  <c r="H668" i="8"/>
  <c r="H670" i="8"/>
  <c r="H672" i="8"/>
  <c r="H674" i="8"/>
  <c r="H676" i="8"/>
  <c r="H678" i="8"/>
  <c r="H680" i="8"/>
  <c r="H682" i="8"/>
  <c r="H684" i="8"/>
  <c r="H686" i="8"/>
  <c r="H688" i="8"/>
  <c r="H690" i="8"/>
  <c r="H692" i="8"/>
  <c r="H694" i="8"/>
  <c r="H696" i="8"/>
  <c r="H698" i="8"/>
  <c r="H700" i="8"/>
  <c r="H702" i="8"/>
  <c r="H704" i="8"/>
  <c r="H706" i="8"/>
  <c r="H708" i="8"/>
  <c r="H710" i="8"/>
  <c r="H712" i="8"/>
  <c r="H714" i="8"/>
  <c r="H716" i="8"/>
  <c r="H718" i="8"/>
  <c r="H720" i="8"/>
  <c r="H722" i="8"/>
  <c r="H724" i="8"/>
  <c r="H726" i="8"/>
  <c r="H728" i="8"/>
  <c r="H730" i="8"/>
  <c r="H732" i="8"/>
  <c r="H734" i="8"/>
  <c r="H736" i="8"/>
  <c r="H738" i="8"/>
  <c r="H740" i="8"/>
  <c r="H742" i="8"/>
  <c r="H744" i="8"/>
  <c r="H746" i="8"/>
  <c r="H748" i="8"/>
  <c r="H750" i="8"/>
  <c r="H752" i="8"/>
  <c r="H754" i="8"/>
  <c r="H756" i="8"/>
  <c r="H758" i="8"/>
  <c r="H760" i="8"/>
  <c r="H762" i="8"/>
  <c r="H764" i="8"/>
  <c r="H766" i="8"/>
  <c r="H768" i="8"/>
  <c r="H770" i="8"/>
  <c r="H772" i="8"/>
  <c r="H774" i="8"/>
  <c r="H776" i="8"/>
  <c r="H778" i="8"/>
  <c r="H780" i="8"/>
  <c r="H782" i="8"/>
  <c r="H784" i="8"/>
  <c r="H786" i="8"/>
  <c r="H788" i="8"/>
  <c r="H790" i="8"/>
  <c r="H792" i="8"/>
  <c r="H794" i="8"/>
  <c r="H796" i="8"/>
  <c r="H798" i="8"/>
  <c r="H800" i="8"/>
  <c r="H802" i="8"/>
  <c r="H804" i="8"/>
  <c r="H806" i="8"/>
  <c r="H808" i="8"/>
  <c r="H810" i="8"/>
  <c r="H812" i="8"/>
  <c r="H814" i="8"/>
  <c r="H816" i="8"/>
  <c r="H818" i="8"/>
  <c r="H820" i="8"/>
  <c r="H822" i="8"/>
  <c r="H824" i="8"/>
  <c r="H826" i="8"/>
  <c r="H828" i="8"/>
  <c r="H830" i="8"/>
  <c r="H832" i="8"/>
  <c r="H834" i="8"/>
  <c r="H836" i="8"/>
  <c r="H838" i="8"/>
  <c r="H840" i="8"/>
  <c r="H842" i="8"/>
  <c r="H844" i="8"/>
  <c r="H846" i="8"/>
  <c r="H848" i="8"/>
  <c r="H850" i="8"/>
  <c r="H852" i="8"/>
  <c r="H854" i="8"/>
  <c r="H856" i="8"/>
  <c r="H858" i="8"/>
  <c r="H860" i="8"/>
  <c r="H862" i="8"/>
  <c r="H864" i="8"/>
  <c r="H866" i="8"/>
  <c r="H868" i="8"/>
  <c r="H870" i="8"/>
  <c r="H872" i="8"/>
  <c r="H874" i="8"/>
  <c r="H876" i="8"/>
  <c r="H878" i="8"/>
  <c r="H880" i="8"/>
  <c r="H882" i="8"/>
  <c r="H884" i="8"/>
  <c r="H886" i="8"/>
  <c r="H888" i="8"/>
  <c r="H890" i="8"/>
  <c r="H892" i="8"/>
  <c r="H894" i="8"/>
  <c r="H896" i="8"/>
  <c r="H898" i="8"/>
  <c r="H900" i="8"/>
  <c r="H902" i="8"/>
  <c r="H904" i="8"/>
  <c r="H906" i="8"/>
  <c r="H908" i="8"/>
  <c r="H910" i="8"/>
  <c r="H912" i="8"/>
  <c r="H914" i="8"/>
  <c r="H916" i="8"/>
  <c r="H918" i="8"/>
  <c r="H920" i="8"/>
  <c r="H922" i="8"/>
  <c r="H924" i="8"/>
  <c r="H926" i="8"/>
  <c r="H928" i="8"/>
  <c r="H930" i="8"/>
  <c r="H932" i="8"/>
  <c r="H934" i="8"/>
  <c r="H936" i="8"/>
  <c r="H938" i="8"/>
  <c r="H940" i="8"/>
  <c r="H942" i="8"/>
  <c r="H944" i="8"/>
  <c r="H946" i="8"/>
  <c r="H948" i="8"/>
  <c r="H950" i="8"/>
  <c r="H952" i="8"/>
  <c r="H954" i="8"/>
  <c r="H956" i="8"/>
  <c r="H958" i="8"/>
  <c r="H960" i="8"/>
  <c r="H962" i="8"/>
  <c r="H964" i="8"/>
  <c r="H966" i="8"/>
  <c r="H968" i="8"/>
  <c r="H970" i="8"/>
  <c r="H972" i="8"/>
  <c r="H974" i="8"/>
  <c r="H976" i="8"/>
  <c r="H978" i="8"/>
  <c r="H980" i="8"/>
  <c r="H982" i="8"/>
  <c r="H984" i="8"/>
  <c r="H986" i="8"/>
  <c r="H988" i="8"/>
  <c r="H990" i="8"/>
  <c r="H992" i="8"/>
  <c r="H994" i="8"/>
  <c r="H996" i="8"/>
  <c r="H998" i="8"/>
  <c r="H1000" i="8"/>
  <c r="H1002" i="8"/>
  <c r="H1004" i="8"/>
  <c r="H1006" i="8"/>
  <c r="H1008" i="8"/>
  <c r="H1010" i="8"/>
  <c r="H1012" i="8"/>
  <c r="H1014" i="8"/>
  <c r="H1016" i="8"/>
  <c r="H1018" i="8"/>
  <c r="H1020" i="8"/>
  <c r="H1022" i="8"/>
  <c r="H1024" i="8"/>
  <c r="H1026" i="8"/>
  <c r="H1028" i="8"/>
  <c r="H1030" i="8"/>
  <c r="H1032" i="8"/>
  <c r="H1034" i="8"/>
  <c r="H1036" i="8"/>
  <c r="H1038" i="8"/>
  <c r="H1040" i="8"/>
  <c r="H1042" i="8"/>
  <c r="H1044" i="8"/>
  <c r="H1046" i="8"/>
  <c r="H1048" i="8"/>
  <c r="H1050" i="8"/>
  <c r="H1052" i="8"/>
  <c r="H1054" i="8"/>
  <c r="H1056" i="8"/>
  <c r="H1058" i="8"/>
  <c r="H1060" i="8"/>
  <c r="H1062" i="8"/>
  <c r="H1064" i="8"/>
  <c r="H1066" i="8"/>
  <c r="H1068" i="8"/>
  <c r="H1070" i="8"/>
  <c r="H1072" i="8"/>
  <c r="H1074" i="8"/>
  <c r="H1076" i="8"/>
  <c r="H1078" i="8"/>
  <c r="H1080" i="8"/>
  <c r="H1082" i="8"/>
  <c r="H1084" i="8"/>
  <c r="H1086" i="8"/>
  <c r="H1088" i="8"/>
  <c r="H1090" i="8"/>
  <c r="H1092" i="8"/>
  <c r="H1094" i="8"/>
  <c r="H1096" i="8"/>
  <c r="H1098" i="8"/>
  <c r="H1100" i="8"/>
  <c r="H1102" i="8"/>
  <c r="H1104" i="8"/>
  <c r="H1106" i="8"/>
  <c r="H1108" i="8"/>
  <c r="H1110" i="8"/>
  <c r="H1112" i="8"/>
  <c r="H1114" i="8"/>
  <c r="H1116" i="8"/>
  <c r="H1118" i="8"/>
  <c r="H1120" i="8"/>
  <c r="H1122" i="8"/>
  <c r="H1124" i="8"/>
  <c r="H1126" i="8"/>
  <c r="H1128" i="8"/>
  <c r="H1130" i="8"/>
  <c r="H1132" i="8"/>
  <c r="H1134" i="8"/>
  <c r="H1136" i="8"/>
  <c r="H1138" i="8"/>
  <c r="H1140" i="8"/>
  <c r="H1142" i="8"/>
  <c r="H1144" i="8"/>
  <c r="H1146" i="8"/>
  <c r="H1148" i="8"/>
  <c r="H1150" i="8"/>
  <c r="H1152" i="8"/>
  <c r="H1154" i="8"/>
  <c r="H1156" i="8"/>
  <c r="H1158" i="8"/>
  <c r="H1160" i="8"/>
  <c r="H1162" i="8"/>
  <c r="H1164" i="8"/>
  <c r="H1166" i="8"/>
  <c r="H1168" i="8"/>
  <c r="H1170" i="8"/>
  <c r="H1172" i="8"/>
  <c r="H1174" i="8"/>
  <c r="H1176" i="8"/>
  <c r="H1178" i="8"/>
  <c r="H1180" i="8"/>
  <c r="H1182" i="8"/>
  <c r="H1184" i="8"/>
  <c r="H1186" i="8"/>
  <c r="H1188" i="8"/>
  <c r="H1190" i="8"/>
  <c r="H1192" i="8"/>
  <c r="H1194" i="8"/>
  <c r="H1196" i="8"/>
  <c r="H1198" i="8"/>
  <c r="H1200" i="8"/>
  <c r="H1202" i="8"/>
  <c r="H1204" i="8"/>
  <c r="H1206" i="8"/>
  <c r="H1208" i="8"/>
  <c r="H1210" i="8"/>
  <c r="H1212" i="8"/>
  <c r="H1214" i="8"/>
  <c r="H1216" i="8"/>
  <c r="H1218" i="8"/>
  <c r="H1220" i="8"/>
  <c r="H1222" i="8"/>
  <c r="H1224" i="8"/>
  <c r="H1226" i="8"/>
  <c r="H1228" i="8"/>
  <c r="H1230" i="8"/>
  <c r="H1232" i="8"/>
  <c r="H1234" i="8"/>
  <c r="H1236" i="8"/>
  <c r="H1238" i="8"/>
  <c r="H1240" i="8"/>
  <c r="H1242" i="8"/>
  <c r="H1244" i="8"/>
  <c r="H1246" i="8"/>
  <c r="H1248" i="8"/>
  <c r="H1250" i="8"/>
  <c r="H1252" i="8"/>
  <c r="H1254" i="8"/>
  <c r="H1256" i="8"/>
  <c r="H1258" i="8"/>
  <c r="H1260" i="8"/>
  <c r="H1262" i="8"/>
  <c r="H1264" i="8"/>
  <c r="H1266" i="8"/>
  <c r="H1268" i="8"/>
  <c r="H1270" i="8"/>
  <c r="H1272" i="8"/>
  <c r="H1274" i="8"/>
  <c r="H1276" i="8"/>
  <c r="H1278" i="8"/>
  <c r="H1280" i="8"/>
  <c r="H1282" i="8"/>
  <c r="H1284" i="8"/>
  <c r="H1286" i="8"/>
  <c r="H1288" i="8"/>
  <c r="H1290" i="8"/>
  <c r="H1292" i="8"/>
  <c r="H1294" i="8"/>
  <c r="H1296" i="8"/>
  <c r="H1298" i="8"/>
  <c r="H1300" i="8"/>
  <c r="H1302" i="8"/>
  <c r="H1304" i="8"/>
  <c r="H1306" i="8"/>
  <c r="H1308" i="8"/>
  <c r="H1310" i="8"/>
  <c r="H1312" i="8"/>
  <c r="H1314" i="8"/>
  <c r="H1316" i="8"/>
  <c r="H1318" i="8"/>
  <c r="H1320" i="8"/>
  <c r="H1322" i="8"/>
  <c r="H1324" i="8"/>
  <c r="H1326" i="8"/>
  <c r="H1328" i="8"/>
  <c r="H1330" i="8"/>
  <c r="H1332" i="8"/>
  <c r="H1334" i="8"/>
  <c r="H1336" i="8"/>
  <c r="H1338" i="8"/>
  <c r="H1340" i="8"/>
  <c r="H1342" i="8"/>
  <c r="H1344" i="8"/>
  <c r="H1346" i="8"/>
  <c r="H1348" i="8"/>
  <c r="H1350" i="8"/>
  <c r="H1352" i="8"/>
  <c r="H1354" i="8"/>
  <c r="H1356" i="8"/>
  <c r="H1358" i="8"/>
  <c r="H1360" i="8"/>
  <c r="H1362" i="8"/>
  <c r="H1364" i="8"/>
  <c r="H1366" i="8"/>
  <c r="H1368" i="8"/>
  <c r="H1370" i="8"/>
  <c r="H1372" i="8"/>
  <c r="H1374" i="8"/>
  <c r="H1376" i="8"/>
  <c r="H1378" i="8"/>
  <c r="H1380" i="8"/>
  <c r="H1382" i="8"/>
  <c r="H1384" i="8"/>
  <c r="H1386" i="8"/>
  <c r="H1388" i="8"/>
  <c r="H1390" i="8"/>
  <c r="H1392" i="8"/>
  <c r="H1394" i="8"/>
  <c r="H1396" i="8"/>
  <c r="H1398" i="8"/>
  <c r="H1400" i="8"/>
  <c r="H1402" i="8"/>
  <c r="H1404" i="8"/>
  <c r="H1406" i="8"/>
  <c r="H1408" i="8"/>
  <c r="H1410" i="8"/>
  <c r="H1412" i="8"/>
  <c r="H1414" i="8"/>
  <c r="H1416" i="8"/>
  <c r="H1418" i="8"/>
  <c r="H1420" i="8"/>
  <c r="H1422" i="8"/>
  <c r="H1424" i="8"/>
  <c r="H1426" i="8"/>
  <c r="H1428" i="8"/>
  <c r="H1430" i="8"/>
  <c r="H1432" i="8"/>
  <c r="H1434" i="8"/>
  <c r="H1436" i="8"/>
  <c r="H1438" i="8"/>
  <c r="H1440" i="8"/>
  <c r="H1442" i="8"/>
  <c r="H1444" i="8"/>
  <c r="H1446" i="8"/>
  <c r="H1448" i="8"/>
  <c r="H1450" i="8"/>
  <c r="H1452" i="8"/>
  <c r="H1454" i="8"/>
  <c r="H1456" i="8"/>
  <c r="H1458" i="8"/>
  <c r="H1460" i="8"/>
  <c r="H1462" i="8"/>
  <c r="H1464" i="8"/>
  <c r="H1466" i="8"/>
  <c r="H1468" i="8"/>
  <c r="H1470" i="8"/>
  <c r="H1472" i="8"/>
  <c r="H1474" i="8"/>
  <c r="H1476" i="8"/>
  <c r="H1478" i="8"/>
  <c r="H1480" i="8"/>
  <c r="H1482" i="8"/>
  <c r="H1484" i="8"/>
  <c r="H1486" i="8"/>
  <c r="H1488" i="8"/>
  <c r="H1490" i="8"/>
  <c r="H1492" i="8"/>
  <c r="H1494" i="8"/>
  <c r="H1496" i="8"/>
  <c r="H1498" i="8"/>
  <c r="H1500" i="8"/>
  <c r="H1502" i="8"/>
  <c r="H1504" i="8"/>
  <c r="H1506" i="8"/>
  <c r="H1508" i="8"/>
  <c r="H1510" i="8"/>
  <c r="H1512" i="8"/>
  <c r="H1514" i="8"/>
  <c r="H1516" i="8"/>
  <c r="H1518" i="8"/>
  <c r="H1520" i="8"/>
  <c r="H1522" i="8"/>
  <c r="H1524" i="8"/>
  <c r="H1526" i="8"/>
  <c r="H1528" i="8"/>
  <c r="H1530" i="8"/>
  <c r="H1532" i="8"/>
  <c r="H1534" i="8"/>
  <c r="H1536" i="8"/>
  <c r="H1538" i="8"/>
  <c r="H1540" i="8"/>
  <c r="H1542" i="8"/>
  <c r="H1544" i="8"/>
  <c r="H1546" i="8"/>
  <c r="H1548" i="8"/>
  <c r="H1550" i="8"/>
  <c r="H1552" i="8"/>
  <c r="H1554" i="8"/>
  <c r="H1556" i="8"/>
  <c r="H1558" i="8"/>
  <c r="H1560" i="8"/>
  <c r="H1562" i="8"/>
  <c r="H1564" i="8"/>
  <c r="H1566" i="8"/>
  <c r="H1568" i="8"/>
  <c r="H1570" i="8"/>
  <c r="H1572" i="8"/>
  <c r="H1574" i="8"/>
  <c r="H1576" i="8"/>
  <c r="H1578" i="8"/>
  <c r="H1580" i="8"/>
  <c r="H1582" i="8"/>
  <c r="H1584" i="8"/>
  <c r="H1586" i="8"/>
  <c r="H1588" i="8"/>
  <c r="H1590" i="8"/>
  <c r="H1592" i="8"/>
  <c r="H1594" i="8"/>
  <c r="H1596" i="8"/>
  <c r="H1598" i="8"/>
  <c r="H1600" i="8"/>
  <c r="H1602" i="8"/>
  <c r="H1604" i="8"/>
  <c r="H1606" i="8"/>
  <c r="H1608" i="8"/>
  <c r="H1610" i="8"/>
  <c r="H1612" i="8"/>
  <c r="H1614" i="8"/>
  <c r="H1616" i="8"/>
  <c r="H1618" i="8"/>
  <c r="H1620" i="8"/>
  <c r="H1622" i="8"/>
  <c r="H1624" i="8"/>
  <c r="H1626" i="8"/>
  <c r="H1628" i="8"/>
  <c r="H1630" i="8"/>
  <c r="H1632" i="8"/>
  <c r="H1634" i="8"/>
  <c r="H1636" i="8"/>
  <c r="H1638" i="8"/>
  <c r="H1640" i="8"/>
  <c r="H1642" i="8"/>
  <c r="H1644" i="8"/>
  <c r="H1646" i="8"/>
  <c r="H1648" i="8"/>
  <c r="H1650" i="8"/>
  <c r="H1652" i="8"/>
  <c r="H1654" i="8"/>
  <c r="H1656" i="8"/>
  <c r="H1658" i="8"/>
  <c r="H1660" i="8"/>
  <c r="H1662" i="8"/>
  <c r="H1664" i="8"/>
  <c r="H1666" i="8"/>
  <c r="H1668" i="8"/>
  <c r="H1670" i="8"/>
  <c r="H1672" i="8"/>
  <c r="H1674" i="8"/>
  <c r="H1676" i="8"/>
  <c r="H1678" i="8"/>
  <c r="H1680" i="8"/>
  <c r="H1682" i="8"/>
  <c r="H1684" i="8"/>
  <c r="H1686" i="8"/>
  <c r="H1688" i="8"/>
  <c r="H1690" i="8"/>
  <c r="H1692" i="8"/>
  <c r="H1694" i="8"/>
  <c r="H1696" i="8"/>
  <c r="H1698" i="8"/>
  <c r="H1700" i="8"/>
  <c r="H1702" i="8"/>
  <c r="H1704" i="8"/>
  <c r="H1706" i="8"/>
  <c r="H1708" i="8"/>
  <c r="H1710" i="8"/>
  <c r="H1712" i="8"/>
  <c r="H1714" i="8"/>
  <c r="H1716" i="8"/>
  <c r="H1718" i="8"/>
  <c r="H1720" i="8"/>
  <c r="H1722" i="8"/>
  <c r="H1724" i="8"/>
  <c r="H1726" i="8"/>
  <c r="H1728" i="8"/>
  <c r="H1730" i="8"/>
  <c r="H1732" i="8"/>
  <c r="H1734" i="8"/>
  <c r="H1736" i="8"/>
  <c r="H1738" i="8"/>
  <c r="H1740" i="8"/>
  <c r="H1742" i="8"/>
  <c r="H1744" i="8"/>
  <c r="H1746" i="8"/>
  <c r="H1748" i="8"/>
  <c r="H1750" i="8"/>
  <c r="H1752" i="8"/>
  <c r="H1754" i="8"/>
  <c r="H1756" i="8"/>
  <c r="H1758" i="8"/>
  <c r="H1760" i="8"/>
  <c r="H1762" i="8"/>
  <c r="H1764" i="8"/>
  <c r="H1766" i="8"/>
  <c r="H1768" i="8"/>
  <c r="H1770" i="8"/>
  <c r="H1772" i="8"/>
  <c r="H1774" i="8"/>
  <c r="H1776" i="8"/>
  <c r="H1778" i="8"/>
  <c r="H1780" i="8"/>
  <c r="H1782" i="8"/>
  <c r="H1784" i="8"/>
  <c r="H1786" i="8"/>
  <c r="H1788" i="8"/>
  <c r="H1790" i="8"/>
  <c r="H1792" i="8"/>
  <c r="H1794" i="8"/>
  <c r="H1796" i="8"/>
  <c r="H1798" i="8"/>
  <c r="H1800" i="8"/>
  <c r="H1802" i="8"/>
  <c r="H1804" i="8"/>
  <c r="H1806" i="8"/>
  <c r="H1808" i="8"/>
  <c r="H1810" i="8"/>
  <c r="H1812" i="8"/>
  <c r="H1814" i="8"/>
  <c r="H1816" i="8"/>
  <c r="H1818" i="8"/>
  <c r="H1820" i="8"/>
  <c r="H1822" i="8"/>
  <c r="H1824" i="8"/>
  <c r="H1826" i="8"/>
  <c r="H1828" i="8"/>
  <c r="H1830" i="8"/>
  <c r="H1832" i="8"/>
  <c r="H1834" i="8"/>
  <c r="H1836" i="8"/>
  <c r="H1838" i="8"/>
  <c r="H1840" i="8"/>
  <c r="H1842" i="8"/>
  <c r="H1844" i="8"/>
  <c r="H1846" i="8"/>
  <c r="H1848" i="8"/>
  <c r="H1850" i="8"/>
  <c r="H1852" i="8"/>
  <c r="H1854" i="8"/>
  <c r="H1856" i="8"/>
  <c r="H1858" i="8"/>
  <c r="H1860" i="8"/>
  <c r="H1862" i="8"/>
  <c r="H1864" i="8"/>
  <c r="H1866" i="8"/>
  <c r="H1868" i="8"/>
  <c r="H1870" i="8"/>
  <c r="H1872" i="8"/>
  <c r="H1874" i="8"/>
  <c r="H1876" i="8"/>
  <c r="H1878" i="8"/>
  <c r="H1880" i="8"/>
  <c r="H1882" i="8"/>
  <c r="H1884" i="8"/>
  <c r="H1886" i="8"/>
  <c r="H1888" i="8"/>
  <c r="H1890" i="8"/>
  <c r="H1892" i="8"/>
  <c r="H1894" i="8"/>
  <c r="H1896" i="8"/>
  <c r="H1898" i="8"/>
  <c r="H1900" i="8"/>
  <c r="H1902" i="8"/>
  <c r="H1904" i="8"/>
  <c r="H1906" i="8"/>
  <c r="H1908" i="8"/>
  <c r="H1910" i="8"/>
  <c r="H1912" i="8"/>
  <c r="H1914" i="8"/>
  <c r="H1916" i="8"/>
  <c r="H1918" i="8"/>
  <c r="H1920" i="8"/>
  <c r="H1922" i="8"/>
  <c r="H1924" i="8"/>
  <c r="H1926" i="8"/>
  <c r="H1928" i="8"/>
  <c r="H1930" i="8"/>
  <c r="H1932" i="8"/>
  <c r="H1934" i="8"/>
  <c r="H1936" i="8"/>
  <c r="H1938" i="8"/>
  <c r="H1940" i="8"/>
  <c r="H1942" i="8"/>
  <c r="H1944" i="8"/>
  <c r="H1946" i="8"/>
  <c r="H1948" i="8"/>
  <c r="H1950" i="8"/>
  <c r="H1952" i="8"/>
  <c r="H1954" i="8"/>
  <c r="H1956" i="8"/>
  <c r="H1958" i="8"/>
  <c r="H1960" i="8"/>
  <c r="H1962" i="8"/>
  <c r="H1964" i="8"/>
  <c r="H1966" i="8"/>
  <c r="H1968" i="8"/>
  <c r="H1970" i="8"/>
  <c r="H1972" i="8"/>
  <c r="H1974" i="8"/>
  <c r="H1976" i="8"/>
  <c r="H1978" i="8"/>
  <c r="H1980" i="8"/>
  <c r="H1982" i="8"/>
  <c r="H1984" i="8"/>
  <c r="H1986" i="8"/>
  <c r="H1988" i="8"/>
  <c r="H1990" i="8"/>
  <c r="H1992" i="8"/>
  <c r="H1994" i="8"/>
  <c r="H1996" i="8"/>
  <c r="H1998" i="8"/>
  <c r="H2000" i="8"/>
  <c r="H2002" i="8"/>
  <c r="H2004" i="8"/>
  <c r="H2006" i="8"/>
  <c r="H2008" i="8"/>
  <c r="H2010" i="8"/>
  <c r="H2012" i="8"/>
  <c r="H2014" i="8"/>
  <c r="H2016" i="8"/>
  <c r="H2018" i="8"/>
  <c r="H2020" i="8"/>
  <c r="H2022" i="8"/>
  <c r="H2024" i="8"/>
  <c r="H2026" i="8"/>
  <c r="H2028" i="8"/>
  <c r="H2030" i="8"/>
  <c r="H2032" i="8"/>
  <c r="H2034" i="8"/>
  <c r="H2036" i="8"/>
  <c r="H2038" i="8"/>
  <c r="H2040" i="8"/>
  <c r="H2042" i="8"/>
  <c r="H2044" i="8"/>
  <c r="H2046" i="8"/>
  <c r="H2048" i="8"/>
  <c r="H2050" i="8"/>
  <c r="H2052" i="8"/>
  <c r="H2054" i="8"/>
  <c r="H2056" i="8"/>
  <c r="H2058" i="8"/>
  <c r="H2060" i="8"/>
  <c r="H2062" i="8"/>
  <c r="H2064" i="8"/>
  <c r="H2066" i="8"/>
  <c r="H2068" i="8"/>
  <c r="H2070" i="8"/>
  <c r="H2072" i="8"/>
  <c r="H2074" i="8"/>
  <c r="H2076" i="8"/>
  <c r="H2078" i="8"/>
  <c r="H2080" i="8"/>
  <c r="H2082" i="8"/>
  <c r="H2084" i="8"/>
  <c r="H2086" i="8"/>
  <c r="H2088" i="8"/>
  <c r="H2090" i="8"/>
  <c r="H2092" i="8"/>
  <c r="H2094" i="8"/>
  <c r="H2096" i="8"/>
  <c r="H2098" i="8"/>
  <c r="H2100" i="8"/>
  <c r="H2102" i="8"/>
  <c r="H2104" i="8"/>
  <c r="H2106" i="8"/>
  <c r="H2108" i="8"/>
  <c r="H2110" i="8"/>
  <c r="H2112" i="8"/>
  <c r="H2114" i="8"/>
  <c r="H2116" i="8"/>
  <c r="H2118" i="8"/>
  <c r="H2120" i="8"/>
  <c r="H2122" i="8"/>
  <c r="H2124" i="8"/>
  <c r="H2126" i="8"/>
  <c r="H2128" i="8"/>
  <c r="H2130" i="8"/>
  <c r="H2132" i="8"/>
  <c r="H2134" i="8"/>
  <c r="H2136" i="8"/>
  <c r="H2138" i="8"/>
  <c r="H2140" i="8"/>
  <c r="H2142" i="8"/>
  <c r="H2144" i="8"/>
  <c r="H2146" i="8"/>
  <c r="H2148" i="8"/>
  <c r="H2150" i="8"/>
  <c r="H2152" i="8"/>
  <c r="H2154" i="8"/>
  <c r="H2156" i="8"/>
  <c r="H2158" i="8"/>
  <c r="H2160" i="8"/>
  <c r="H2162" i="8"/>
  <c r="H2164" i="8"/>
  <c r="H2166" i="8"/>
  <c r="H2168" i="8"/>
  <c r="H2170" i="8"/>
  <c r="H2172" i="8"/>
  <c r="H2174" i="8"/>
  <c r="H2176" i="8"/>
  <c r="H2178" i="8"/>
  <c r="H2180" i="8"/>
  <c r="H2182" i="8"/>
  <c r="H2184" i="8"/>
  <c r="H2186" i="8"/>
  <c r="H2188" i="8"/>
  <c r="H2190" i="8"/>
  <c r="H2192" i="8"/>
  <c r="H2194" i="8"/>
  <c r="H2196" i="8"/>
  <c r="H2198" i="8"/>
  <c r="H2200" i="8"/>
  <c r="H2202" i="8"/>
  <c r="H2204" i="8"/>
  <c r="H2206" i="8"/>
  <c r="H2209" i="8"/>
  <c r="H2213" i="8"/>
  <c r="H2217" i="8"/>
  <c r="H2221" i="8"/>
  <c r="H2225" i="8"/>
  <c r="H2229" i="8"/>
  <c r="H2233" i="8"/>
  <c r="H2237" i="8"/>
  <c r="H2241" i="8"/>
  <c r="H2245" i="8"/>
  <c r="H2249" i="8"/>
  <c r="H2253" i="8"/>
  <c r="H2257" i="8"/>
  <c r="H2261" i="8"/>
  <c r="H2265" i="8"/>
  <c r="H2269" i="8"/>
  <c r="H2273" i="8"/>
  <c r="H2277" i="8"/>
  <c r="H2281" i="8"/>
  <c r="H2285" i="8"/>
  <c r="H2289" i="8"/>
  <c r="H2293" i="8"/>
  <c r="H2297" i="8"/>
  <c r="H2301" i="8"/>
  <c r="H2305" i="8"/>
  <c r="H2309" i="8"/>
  <c r="H2313" i="8"/>
  <c r="H2317" i="8"/>
  <c r="H2321" i="8"/>
  <c r="H2325" i="8"/>
  <c r="H2329" i="8"/>
  <c r="H2333" i="8"/>
  <c r="H2337" i="8"/>
  <c r="H2341" i="8"/>
  <c r="H2345" i="8"/>
  <c r="H2349" i="8"/>
  <c r="H2353" i="8"/>
  <c r="H2357" i="8"/>
  <c r="H2361" i="8"/>
  <c r="H2365" i="8"/>
  <c r="H2369" i="8"/>
  <c r="H2373" i="8"/>
  <c r="H2377" i="8"/>
  <c r="H2381" i="8"/>
  <c r="H2385" i="8"/>
  <c r="H2389" i="8"/>
  <c r="H2393" i="8"/>
  <c r="H2397" i="8"/>
  <c r="H2401" i="8"/>
  <c r="H2405" i="8"/>
  <c r="H2409" i="8"/>
  <c r="H2413" i="8"/>
  <c r="H2417" i="8"/>
  <c r="H2421" i="8"/>
  <c r="H2425" i="8"/>
  <c r="H2429" i="8"/>
  <c r="H2433" i="8"/>
  <c r="H2437" i="8"/>
  <c r="H2441" i="8"/>
  <c r="H2445" i="8"/>
  <c r="H2449" i="8"/>
  <c r="H2453" i="8"/>
  <c r="H2457" i="8"/>
  <c r="H2461" i="8"/>
  <c r="H2465" i="8"/>
  <c r="H2469" i="8"/>
  <c r="H2473" i="8"/>
  <c r="H2477" i="8"/>
  <c r="H2481" i="8"/>
  <c r="H2485" i="8"/>
  <c r="H2489" i="8"/>
  <c r="H2493" i="8"/>
  <c r="H2497" i="8"/>
  <c r="H2501" i="8"/>
  <c r="H2505" i="8"/>
  <c r="H2509" i="8"/>
  <c r="H2513" i="8"/>
  <c r="H2517" i="8"/>
  <c r="H2521" i="8"/>
  <c r="H2525" i="8"/>
  <c r="H2529" i="8"/>
  <c r="H2533" i="8"/>
  <c r="H2537" i="8"/>
  <c r="H2541" i="8"/>
  <c r="H2545" i="8"/>
  <c r="H2549" i="8"/>
  <c r="H2553" i="8"/>
  <c r="H2557" i="8"/>
  <c r="H2561" i="8"/>
  <c r="H2565" i="8"/>
  <c r="H2569" i="8"/>
  <c r="H2573" i="8"/>
  <c r="H2577" i="8"/>
  <c r="H2581" i="8"/>
  <c r="H2585" i="8"/>
  <c r="H2589" i="8"/>
  <c r="H2593" i="8"/>
  <c r="H2597" i="8"/>
  <c r="H2601" i="8"/>
  <c r="H2605" i="8"/>
  <c r="H2609" i="8"/>
  <c r="H2613" i="8"/>
  <c r="H2617" i="8"/>
  <c r="H2621" i="8"/>
  <c r="H2625" i="8"/>
  <c r="H2629" i="8"/>
  <c r="H2633" i="8"/>
  <c r="H2637" i="8"/>
  <c r="H2641" i="8"/>
  <c r="H2645" i="8"/>
  <c r="H2649" i="8"/>
  <c r="H2653" i="8"/>
  <c r="H2657" i="8"/>
  <c r="H2661" i="8"/>
  <c r="H2665" i="8"/>
  <c r="H2669" i="8"/>
  <c r="H2673" i="8"/>
  <c r="H2677" i="8"/>
  <c r="H2681" i="8"/>
  <c r="H2685" i="8"/>
  <c r="H2689" i="8"/>
  <c r="H2693" i="8"/>
  <c r="H2697" i="8"/>
  <c r="H2701" i="8"/>
  <c r="H2705" i="8"/>
  <c r="H2709" i="8"/>
  <c r="H2713" i="8"/>
  <c r="H2717" i="8"/>
  <c r="H2721" i="8"/>
  <c r="H2725" i="8"/>
  <c r="H2729" i="8"/>
  <c r="H2733" i="8"/>
  <c r="H2737" i="8"/>
  <c r="H2741" i="8"/>
  <c r="H2745" i="8"/>
  <c r="H2749" i="8"/>
  <c r="H2753" i="8"/>
  <c r="H2757" i="8"/>
  <c r="H2761" i="8"/>
  <c r="H2765" i="8"/>
  <c r="H2769" i="8"/>
  <c r="H2773" i="8"/>
  <c r="H2777" i="8"/>
  <c r="H2781" i="8"/>
  <c r="H2785" i="8"/>
  <c r="H2789" i="8"/>
  <c r="H2793" i="8"/>
  <c r="H2797" i="8"/>
  <c r="H2801" i="8"/>
  <c r="H2805" i="8"/>
  <c r="H2809" i="8"/>
  <c r="H2813" i="8"/>
  <c r="H2817" i="8"/>
  <c r="H2821" i="8"/>
  <c r="H2825" i="8"/>
  <c r="H2829" i="8"/>
  <c r="H2833" i="8"/>
  <c r="H2837" i="8"/>
  <c r="H2841" i="8"/>
  <c r="H2845" i="8"/>
  <c r="H2849" i="8"/>
  <c r="H2853" i="8"/>
  <c r="H2857" i="8"/>
  <c r="H2861" i="8"/>
  <c r="H2865" i="8"/>
  <c r="H2869" i="8"/>
  <c r="H2873" i="8"/>
  <c r="H2877" i="8"/>
  <c r="H2881" i="8"/>
  <c r="H2885" i="8"/>
  <c r="H2889" i="8"/>
  <c r="H2893" i="8"/>
  <c r="H2897" i="8"/>
  <c r="H2901" i="8"/>
  <c r="H2905" i="8"/>
  <c r="H2909" i="8"/>
  <c r="H2913" i="8"/>
  <c r="H2917" i="8"/>
  <c r="H2921" i="8"/>
  <c r="H2925" i="8"/>
  <c r="H2929" i="8"/>
  <c r="H2933" i="8"/>
  <c r="H2937" i="8"/>
  <c r="H2941" i="8"/>
  <c r="H2945" i="8"/>
  <c r="H2949" i="8"/>
  <c r="H2953" i="8"/>
  <c r="H2957" i="8"/>
  <c r="H2961" i="8"/>
  <c r="H2965" i="8"/>
  <c r="H2969" i="8"/>
  <c r="H2973" i="8"/>
  <c r="H2977" i="8"/>
  <c r="H2981" i="8"/>
  <c r="H2985" i="8"/>
  <c r="H2989" i="8"/>
  <c r="H2993" i="8"/>
  <c r="H2997" i="8"/>
  <c r="H3001" i="8"/>
  <c r="H3005" i="8"/>
  <c r="H3009" i="8"/>
  <c r="H3013" i="8"/>
  <c r="H3017" i="8"/>
  <c r="H3021" i="8"/>
  <c r="H3025" i="8"/>
  <c r="H3029" i="8"/>
  <c r="H3033" i="8"/>
  <c r="H3037" i="8"/>
  <c r="H3041" i="8"/>
  <c r="H3045" i="8"/>
  <c r="H3049" i="8"/>
  <c r="H3053" i="8"/>
  <c r="H3057" i="8"/>
  <c r="H3061" i="8"/>
  <c r="H3065" i="8"/>
  <c r="H3069" i="8"/>
  <c r="H3073" i="8"/>
  <c r="H3077" i="8"/>
  <c r="H3081" i="8"/>
  <c r="H3085" i="8"/>
  <c r="H3089" i="8"/>
  <c r="H3093" i="8"/>
  <c r="H3097" i="8"/>
  <c r="H3101" i="8"/>
  <c r="H3105" i="8"/>
  <c r="H3109" i="8"/>
  <c r="H3113" i="8"/>
  <c r="H3117" i="8"/>
  <c r="H3121" i="8"/>
  <c r="H3125" i="8"/>
  <c r="H3129" i="8"/>
  <c r="H3133" i="8"/>
  <c r="H3137" i="8"/>
  <c r="H3141" i="8"/>
  <c r="H3145" i="8"/>
  <c r="H3149" i="8"/>
  <c r="H3153" i="8"/>
  <c r="H3157" i="8"/>
  <c r="H3161" i="8"/>
  <c r="H3165" i="8"/>
  <c r="H3169" i="8"/>
  <c r="H3173" i="8"/>
  <c r="H3177" i="8"/>
  <c r="H3181" i="8"/>
  <c r="H3185" i="8"/>
  <c r="H3189" i="8"/>
  <c r="H3193" i="8"/>
  <c r="H3197" i="8"/>
  <c r="H3201" i="8"/>
  <c r="H3205" i="8"/>
  <c r="H3209" i="8"/>
  <c r="H3213" i="8"/>
  <c r="H3217" i="8"/>
  <c r="H3221" i="8"/>
  <c r="H3225" i="8"/>
  <c r="H3229" i="8"/>
  <c r="H3233" i="8"/>
  <c r="H3237" i="8"/>
  <c r="H3241" i="8"/>
  <c r="H3245" i="8"/>
  <c r="H3249" i="8"/>
  <c r="H3253" i="8"/>
  <c r="H3257" i="8"/>
  <c r="H3261" i="8"/>
  <c r="H3265" i="8"/>
  <c r="H3269" i="8"/>
  <c r="H3273" i="8"/>
  <c r="H3277" i="8"/>
  <c r="H3281" i="8"/>
  <c r="H3285" i="8"/>
  <c r="H3289" i="8"/>
  <c r="H3293" i="8"/>
  <c r="H3297" i="8"/>
  <c r="H3301" i="8"/>
  <c r="H3305" i="8"/>
  <c r="H3309" i="8"/>
  <c r="H3313" i="8"/>
  <c r="H3317" i="8"/>
  <c r="H3321" i="8"/>
  <c r="H3325" i="8"/>
  <c r="H3329" i="8"/>
  <c r="H3333" i="8"/>
  <c r="H3337" i="8"/>
  <c r="H3341" i="8"/>
  <c r="H3345" i="8"/>
  <c r="H3349" i="8"/>
  <c r="H3353" i="8"/>
  <c r="H3357" i="8"/>
  <c r="H3361" i="8"/>
  <c r="H3365" i="8"/>
  <c r="H3369" i="8"/>
  <c r="H3373" i="8"/>
  <c r="H3377" i="8"/>
  <c r="H3381" i="8"/>
  <c r="H3385" i="8"/>
  <c r="H3389" i="8"/>
  <c r="H3393" i="8"/>
  <c r="H3397" i="8"/>
  <c r="H3401" i="8"/>
  <c r="H3405" i="8"/>
  <c r="H3409" i="8"/>
  <c r="H3413" i="8"/>
  <c r="H3417" i="8"/>
  <c r="H3421" i="8"/>
  <c r="H3425" i="8"/>
  <c r="H3429" i="8"/>
  <c r="H3433" i="8"/>
  <c r="H3437" i="8"/>
  <c r="H3441" i="8"/>
  <c r="H3445" i="8"/>
  <c r="H3449" i="8"/>
  <c r="H3453" i="8"/>
  <c r="H3457" i="8"/>
  <c r="H3461" i="8"/>
  <c r="H3465" i="8"/>
  <c r="H3469" i="8"/>
  <c r="H3473" i="8"/>
  <c r="H3477" i="8"/>
  <c r="H3481" i="8"/>
  <c r="H3485" i="8"/>
  <c r="H3489" i="8"/>
  <c r="H3493" i="8"/>
  <c r="H3497" i="8"/>
  <c r="H3501" i="8"/>
  <c r="H3505" i="8"/>
  <c r="H3509" i="8"/>
  <c r="H3513" i="8"/>
  <c r="H3517" i="8"/>
  <c r="H3521" i="8"/>
  <c r="H3525" i="8"/>
  <c r="H3529" i="8"/>
  <c r="H3533" i="8"/>
  <c r="H3537" i="8"/>
  <c r="H3541" i="8"/>
  <c r="H3545" i="8"/>
  <c r="H3549" i="8"/>
  <c r="H3553" i="8"/>
  <c r="H3557" i="8"/>
  <c r="H3561" i="8"/>
  <c r="H3565" i="8"/>
  <c r="H3569" i="8"/>
  <c r="H3573" i="8"/>
  <c r="H3577" i="8"/>
  <c r="H3581" i="8"/>
  <c r="H3585" i="8"/>
  <c r="H3589" i="8"/>
  <c r="H3593" i="8"/>
  <c r="H3597" i="8"/>
  <c r="H3601" i="8"/>
  <c r="H3605" i="8"/>
  <c r="H3609" i="8"/>
  <c r="H3613" i="8"/>
  <c r="H3617" i="8"/>
  <c r="H3621" i="8"/>
  <c r="H3625" i="8"/>
  <c r="H3629" i="8"/>
  <c r="H3633" i="8"/>
  <c r="H3637" i="8"/>
  <c r="H3641" i="8"/>
  <c r="H3645" i="8"/>
  <c r="H3649" i="8"/>
  <c r="H3653" i="8"/>
  <c r="H3657" i="8"/>
  <c r="H3661" i="8"/>
  <c r="H3665" i="8"/>
  <c r="H3669" i="8"/>
  <c r="H3673" i="8"/>
  <c r="H3677" i="8"/>
  <c r="H3681" i="8"/>
  <c r="H3685" i="8"/>
  <c r="H3689" i="8"/>
  <c r="H3693" i="8"/>
  <c r="H3697" i="8"/>
  <c r="H3701" i="8"/>
  <c r="H3705" i="8"/>
  <c r="H3709" i="8"/>
  <c r="H3713" i="8"/>
  <c r="H3717" i="8"/>
  <c r="H3721" i="8"/>
  <c r="H3725" i="8"/>
  <c r="H3729" i="8"/>
  <c r="H3733" i="8"/>
  <c r="H3737" i="8"/>
  <c r="H3741" i="8"/>
  <c r="H3745" i="8"/>
  <c r="H3749" i="8"/>
  <c r="H3753" i="8"/>
  <c r="H3757" i="8"/>
  <c r="H3761" i="8"/>
  <c r="H3765" i="8"/>
  <c r="H3769" i="8"/>
  <c r="H3773" i="8"/>
  <c r="H3777" i="8"/>
  <c r="H3781" i="8"/>
  <c r="H3785" i="8"/>
  <c r="H3789" i="8"/>
  <c r="H3793" i="8"/>
  <c r="H3797" i="8"/>
  <c r="H3801" i="8"/>
  <c r="H3805" i="8"/>
  <c r="H3809" i="8"/>
  <c r="H3813" i="8"/>
  <c r="H3817" i="8"/>
  <c r="H3821" i="8"/>
  <c r="H3825" i="8"/>
  <c r="H3829" i="8"/>
  <c r="H3833" i="8"/>
  <c r="H3837" i="8"/>
  <c r="H3841" i="8"/>
  <c r="H3845" i="8"/>
  <c r="H3849" i="8"/>
  <c r="H3853" i="8"/>
  <c r="H3857" i="8"/>
  <c r="H3861" i="8"/>
  <c r="H3865" i="8"/>
  <c r="H3869" i="8"/>
  <c r="H3873" i="8"/>
  <c r="H3877" i="8"/>
  <c r="H3881" i="8"/>
  <c r="H3885" i="8"/>
  <c r="H3889" i="8"/>
  <c r="H3893" i="8"/>
  <c r="H3897" i="8"/>
  <c r="H3901" i="8"/>
  <c r="H3905" i="8"/>
  <c r="H3909" i="8"/>
  <c r="H3913" i="8"/>
  <c r="H3917" i="8"/>
  <c r="H3921" i="8"/>
  <c r="H3925" i="8"/>
  <c r="H3929" i="8"/>
  <c r="H3933" i="8"/>
  <c r="H3937" i="8"/>
  <c r="H3941" i="8"/>
  <c r="H3945" i="8"/>
  <c r="H3949" i="8"/>
  <c r="H3953" i="8"/>
  <c r="H3957" i="8"/>
  <c r="H3961" i="8"/>
  <c r="H3965" i="8"/>
  <c r="H3969" i="8"/>
  <c r="H3973" i="8"/>
  <c r="H3977" i="8"/>
  <c r="H3981" i="8"/>
  <c r="H3985" i="8"/>
  <c r="H3989" i="8"/>
  <c r="H3993" i="8"/>
  <c r="H3997" i="8"/>
  <c r="H4001" i="8"/>
  <c r="H4005" i="8"/>
  <c r="H4009" i="8"/>
  <c r="H4013" i="8"/>
  <c r="H4017" i="8"/>
  <c r="H4021" i="8"/>
  <c r="H4025" i="8"/>
  <c r="H4029" i="8"/>
  <c r="H4033" i="8"/>
  <c r="H4037" i="8"/>
  <c r="H4041" i="8"/>
  <c r="H4045" i="8"/>
  <c r="H4049" i="8"/>
  <c r="H4053" i="8"/>
  <c r="H4057" i="8"/>
  <c r="H4061" i="8"/>
  <c r="H4065" i="8"/>
  <c r="H4069" i="8"/>
  <c r="H4073" i="8"/>
  <c r="H4077" i="8"/>
  <c r="H4081" i="8"/>
  <c r="H4085" i="8"/>
  <c r="H4089" i="8"/>
  <c r="H4093" i="8"/>
  <c r="H4097" i="8"/>
  <c r="H4101" i="8"/>
  <c r="H4105" i="8"/>
  <c r="H4109" i="8"/>
  <c r="H4113" i="8"/>
  <c r="H4117" i="8"/>
  <c r="H4121" i="8"/>
  <c r="H4125" i="8"/>
  <c r="H4129" i="8"/>
  <c r="H4133" i="8"/>
  <c r="H4137" i="8"/>
  <c r="H4141" i="8"/>
  <c r="H4145" i="8"/>
  <c r="H4149" i="8"/>
  <c r="H4153" i="8"/>
  <c r="H4157" i="8"/>
  <c r="H4161" i="8"/>
  <c r="H4165" i="8"/>
  <c r="H4169" i="8"/>
  <c r="H4173" i="8"/>
  <c r="H4177" i="8"/>
  <c r="H4181" i="8"/>
  <c r="H4185" i="8"/>
  <c r="H4189" i="8"/>
  <c r="H4193" i="8"/>
  <c r="H4197" i="8"/>
  <c r="H4201" i="8"/>
  <c r="H4205" i="8"/>
  <c r="H4209" i="8"/>
  <c r="H4213" i="8"/>
  <c r="H4217" i="8"/>
  <c r="H4221" i="8"/>
  <c r="H4225" i="8"/>
  <c r="H4229" i="8"/>
  <c r="H4233" i="8"/>
  <c r="H4237" i="8"/>
  <c r="H4241" i="8"/>
  <c r="H4245" i="8"/>
  <c r="H4249" i="8"/>
  <c r="H4254" i="8"/>
  <c r="H4262" i="8"/>
  <c r="H4270" i="8"/>
  <c r="H4278" i="8"/>
  <c r="H4286" i="8"/>
  <c r="H4294" i="8"/>
  <c r="H4302" i="8"/>
  <c r="H4310" i="8"/>
  <c r="H4318" i="8"/>
  <c r="H4326" i="8"/>
  <c r="H4334" i="8"/>
  <c r="H4342" i="8"/>
  <c r="H4350" i="8"/>
  <c r="H4358" i="8"/>
  <c r="H4366" i="8"/>
  <c r="H4374" i="8"/>
  <c r="H4382" i="8"/>
  <c r="H4390" i="8"/>
  <c r="H4398" i="8"/>
  <c r="H4406" i="8"/>
  <c r="H4414" i="8"/>
  <c r="H4422" i="8"/>
  <c r="H4430" i="8"/>
  <c r="H4438" i="8"/>
  <c r="H4446" i="8"/>
  <c r="H4454" i="8"/>
  <c r="H4462" i="8"/>
  <c r="H4470" i="8"/>
  <c r="H4478" i="8"/>
  <c r="H4486" i="8"/>
  <c r="H4494" i="8"/>
  <c r="H4502" i="8"/>
  <c r="H4510" i="8"/>
  <c r="H4518" i="8"/>
  <c r="H4526" i="8"/>
  <c r="H4534" i="8"/>
  <c r="H4542" i="8"/>
  <c r="H4550" i="8"/>
  <c r="H4558" i="8"/>
  <c r="H4566" i="8"/>
  <c r="H4574" i="8"/>
  <c r="H4582" i="8"/>
  <c r="H4590" i="8"/>
  <c r="H4598" i="8"/>
  <c r="H4606" i="8"/>
  <c r="H4614" i="8"/>
  <c r="H4622" i="8"/>
  <c r="H4630" i="8"/>
  <c r="H4638" i="8"/>
  <c r="H4646" i="8"/>
  <c r="H4654" i="8"/>
  <c r="H4662" i="8"/>
  <c r="H4670" i="8"/>
  <c r="H4678" i="8"/>
  <c r="H4686" i="8"/>
  <c r="H4694" i="8"/>
  <c r="H4702" i="8"/>
  <c r="H4710" i="8"/>
  <c r="H4718" i="8"/>
  <c r="H4726" i="8"/>
  <c r="H4734" i="8"/>
  <c r="H4742" i="8"/>
  <c r="H4750" i="8"/>
  <c r="H4758" i="8"/>
  <c r="H4766" i="8"/>
  <c r="H4774" i="8"/>
  <c r="H4782" i="8"/>
  <c r="H4790" i="8"/>
  <c r="H4798" i="8"/>
  <c r="H4806" i="8"/>
  <c r="H4814" i="8"/>
  <c r="H4822" i="8"/>
  <c r="H4830" i="8"/>
  <c r="H4838" i="8"/>
  <c r="H4846" i="8"/>
  <c r="H4854" i="8"/>
  <c r="H4862" i="8"/>
  <c r="H4870" i="8"/>
  <c r="H4878" i="8"/>
  <c r="H4886" i="8"/>
  <c r="H4894" i="8"/>
  <c r="H4902" i="8"/>
  <c r="H4910" i="8"/>
  <c r="H4918" i="8"/>
  <c r="H4926" i="8"/>
  <c r="H4934" i="8"/>
  <c r="H4942" i="8"/>
  <c r="H4950" i="8"/>
  <c r="H4958" i="8"/>
  <c r="H4966" i="8"/>
  <c r="H4974" i="8"/>
  <c r="H4982" i="8"/>
  <c r="H4990" i="8"/>
  <c r="H4998" i="8"/>
  <c r="H5006" i="8"/>
  <c r="H5014" i="8"/>
  <c r="H5022" i="8"/>
  <c r="H5030" i="8"/>
  <c r="H5038" i="8"/>
  <c r="H5046" i="8"/>
  <c r="H5054" i="8"/>
  <c r="H5062" i="8"/>
  <c r="H5070" i="8"/>
  <c r="H5078" i="8"/>
  <c r="H5086" i="8"/>
  <c r="H5094" i="8"/>
  <c r="H5102" i="8"/>
  <c r="H5110" i="8"/>
  <c r="H5118" i="8"/>
  <c r="H5126" i="8"/>
  <c r="H5134" i="8"/>
  <c r="H5142" i="8"/>
  <c r="H5150" i="8"/>
  <c r="H5158" i="8"/>
  <c r="H5166" i="8"/>
  <c r="H5174" i="8"/>
  <c r="H5182" i="8"/>
  <c r="H5190" i="8"/>
  <c r="H5198" i="8"/>
  <c r="H5206" i="8"/>
  <c r="H5214" i="8"/>
  <c r="H5222" i="8"/>
  <c r="H5230" i="8"/>
  <c r="H5238" i="8"/>
  <c r="H5246" i="8"/>
  <c r="H5254" i="8"/>
  <c r="H5262" i="8"/>
  <c r="H5270" i="8"/>
  <c r="H5278" i="8"/>
  <c r="H5286" i="8"/>
  <c r="H5294" i="8"/>
  <c r="H5302" i="8"/>
  <c r="H5310" i="8"/>
  <c r="H5318" i="8"/>
  <c r="H5326" i="8"/>
  <c r="H5334" i="8"/>
  <c r="H5342" i="8"/>
  <c r="H5350" i="8"/>
  <c r="H5358" i="8"/>
  <c r="H5366" i="8"/>
  <c r="H5374" i="8"/>
  <c r="H5382" i="8"/>
  <c r="H5390" i="8"/>
  <c r="H5398" i="8"/>
  <c r="H5406" i="8"/>
  <c r="H5414" i="8"/>
  <c r="H5422" i="8"/>
  <c r="H5430" i="8"/>
  <c r="H5438" i="8"/>
  <c r="H5446" i="8"/>
  <c r="H5454" i="8"/>
  <c r="H5462" i="8"/>
  <c r="H5470" i="8"/>
  <c r="H5478" i="8"/>
  <c r="H5486" i="8"/>
  <c r="H5494" i="8"/>
  <c r="H5502" i="8"/>
  <c r="H5510" i="8"/>
  <c r="H5518" i="8"/>
  <c r="H5526" i="8"/>
  <c r="H5534" i="8"/>
  <c r="H5542" i="8"/>
  <c r="H5550" i="8"/>
  <c r="H5558" i="8"/>
  <c r="H5566" i="8"/>
  <c r="H5574" i="8"/>
  <c r="H5582" i="8"/>
  <c r="H5590" i="8"/>
  <c r="H5598" i="8"/>
  <c r="H5606" i="8"/>
  <c r="H5614" i="8"/>
  <c r="L5620" i="8"/>
  <c r="L5618" i="8"/>
  <c r="L5616" i="8"/>
  <c r="L5614" i="8"/>
  <c r="L5612" i="8"/>
  <c r="L5610" i="8"/>
  <c r="L5608" i="8"/>
  <c r="L5606" i="8"/>
  <c r="L5604" i="8"/>
  <c r="L5602" i="8"/>
  <c r="L5600" i="8"/>
  <c r="L5598" i="8"/>
  <c r="L5596" i="8"/>
  <c r="L5594" i="8"/>
  <c r="L5592" i="8"/>
  <c r="L5590" i="8"/>
  <c r="L5588" i="8"/>
  <c r="L5586" i="8"/>
  <c r="L5584" i="8"/>
  <c r="L5582" i="8"/>
  <c r="L5580" i="8"/>
  <c r="L5578" i="8"/>
  <c r="L5576" i="8"/>
  <c r="L5574" i="8"/>
  <c r="L5572" i="8"/>
  <c r="L5570" i="8"/>
  <c r="L5568" i="8"/>
  <c r="L5566" i="8"/>
  <c r="L5564" i="8"/>
  <c r="L5562" i="8"/>
  <c r="L5560" i="8"/>
  <c r="L5558" i="8"/>
  <c r="L5556" i="8"/>
  <c r="L5554" i="8"/>
  <c r="L5552" i="8"/>
  <c r="L5550" i="8"/>
  <c r="L5548" i="8"/>
  <c r="L5546" i="8"/>
  <c r="L5544" i="8"/>
  <c r="L5542" i="8"/>
  <c r="L5540" i="8"/>
  <c r="L5538" i="8"/>
  <c r="L5536" i="8"/>
  <c r="L5534" i="8"/>
  <c r="L5532" i="8"/>
  <c r="L5530" i="8"/>
  <c r="L5528" i="8"/>
  <c r="L5526" i="8"/>
  <c r="L5524" i="8"/>
  <c r="L5522" i="8"/>
  <c r="L5520" i="8"/>
  <c r="L5518" i="8"/>
  <c r="L5516" i="8"/>
  <c r="L5514" i="8"/>
  <c r="L5512" i="8"/>
  <c r="L5510" i="8"/>
  <c r="L5508" i="8"/>
  <c r="L5506" i="8"/>
  <c r="L5504" i="8"/>
  <c r="L5502" i="8"/>
  <c r="L5500" i="8"/>
  <c r="L5498" i="8"/>
  <c r="L5496" i="8"/>
  <c r="L5494" i="8"/>
  <c r="L5492" i="8"/>
  <c r="L5490" i="8"/>
  <c r="L5488" i="8"/>
  <c r="L5486" i="8"/>
  <c r="L5484" i="8"/>
  <c r="L5482" i="8"/>
  <c r="L5480" i="8"/>
  <c r="L5478" i="8"/>
  <c r="L5476" i="8"/>
  <c r="L5474" i="8"/>
  <c r="L5472" i="8"/>
  <c r="L5470" i="8"/>
  <c r="L5468" i="8"/>
  <c r="L5466" i="8"/>
  <c r="L5464" i="8"/>
  <c r="L5462" i="8"/>
  <c r="L5460" i="8"/>
  <c r="L5458" i="8"/>
  <c r="L5456" i="8"/>
  <c r="L5454" i="8"/>
  <c r="L5452" i="8"/>
  <c r="L5621" i="8"/>
  <c r="L5619" i="8"/>
  <c r="L5617" i="8"/>
  <c r="L5615" i="8"/>
  <c r="L5613" i="8"/>
  <c r="L5611" i="8"/>
  <c r="L5609" i="8"/>
  <c r="L5607" i="8"/>
  <c r="L5605" i="8"/>
  <c r="L5603" i="8"/>
  <c r="L5601" i="8"/>
  <c r="L5599" i="8"/>
  <c r="L5597" i="8"/>
  <c r="L5595" i="8"/>
  <c r="L5593" i="8"/>
  <c r="L5591" i="8"/>
  <c r="L5589" i="8"/>
  <c r="L5587" i="8"/>
  <c r="L5585" i="8"/>
  <c r="L5583" i="8"/>
  <c r="L5581" i="8"/>
  <c r="L5579" i="8"/>
  <c r="L5577" i="8"/>
  <c r="L5575" i="8"/>
  <c r="L5573" i="8"/>
  <c r="L5571" i="8"/>
  <c r="L5569" i="8"/>
  <c r="L5567" i="8"/>
  <c r="L5565" i="8"/>
  <c r="L5563" i="8"/>
  <c r="L5561" i="8"/>
  <c r="L5559" i="8"/>
  <c r="L5557" i="8"/>
  <c r="L5555" i="8"/>
  <c r="L5553" i="8"/>
  <c r="L5551" i="8"/>
  <c r="L5549" i="8"/>
  <c r="L5547" i="8"/>
  <c r="L5545" i="8"/>
  <c r="L5543" i="8"/>
  <c r="L5541" i="8"/>
  <c r="L5539" i="8"/>
  <c r="L5537" i="8"/>
  <c r="L5535" i="8"/>
  <c r="L5533" i="8"/>
  <c r="L5531" i="8"/>
  <c r="L5529" i="8"/>
  <c r="L5527" i="8"/>
  <c r="L5525" i="8"/>
  <c r="L5523" i="8"/>
  <c r="L5521" i="8"/>
  <c r="L5519" i="8"/>
  <c r="L5517" i="8"/>
  <c r="L5515" i="8"/>
  <c r="L5513" i="8"/>
  <c r="L5511" i="8"/>
  <c r="L5509" i="8"/>
  <c r="L5507" i="8"/>
  <c r="L5505" i="8"/>
  <c r="L5503" i="8"/>
  <c r="L5501" i="8"/>
  <c r="L5499" i="8"/>
  <c r="L5497" i="8"/>
  <c r="L5495" i="8"/>
  <c r="L5493" i="8"/>
  <c r="L5491" i="8"/>
  <c r="L5489" i="8"/>
  <c r="L5487" i="8"/>
  <c r="L5485" i="8"/>
  <c r="L5483" i="8"/>
  <c r="L5481" i="8"/>
  <c r="L5479" i="8"/>
  <c r="L5477" i="8"/>
  <c r="L5475" i="8"/>
  <c r="L5473" i="8"/>
  <c r="L5471" i="8"/>
  <c r="L5469" i="8"/>
  <c r="L5467" i="8"/>
  <c r="L5465" i="8"/>
  <c r="L5463" i="8"/>
  <c r="L5461" i="8"/>
  <c r="L5459" i="8"/>
  <c r="L5457" i="8"/>
  <c r="L5455" i="8"/>
  <c r="L5453" i="8"/>
  <c r="L5450" i="8"/>
  <c r="L5448" i="8"/>
  <c r="L5446" i="8"/>
  <c r="L5444" i="8"/>
  <c r="L5442" i="8"/>
  <c r="L5440" i="8"/>
  <c r="L5438" i="8"/>
  <c r="L5436" i="8"/>
  <c r="L5434" i="8"/>
  <c r="L5432" i="8"/>
  <c r="L5430" i="8"/>
  <c r="L5428" i="8"/>
  <c r="L5426" i="8"/>
  <c r="L5424" i="8"/>
  <c r="L5422" i="8"/>
  <c r="L5420" i="8"/>
  <c r="L5418" i="8"/>
  <c r="L5416" i="8"/>
  <c r="L5414" i="8"/>
  <c r="L5412" i="8"/>
  <c r="L5410" i="8"/>
  <c r="L5408" i="8"/>
  <c r="L5406" i="8"/>
  <c r="L5404" i="8"/>
  <c r="L5402" i="8"/>
  <c r="L5400" i="8"/>
  <c r="L5398" i="8"/>
  <c r="L5396" i="8"/>
  <c r="L5394" i="8"/>
  <c r="L5392" i="8"/>
  <c r="L5390" i="8"/>
  <c r="L5388" i="8"/>
  <c r="L5386" i="8"/>
  <c r="L5384" i="8"/>
  <c r="L5382" i="8"/>
  <c r="L5380" i="8"/>
  <c r="L5378" i="8"/>
  <c r="L5376" i="8"/>
  <c r="L5374" i="8"/>
  <c r="L5372" i="8"/>
  <c r="L5370" i="8"/>
  <c r="L5368" i="8"/>
  <c r="L5366" i="8"/>
  <c r="L5364" i="8"/>
  <c r="L5362" i="8"/>
  <c r="L5360" i="8"/>
  <c r="L5358" i="8"/>
  <c r="L5356" i="8"/>
  <c r="L5354" i="8"/>
  <c r="L5352" i="8"/>
  <c r="L5350" i="8"/>
  <c r="L5348" i="8"/>
  <c r="L5346" i="8"/>
  <c r="L5344" i="8"/>
  <c r="L5342" i="8"/>
  <c r="L5340" i="8"/>
  <c r="L5338" i="8"/>
  <c r="L5336" i="8"/>
  <c r="L5334" i="8"/>
  <c r="L5332" i="8"/>
  <c r="L5330" i="8"/>
  <c r="L5328" i="8"/>
  <c r="L5326" i="8"/>
  <c r="L5324" i="8"/>
  <c r="L5322" i="8"/>
  <c r="L5320" i="8"/>
  <c r="L5318" i="8"/>
  <c r="L5316" i="8"/>
  <c r="L5314" i="8"/>
  <c r="L5312" i="8"/>
  <c r="L5310" i="8"/>
  <c r="L5308" i="8"/>
  <c r="L5306" i="8"/>
  <c r="L5304" i="8"/>
  <c r="L5302" i="8"/>
  <c r="L5300" i="8"/>
  <c r="L5298" i="8"/>
  <c r="L5296" i="8"/>
  <c r="L5294" i="8"/>
  <c r="L5292" i="8"/>
  <c r="L5290" i="8"/>
  <c r="L5288" i="8"/>
  <c r="L5286" i="8"/>
  <c r="L5284" i="8"/>
  <c r="L5282" i="8"/>
  <c r="L5280" i="8"/>
  <c r="L5278" i="8"/>
  <c r="L5276" i="8"/>
  <c r="L5274" i="8"/>
  <c r="L5272" i="8"/>
  <c r="L5270" i="8"/>
  <c r="L5268" i="8"/>
  <c r="L5266" i="8"/>
  <c r="L5264" i="8"/>
  <c r="L5262" i="8"/>
  <c r="L5260" i="8"/>
  <c r="L5258" i="8"/>
  <c r="L5256" i="8"/>
  <c r="L5254" i="8"/>
  <c r="L5252" i="8"/>
  <c r="L5250" i="8"/>
  <c r="L5248" i="8"/>
  <c r="L5246" i="8"/>
  <c r="L5244" i="8"/>
  <c r="L5242" i="8"/>
  <c r="L5240" i="8"/>
  <c r="L5238" i="8"/>
  <c r="L5236" i="8"/>
  <c r="L5234" i="8"/>
  <c r="L5232" i="8"/>
  <c r="L5230" i="8"/>
  <c r="L5228" i="8"/>
  <c r="L5226" i="8"/>
  <c r="L5224" i="8"/>
  <c r="L5222" i="8"/>
  <c r="L5220" i="8"/>
  <c r="L5218" i="8"/>
  <c r="L5216" i="8"/>
  <c r="L5214" i="8"/>
  <c r="L5212" i="8"/>
  <c r="L5210" i="8"/>
  <c r="L5208" i="8"/>
  <c r="L5206" i="8"/>
  <c r="L5204" i="8"/>
  <c r="L5202" i="8"/>
  <c r="L5200" i="8"/>
  <c r="L5198" i="8"/>
  <c r="L5196" i="8"/>
  <c r="L5194" i="8"/>
  <c r="L5192" i="8"/>
  <c r="L5190" i="8"/>
  <c r="L5188" i="8"/>
  <c r="L5186" i="8"/>
  <c r="L5184" i="8"/>
  <c r="L5182" i="8"/>
  <c r="L5180" i="8"/>
  <c r="L5178" i="8"/>
  <c r="L5176" i="8"/>
  <c r="L5174" i="8"/>
  <c r="L5172" i="8"/>
  <c r="L5170" i="8"/>
  <c r="L5168" i="8"/>
  <c r="L5166" i="8"/>
  <c r="L5164" i="8"/>
  <c r="L5162" i="8"/>
  <c r="L5160" i="8"/>
  <c r="L5158" i="8"/>
  <c r="L5156" i="8"/>
  <c r="L5154" i="8"/>
  <c r="L5152" i="8"/>
  <c r="L5150" i="8"/>
  <c r="L5148" i="8"/>
  <c r="L5146" i="8"/>
  <c r="L5144" i="8"/>
  <c r="L5142" i="8"/>
  <c r="L5140" i="8"/>
  <c r="L5138" i="8"/>
  <c r="L5136" i="8"/>
  <c r="L5134" i="8"/>
  <c r="L5132" i="8"/>
  <c r="L5130" i="8"/>
  <c r="L5128" i="8"/>
  <c r="L5126" i="8"/>
  <c r="L5124" i="8"/>
  <c r="L5122" i="8"/>
  <c r="L5120" i="8"/>
  <c r="L5118" i="8"/>
  <c r="L5116" i="8"/>
  <c r="L5114" i="8"/>
  <c r="L5112" i="8"/>
  <c r="L5451" i="8"/>
  <c r="L5449" i="8"/>
  <c r="L5447" i="8"/>
  <c r="L5445" i="8"/>
  <c r="L5443" i="8"/>
  <c r="L5441" i="8"/>
  <c r="L5439" i="8"/>
  <c r="L5437" i="8"/>
  <c r="L5435" i="8"/>
  <c r="L5433" i="8"/>
  <c r="L5431" i="8"/>
  <c r="L5429" i="8"/>
  <c r="L5427" i="8"/>
  <c r="L5425" i="8"/>
  <c r="L5423" i="8"/>
  <c r="L5421" i="8"/>
  <c r="L5419" i="8"/>
  <c r="L5417" i="8"/>
  <c r="L5415" i="8"/>
  <c r="L5413" i="8"/>
  <c r="L5411" i="8"/>
  <c r="L5409" i="8"/>
  <c r="L5407" i="8"/>
  <c r="L5405" i="8"/>
  <c r="L5403" i="8"/>
  <c r="L5401" i="8"/>
  <c r="L5399" i="8"/>
  <c r="L5397" i="8"/>
  <c r="L5395" i="8"/>
  <c r="L5393" i="8"/>
  <c r="L5391" i="8"/>
  <c r="L5389" i="8"/>
  <c r="L5387" i="8"/>
  <c r="L5385" i="8"/>
  <c r="L5383" i="8"/>
  <c r="L5381" i="8"/>
  <c r="L5379" i="8"/>
  <c r="L5377" i="8"/>
  <c r="L5375" i="8"/>
  <c r="L5373" i="8"/>
  <c r="L5371" i="8"/>
  <c r="L5369" i="8"/>
  <c r="L5367" i="8"/>
  <c r="L5365" i="8"/>
  <c r="L5363" i="8"/>
  <c r="L5361" i="8"/>
  <c r="L5359" i="8"/>
  <c r="L5357" i="8"/>
  <c r="L5355" i="8"/>
  <c r="L5353" i="8"/>
  <c r="L5351" i="8"/>
  <c r="L5349" i="8"/>
  <c r="L5347" i="8"/>
  <c r="L5345" i="8"/>
  <c r="L5343" i="8"/>
  <c r="L5341" i="8"/>
  <c r="L5339" i="8"/>
  <c r="L5337" i="8"/>
  <c r="L5335" i="8"/>
  <c r="L5333" i="8"/>
  <c r="L5331" i="8"/>
  <c r="L5329" i="8"/>
  <c r="L5327" i="8"/>
  <c r="L5325" i="8"/>
  <c r="L5323" i="8"/>
  <c r="L5321" i="8"/>
  <c r="L5319" i="8"/>
  <c r="L5317" i="8"/>
  <c r="L5315" i="8"/>
  <c r="L5313" i="8"/>
  <c r="L5311" i="8"/>
  <c r="L5309" i="8"/>
  <c r="L5307" i="8"/>
  <c r="L5305" i="8"/>
  <c r="L5303" i="8"/>
  <c r="L5301" i="8"/>
  <c r="L5299" i="8"/>
  <c r="L5297" i="8"/>
  <c r="L5295" i="8"/>
  <c r="L5293" i="8"/>
  <c r="L5291" i="8"/>
  <c r="L5289" i="8"/>
  <c r="L5287" i="8"/>
  <c r="L5285" i="8"/>
  <c r="L5283" i="8"/>
  <c r="L5281" i="8"/>
  <c r="L5279" i="8"/>
  <c r="L5277" i="8"/>
  <c r="L5275" i="8"/>
  <c r="L5273" i="8"/>
  <c r="L5271" i="8"/>
  <c r="L5269" i="8"/>
  <c r="L5267" i="8"/>
  <c r="L5265" i="8"/>
  <c r="L5263" i="8"/>
  <c r="L5261" i="8"/>
  <c r="L5259" i="8"/>
  <c r="L5257" i="8"/>
  <c r="L5255" i="8"/>
  <c r="L5253" i="8"/>
  <c r="L5251" i="8"/>
  <c r="L5249" i="8"/>
  <c r="L5247" i="8"/>
  <c r="L5245" i="8"/>
  <c r="L5243" i="8"/>
  <c r="L5241" i="8"/>
  <c r="L5239" i="8"/>
  <c r="L5237" i="8"/>
  <c r="L5235" i="8"/>
  <c r="L5233" i="8"/>
  <c r="L5231" i="8"/>
  <c r="L5229" i="8"/>
  <c r="L5227" i="8"/>
  <c r="L5225" i="8"/>
  <c r="L5223" i="8"/>
  <c r="L5221" i="8"/>
  <c r="L5219" i="8"/>
  <c r="L5217" i="8"/>
  <c r="L5215" i="8"/>
  <c r="L5213" i="8"/>
  <c r="L5211" i="8"/>
  <c r="L5209" i="8"/>
  <c r="L5207" i="8"/>
  <c r="L5205" i="8"/>
  <c r="L5203" i="8"/>
  <c r="L5201" i="8"/>
  <c r="L5199" i="8"/>
  <c r="L5197" i="8"/>
  <c r="L5195" i="8"/>
  <c r="L5193" i="8"/>
  <c r="L5191" i="8"/>
  <c r="L5189" i="8"/>
  <c r="L5187" i="8"/>
  <c r="L5185" i="8"/>
  <c r="L5183" i="8"/>
  <c r="L5181" i="8"/>
  <c r="L5179" i="8"/>
  <c r="L5177" i="8"/>
  <c r="L5175" i="8"/>
  <c r="L5173" i="8"/>
  <c r="L5171" i="8"/>
  <c r="L5169" i="8"/>
  <c r="L5167" i="8"/>
  <c r="L5165" i="8"/>
  <c r="L5163" i="8"/>
  <c r="L5161" i="8"/>
  <c r="L5159" i="8"/>
  <c r="L5157" i="8"/>
  <c r="L5155" i="8"/>
  <c r="L5153" i="8"/>
  <c r="L5151" i="8"/>
  <c r="L5149" i="8"/>
  <c r="L5147" i="8"/>
  <c r="L5145" i="8"/>
  <c r="L5143" i="8"/>
  <c r="L5141" i="8"/>
  <c r="L5139" i="8"/>
  <c r="L5137" i="8"/>
  <c r="L5135" i="8"/>
  <c r="L5133" i="8"/>
  <c r="L5131" i="8"/>
  <c r="L5129" i="8"/>
  <c r="L5127" i="8"/>
  <c r="L5125" i="8"/>
  <c r="L5123" i="8"/>
  <c r="L5121" i="8"/>
  <c r="L5119" i="8"/>
  <c r="L5115" i="8"/>
  <c r="L5111" i="8"/>
  <c r="L5109" i="8"/>
  <c r="L5107" i="8"/>
  <c r="L5105" i="8"/>
  <c r="L5103" i="8"/>
  <c r="L5101" i="8"/>
  <c r="L5099" i="8"/>
  <c r="L5097" i="8"/>
  <c r="L5095" i="8"/>
  <c r="L5093" i="8"/>
  <c r="L5091" i="8"/>
  <c r="L5089" i="8"/>
  <c r="L5087" i="8"/>
  <c r="L5085" i="8"/>
  <c r="L5083" i="8"/>
  <c r="L5081" i="8"/>
  <c r="L5079" i="8"/>
  <c r="L5077" i="8"/>
  <c r="L5075" i="8"/>
  <c r="L5073" i="8"/>
  <c r="L5071" i="8"/>
  <c r="L5069" i="8"/>
  <c r="L5067" i="8"/>
  <c r="L5065" i="8"/>
  <c r="L5063" i="8"/>
  <c r="L5061" i="8"/>
  <c r="L5059" i="8"/>
  <c r="L5057" i="8"/>
  <c r="L5055" i="8"/>
  <c r="L5053" i="8"/>
  <c r="L5051" i="8"/>
  <c r="L5049" i="8"/>
  <c r="L5047" i="8"/>
  <c r="L5045" i="8"/>
  <c r="L5043" i="8"/>
  <c r="L5041" i="8"/>
  <c r="L5039" i="8"/>
  <c r="L5037" i="8"/>
  <c r="L5035" i="8"/>
  <c r="L5033" i="8"/>
  <c r="L5031" i="8"/>
  <c r="L5029" i="8"/>
  <c r="L5027" i="8"/>
  <c r="L5025" i="8"/>
  <c r="L5023" i="8"/>
  <c r="L5021" i="8"/>
  <c r="L5019" i="8"/>
  <c r="L5017" i="8"/>
  <c r="L5015" i="8"/>
  <c r="L5013" i="8"/>
  <c r="L5011" i="8"/>
  <c r="L5009" i="8"/>
  <c r="L5007" i="8"/>
  <c r="L5005" i="8"/>
  <c r="L5003" i="8"/>
  <c r="L5001" i="8"/>
  <c r="L4999" i="8"/>
  <c r="L4997" i="8"/>
  <c r="L4995" i="8"/>
  <c r="L4993" i="8"/>
  <c r="L4991" i="8"/>
  <c r="L4989" i="8"/>
  <c r="L4987" i="8"/>
  <c r="L4985" i="8"/>
  <c r="L4983" i="8"/>
  <c r="L4981" i="8"/>
  <c r="L4979" i="8"/>
  <c r="L4977" i="8"/>
  <c r="L4975" i="8"/>
  <c r="L4973" i="8"/>
  <c r="L4971" i="8"/>
  <c r="L4969" i="8"/>
  <c r="L4967" i="8"/>
  <c r="L4965" i="8"/>
  <c r="L4963" i="8"/>
  <c r="L4961" i="8"/>
  <c r="L4959" i="8"/>
  <c r="L4957" i="8"/>
  <c r="L4955" i="8"/>
  <c r="L4953" i="8"/>
  <c r="L4951" i="8"/>
  <c r="L4949" i="8"/>
  <c r="L4947" i="8"/>
  <c r="L4945" i="8"/>
  <c r="L4943" i="8"/>
  <c r="L4941" i="8"/>
  <c r="L4939" i="8"/>
  <c r="L4937" i="8"/>
  <c r="L4935" i="8"/>
  <c r="L4933" i="8"/>
  <c r="L4931" i="8"/>
  <c r="L4929" i="8"/>
  <c r="L4927" i="8"/>
  <c r="L4925" i="8"/>
  <c r="L4923" i="8"/>
  <c r="L4921" i="8"/>
  <c r="L4919" i="8"/>
  <c r="L4917" i="8"/>
  <c r="L4915" i="8"/>
  <c r="L4913" i="8"/>
  <c r="L4911" i="8"/>
  <c r="L4909" i="8"/>
  <c r="L4907" i="8"/>
  <c r="L4905" i="8"/>
  <c r="L4903" i="8"/>
  <c r="L4901" i="8"/>
  <c r="L4899" i="8"/>
  <c r="L4897" i="8"/>
  <c r="L4895" i="8"/>
  <c r="L4893" i="8"/>
  <c r="L4891" i="8"/>
  <c r="L4889" i="8"/>
  <c r="L4887" i="8"/>
  <c r="L4885" i="8"/>
  <c r="L4883" i="8"/>
  <c r="L4881" i="8"/>
  <c r="L4879" i="8"/>
  <c r="L4877" i="8"/>
  <c r="L4875" i="8"/>
  <c r="L4873" i="8"/>
  <c r="L4871" i="8"/>
  <c r="L4869" i="8"/>
  <c r="L4867" i="8"/>
  <c r="L4865" i="8"/>
  <c r="L4863" i="8"/>
  <c r="L4861" i="8"/>
  <c r="L4859" i="8"/>
  <c r="L4857" i="8"/>
  <c r="L4855" i="8"/>
  <c r="L4853" i="8"/>
  <c r="L4851" i="8"/>
  <c r="L4849" i="8"/>
  <c r="L4847" i="8"/>
  <c r="L4845" i="8"/>
  <c r="L4843" i="8"/>
  <c r="L4841" i="8"/>
  <c r="L4839" i="8"/>
  <c r="L4837" i="8"/>
  <c r="L4835" i="8"/>
  <c r="L4833" i="8"/>
  <c r="L4831" i="8"/>
  <c r="L4829" i="8"/>
  <c r="L4827" i="8"/>
  <c r="L4825" i="8"/>
  <c r="L4823" i="8"/>
  <c r="L4821" i="8"/>
  <c r="L4819" i="8"/>
  <c r="L4817" i="8"/>
  <c r="L4815" i="8"/>
  <c r="L4813" i="8"/>
  <c r="L4811" i="8"/>
  <c r="L4809" i="8"/>
  <c r="L4807" i="8"/>
  <c r="L4805" i="8"/>
  <c r="L4803" i="8"/>
  <c r="L4801" i="8"/>
  <c r="L4799" i="8"/>
  <c r="L4797" i="8"/>
  <c r="L4795" i="8"/>
  <c r="L4793" i="8"/>
  <c r="L4791" i="8"/>
  <c r="L4789" i="8"/>
  <c r="L4787" i="8"/>
  <c r="L4785" i="8"/>
  <c r="L4783" i="8"/>
  <c r="L4781" i="8"/>
  <c r="L4779" i="8"/>
  <c r="L4777" i="8"/>
  <c r="L4775" i="8"/>
  <c r="L4773" i="8"/>
  <c r="L4771" i="8"/>
  <c r="L4769" i="8"/>
  <c r="L4767" i="8"/>
  <c r="L4765" i="8"/>
  <c r="L4763" i="8"/>
  <c r="L4761" i="8"/>
  <c r="L4759" i="8"/>
  <c r="L4757" i="8"/>
  <c r="L4755" i="8"/>
  <c r="L4753" i="8"/>
  <c r="L4751" i="8"/>
  <c r="L5117" i="8"/>
  <c r="L5113" i="8"/>
  <c r="L5110" i="8"/>
  <c r="L5108" i="8"/>
  <c r="L5106" i="8"/>
  <c r="L5104" i="8"/>
  <c r="L5102" i="8"/>
  <c r="L5100" i="8"/>
  <c r="L5098" i="8"/>
  <c r="L5096" i="8"/>
  <c r="L5094" i="8"/>
  <c r="L5092" i="8"/>
  <c r="L5090" i="8"/>
  <c r="L5088" i="8"/>
  <c r="L5086" i="8"/>
  <c r="L5084" i="8"/>
  <c r="L5082" i="8"/>
  <c r="L5080" i="8"/>
  <c r="L5078" i="8"/>
  <c r="L5076" i="8"/>
  <c r="L5074" i="8"/>
  <c r="L5072" i="8"/>
  <c r="L5070" i="8"/>
  <c r="L5068" i="8"/>
  <c r="L5066" i="8"/>
  <c r="L5064" i="8"/>
  <c r="L5062" i="8"/>
  <c r="L5060" i="8"/>
  <c r="L5058" i="8"/>
  <c r="L5056" i="8"/>
  <c r="L5054" i="8"/>
  <c r="L5052" i="8"/>
  <c r="L5050" i="8"/>
  <c r="L5048" i="8"/>
  <c r="L5046" i="8"/>
  <c r="L5044" i="8"/>
  <c r="L5042" i="8"/>
  <c r="L5040" i="8"/>
  <c r="L5038" i="8"/>
  <c r="L5036" i="8"/>
  <c r="L5034" i="8"/>
  <c r="L5032" i="8"/>
  <c r="L5030" i="8"/>
  <c r="L5028" i="8"/>
  <c r="L5026" i="8"/>
  <c r="L5024" i="8"/>
  <c r="L5022" i="8"/>
  <c r="L5020" i="8"/>
  <c r="L5018" i="8"/>
  <c r="L5016" i="8"/>
  <c r="L5014" i="8"/>
  <c r="L5012" i="8"/>
  <c r="L5010" i="8"/>
  <c r="L5008" i="8"/>
  <c r="L5006" i="8"/>
  <c r="L5004" i="8"/>
  <c r="L5002" i="8"/>
  <c r="L5000" i="8"/>
  <c r="L4998" i="8"/>
  <c r="L4996" i="8"/>
  <c r="L4994" i="8"/>
  <c r="L4992" i="8"/>
  <c r="L4990" i="8"/>
  <c r="L4988" i="8"/>
  <c r="L4986" i="8"/>
  <c r="L4984" i="8"/>
  <c r="L4982" i="8"/>
  <c r="L4980" i="8"/>
  <c r="L4978" i="8"/>
  <c r="L4976" i="8"/>
  <c r="L4974" i="8"/>
  <c r="L4972" i="8"/>
  <c r="L4970" i="8"/>
  <c r="L4968" i="8"/>
  <c r="L4966" i="8"/>
  <c r="L4964" i="8"/>
  <c r="L4962" i="8"/>
  <c r="L4960" i="8"/>
  <c r="L4958" i="8"/>
  <c r="L4956" i="8"/>
  <c r="L4954" i="8"/>
  <c r="L4952" i="8"/>
  <c r="L4950" i="8"/>
  <c r="L4948" i="8"/>
  <c r="L4946" i="8"/>
  <c r="L4944" i="8"/>
  <c r="L4942" i="8"/>
  <c r="L4940" i="8"/>
  <c r="L4938" i="8"/>
  <c r="L4936" i="8"/>
  <c r="L4934" i="8"/>
  <c r="L4932" i="8"/>
  <c r="L4930" i="8"/>
  <c r="L4928" i="8"/>
  <c r="L4926" i="8"/>
  <c r="L4924" i="8"/>
  <c r="L4922" i="8"/>
  <c r="L4920" i="8"/>
  <c r="L4918" i="8"/>
  <c r="L4916" i="8"/>
  <c r="L4914" i="8"/>
  <c r="L4912" i="8"/>
  <c r="L4910" i="8"/>
  <c r="L4908" i="8"/>
  <c r="L4906" i="8"/>
  <c r="L4904" i="8"/>
  <c r="L4902" i="8"/>
  <c r="L4900" i="8"/>
  <c r="L4898" i="8"/>
  <c r="L4896" i="8"/>
  <c r="L4894" i="8"/>
  <c r="L4892" i="8"/>
  <c r="L4890" i="8"/>
  <c r="L4888" i="8"/>
  <c r="L4886" i="8"/>
  <c r="L4884" i="8"/>
  <c r="L4882" i="8"/>
  <c r="L4880" i="8"/>
  <c r="L4878" i="8"/>
  <c r="L4876" i="8"/>
  <c r="L4874" i="8"/>
  <c r="L4872" i="8"/>
  <c r="L4870" i="8"/>
  <c r="L4868" i="8"/>
  <c r="L4866" i="8"/>
  <c r="L4864" i="8"/>
  <c r="L4862" i="8"/>
  <c r="L4860" i="8"/>
  <c r="L4858" i="8"/>
  <c r="L4856" i="8"/>
  <c r="L4854" i="8"/>
  <c r="L4852" i="8"/>
  <c r="L4850" i="8"/>
  <c r="L4848" i="8"/>
  <c r="L4846" i="8"/>
  <c r="L4844" i="8"/>
  <c r="L4842" i="8"/>
  <c r="L4840" i="8"/>
  <c r="L4838" i="8"/>
  <c r="L4836" i="8"/>
  <c r="L4834" i="8"/>
  <c r="L4832" i="8"/>
  <c r="L4830" i="8"/>
  <c r="L4828" i="8"/>
  <c r="L4826" i="8"/>
  <c r="L4824" i="8"/>
  <c r="L4822" i="8"/>
  <c r="L4820" i="8"/>
  <c r="L4818" i="8"/>
  <c r="L4816" i="8"/>
  <c r="L4814" i="8"/>
  <c r="L4812" i="8"/>
  <c r="L4810" i="8"/>
  <c r="L4808" i="8"/>
  <c r="L4806" i="8"/>
  <c r="L4804" i="8"/>
  <c r="L4802" i="8"/>
  <c r="L4800" i="8"/>
  <c r="L4798" i="8"/>
  <c r="L4796" i="8"/>
  <c r="L4794" i="8"/>
  <c r="L4792" i="8"/>
  <c r="L4790" i="8"/>
  <c r="L4788" i="8"/>
  <c r="L4786" i="8"/>
  <c r="L4784" i="8"/>
  <c r="L4782" i="8"/>
  <c r="L4780" i="8"/>
  <c r="L4778" i="8"/>
  <c r="L4776" i="8"/>
  <c r="L4772" i="8"/>
  <c r="L4768" i="8"/>
  <c r="L4764" i="8"/>
  <c r="L4760" i="8"/>
  <c r="L4756" i="8"/>
  <c r="L4752" i="8"/>
  <c r="L4749" i="8"/>
  <c r="L4747" i="8"/>
  <c r="L4745" i="8"/>
  <c r="L4743" i="8"/>
  <c r="L4741" i="8"/>
  <c r="L4739" i="8"/>
  <c r="L4737" i="8"/>
  <c r="L4735" i="8"/>
  <c r="L4733" i="8"/>
  <c r="L4731" i="8"/>
  <c r="L4729" i="8"/>
  <c r="L4727" i="8"/>
  <c r="L4725" i="8"/>
  <c r="L4723" i="8"/>
  <c r="L4721" i="8"/>
  <c r="L4719" i="8"/>
  <c r="L4717" i="8"/>
  <c r="L4715" i="8"/>
  <c r="L4713" i="8"/>
  <c r="L4711" i="8"/>
  <c r="L4709" i="8"/>
  <c r="L4707" i="8"/>
  <c r="L4705" i="8"/>
  <c r="L4703" i="8"/>
  <c r="L4701" i="8"/>
  <c r="L4699" i="8"/>
  <c r="L4697" i="8"/>
  <c r="L4695" i="8"/>
  <c r="L4693" i="8"/>
  <c r="L4691" i="8"/>
  <c r="L4689" i="8"/>
  <c r="L4687" i="8"/>
  <c r="L4685" i="8"/>
  <c r="L4683" i="8"/>
  <c r="L4681" i="8"/>
  <c r="L4679" i="8"/>
  <c r="L4677" i="8"/>
  <c r="L4675" i="8"/>
  <c r="L4673" i="8"/>
  <c r="L4671" i="8"/>
  <c r="L4669" i="8"/>
  <c r="L4667" i="8"/>
  <c r="L4665" i="8"/>
  <c r="L4663" i="8"/>
  <c r="L4661" i="8"/>
  <c r="L4659" i="8"/>
  <c r="L4657" i="8"/>
  <c r="L4655" i="8"/>
  <c r="L4653" i="8"/>
  <c r="L4651" i="8"/>
  <c r="L4649" i="8"/>
  <c r="L4647" i="8"/>
  <c r="L4645" i="8"/>
  <c r="L4643" i="8"/>
  <c r="L4641" i="8"/>
  <c r="L4639" i="8"/>
  <c r="L4637" i="8"/>
  <c r="L4635" i="8"/>
  <c r="L4633" i="8"/>
  <c r="L4631" i="8"/>
  <c r="L4629" i="8"/>
  <c r="L4627" i="8"/>
  <c r="L4625" i="8"/>
  <c r="L4623" i="8"/>
  <c r="L4621" i="8"/>
  <c r="L4619" i="8"/>
  <c r="L4617" i="8"/>
  <c r="L4615" i="8"/>
  <c r="L4613" i="8"/>
  <c r="L4611" i="8"/>
  <c r="L4609" i="8"/>
  <c r="L4607" i="8"/>
  <c r="L4605" i="8"/>
  <c r="L4603" i="8"/>
  <c r="L4601" i="8"/>
  <c r="L4599" i="8"/>
  <c r="L4597" i="8"/>
  <c r="L4595" i="8"/>
  <c r="L4593" i="8"/>
  <c r="L4591" i="8"/>
  <c r="L4589" i="8"/>
  <c r="L4587" i="8"/>
  <c r="L4585" i="8"/>
  <c r="L4583" i="8"/>
  <c r="L4581" i="8"/>
  <c r="L4579" i="8"/>
  <c r="L4577" i="8"/>
  <c r="L4575" i="8"/>
  <c r="L4573" i="8"/>
  <c r="L4571" i="8"/>
  <c r="L4569" i="8"/>
  <c r="L4567" i="8"/>
  <c r="L4565" i="8"/>
  <c r="L4563" i="8"/>
  <c r="L4561" i="8"/>
  <c r="L4559" i="8"/>
  <c r="L4557" i="8"/>
  <c r="L4555" i="8"/>
  <c r="L4553" i="8"/>
  <c r="L4551" i="8"/>
  <c r="L4549" i="8"/>
  <c r="L4547" i="8"/>
  <c r="L4545" i="8"/>
  <c r="L4543" i="8"/>
  <c r="L4541" i="8"/>
  <c r="L4539" i="8"/>
  <c r="L4537" i="8"/>
  <c r="L4535" i="8"/>
  <c r="L4533" i="8"/>
  <c r="L4531" i="8"/>
  <c r="L4529" i="8"/>
  <c r="L4527" i="8"/>
  <c r="L4525" i="8"/>
  <c r="L4523" i="8"/>
  <c r="L4521" i="8"/>
  <c r="L4519" i="8"/>
  <c r="L4517" i="8"/>
  <c r="L4515" i="8"/>
  <c r="L4513" i="8"/>
  <c r="L4511" i="8"/>
  <c r="L4509" i="8"/>
  <c r="L4507" i="8"/>
  <c r="L4505" i="8"/>
  <c r="L4503" i="8"/>
  <c r="L4501" i="8"/>
  <c r="L4499" i="8"/>
  <c r="L4497" i="8"/>
  <c r="L4495" i="8"/>
  <c r="L4493" i="8"/>
  <c r="L4491" i="8"/>
  <c r="L4489" i="8"/>
  <c r="L4487" i="8"/>
  <c r="L4485" i="8"/>
  <c r="L4483" i="8"/>
  <c r="L4481" i="8"/>
  <c r="L4479" i="8"/>
  <c r="L4477" i="8"/>
  <c r="L4475" i="8"/>
  <c r="L4473" i="8"/>
  <c r="L4471" i="8"/>
  <c r="L4469" i="8"/>
  <c r="L4467" i="8"/>
  <c r="L4465" i="8"/>
  <c r="L4463" i="8"/>
  <c r="L4461" i="8"/>
  <c r="L4459" i="8"/>
  <c r="L4457" i="8"/>
  <c r="L4455" i="8"/>
  <c r="L4453" i="8"/>
  <c r="L4451" i="8"/>
  <c r="L4449" i="8"/>
  <c r="L4447" i="8"/>
  <c r="L4445" i="8"/>
  <c r="L4443" i="8"/>
  <c r="L4441" i="8"/>
  <c r="L4439" i="8"/>
  <c r="L4437" i="8"/>
  <c r="L4435" i="8"/>
  <c r="L4433" i="8"/>
  <c r="L4431" i="8"/>
  <c r="L4429" i="8"/>
  <c r="L4427" i="8"/>
  <c r="L4425" i="8"/>
  <c r="L4423" i="8"/>
  <c r="L4421" i="8"/>
  <c r="L4419" i="8"/>
  <c r="L4417" i="8"/>
  <c r="L4415" i="8"/>
  <c r="L4413" i="8"/>
  <c r="L4411" i="8"/>
  <c r="L4409" i="8"/>
  <c r="L4407" i="8"/>
  <c r="L4405" i="8"/>
  <c r="L4403" i="8"/>
  <c r="L4401" i="8"/>
  <c r="L4399" i="8"/>
  <c r="L4397" i="8"/>
  <c r="L4395" i="8"/>
  <c r="L4393" i="8"/>
  <c r="L4391" i="8"/>
  <c r="L4389" i="8"/>
  <c r="L4387" i="8"/>
  <c r="L4385" i="8"/>
  <c r="L4383" i="8"/>
  <c r="L4381" i="8"/>
  <c r="L4379" i="8"/>
  <c r="L4377" i="8"/>
  <c r="L4375" i="8"/>
  <c r="L4373" i="8"/>
  <c r="L4371" i="8"/>
  <c r="L4369" i="8"/>
  <c r="L4367" i="8"/>
  <c r="L4365" i="8"/>
  <c r="L4363" i="8"/>
  <c r="L4361" i="8"/>
  <c r="L4359" i="8"/>
  <c r="L4357" i="8"/>
  <c r="L4355" i="8"/>
  <c r="L4353" i="8"/>
  <c r="L4351" i="8"/>
  <c r="L4349" i="8"/>
  <c r="L4347" i="8"/>
  <c r="L4345" i="8"/>
  <c r="L4343" i="8"/>
  <c r="L4341" i="8"/>
  <c r="L4339" i="8"/>
  <c r="L4337" i="8"/>
  <c r="L4335" i="8"/>
  <c r="L4333" i="8"/>
  <c r="L4331" i="8"/>
  <c r="L4329" i="8"/>
  <c r="L4327" i="8"/>
  <c r="L4325" i="8"/>
  <c r="L4323" i="8"/>
  <c r="L4321" i="8"/>
  <c r="L4319" i="8"/>
  <c r="L4317" i="8"/>
  <c r="L4315" i="8"/>
  <c r="L4313" i="8"/>
  <c r="L4311" i="8"/>
  <c r="L4309" i="8"/>
  <c r="L4307" i="8"/>
  <c r="L4305" i="8"/>
  <c r="L4303" i="8"/>
  <c r="L4301" i="8"/>
  <c r="L4299" i="8"/>
  <c r="L4297" i="8"/>
  <c r="L4295" i="8"/>
  <c r="L4293" i="8"/>
  <c r="L4291" i="8"/>
  <c r="L4289" i="8"/>
  <c r="L4287" i="8"/>
  <c r="L4285" i="8"/>
  <c r="L4283" i="8"/>
  <c r="L4281" i="8"/>
  <c r="L4279" i="8"/>
  <c r="L4277" i="8"/>
  <c r="L4275" i="8"/>
  <c r="L4273" i="8"/>
  <c r="L4271" i="8"/>
  <c r="L4269" i="8"/>
  <c r="L4267" i="8"/>
  <c r="L4265" i="8"/>
  <c r="L4263" i="8"/>
  <c r="L4261" i="8"/>
  <c r="L4259" i="8"/>
  <c r="L4257" i="8"/>
  <c r="L4255" i="8"/>
  <c r="L4253" i="8"/>
  <c r="L4251" i="8"/>
  <c r="L4249" i="8"/>
  <c r="L4247" i="8"/>
  <c r="L4245" i="8"/>
  <c r="L4243" i="8"/>
  <c r="L4241" i="8"/>
  <c r="L4239" i="8"/>
  <c r="L4237" i="8"/>
  <c r="L4235" i="8"/>
  <c r="L4233" i="8"/>
  <c r="L4231" i="8"/>
  <c r="L4229" i="8"/>
  <c r="L4227" i="8"/>
  <c r="L4225" i="8"/>
  <c r="L4223" i="8"/>
  <c r="L4221" i="8"/>
  <c r="L4219" i="8"/>
  <c r="L4217" i="8"/>
  <c r="L4215" i="8"/>
  <c r="L4213" i="8"/>
  <c r="L4211" i="8"/>
  <c r="L4209" i="8"/>
  <c r="L4207" i="8"/>
  <c r="L4205" i="8"/>
  <c r="L4203" i="8"/>
  <c r="L4201" i="8"/>
  <c r="L4199" i="8"/>
  <c r="L4197" i="8"/>
  <c r="L4195" i="8"/>
  <c r="L4193" i="8"/>
  <c r="L4191" i="8"/>
  <c r="L4189" i="8"/>
  <c r="L4187" i="8"/>
  <c r="L4185" i="8"/>
  <c r="L4183" i="8"/>
  <c r="L4181" i="8"/>
  <c r="L4179" i="8"/>
  <c r="L4177" i="8"/>
  <c r="L4175" i="8"/>
  <c r="L4173" i="8"/>
  <c r="L4171" i="8"/>
  <c r="L4169" i="8"/>
  <c r="L4167" i="8"/>
  <c r="L4165" i="8"/>
  <c r="L4163" i="8"/>
  <c r="L4161" i="8"/>
  <c r="L4159" i="8"/>
  <c r="L4157" i="8"/>
  <c r="L4155" i="8"/>
  <c r="L4153" i="8"/>
  <c r="L4151" i="8"/>
  <c r="L4149" i="8"/>
  <c r="L4147" i="8"/>
  <c r="L4145" i="8"/>
  <c r="L4143" i="8"/>
  <c r="L4141" i="8"/>
  <c r="L4139" i="8"/>
  <c r="L4137" i="8"/>
  <c r="L4135" i="8"/>
  <c r="L4133" i="8"/>
  <c r="L4131" i="8"/>
  <c r="L4129" i="8"/>
  <c r="L4127" i="8"/>
  <c r="L4125" i="8"/>
  <c r="L4123" i="8"/>
  <c r="L4121" i="8"/>
  <c r="L4119" i="8"/>
  <c r="L4117" i="8"/>
  <c r="L4115" i="8"/>
  <c r="L4113" i="8"/>
  <c r="L4111" i="8"/>
  <c r="L4109" i="8"/>
  <c r="L4107" i="8"/>
  <c r="L4105" i="8"/>
  <c r="L4103" i="8"/>
  <c r="L4101" i="8"/>
  <c r="L4099" i="8"/>
  <c r="L4097" i="8"/>
  <c r="L4095" i="8"/>
  <c r="L4093" i="8"/>
  <c r="L4091" i="8"/>
  <c r="L4089" i="8"/>
  <c r="L4087" i="8"/>
  <c r="L4085" i="8"/>
  <c r="L4083" i="8"/>
  <c r="L4081" i="8"/>
  <c r="L4774" i="8"/>
  <c r="L4770" i="8"/>
  <c r="L4766" i="8"/>
  <c r="L4762" i="8"/>
  <c r="L4758" i="8"/>
  <c r="L4754" i="8"/>
  <c r="L4750" i="8"/>
  <c r="L4748" i="8"/>
  <c r="L4746" i="8"/>
  <c r="L4744" i="8"/>
  <c r="L4742" i="8"/>
  <c r="L4740" i="8"/>
  <c r="L4738" i="8"/>
  <c r="L4736" i="8"/>
  <c r="L4734" i="8"/>
  <c r="L4732" i="8"/>
  <c r="L4730" i="8"/>
  <c r="L4728" i="8"/>
  <c r="L4726" i="8"/>
  <c r="L4724" i="8"/>
  <c r="L4722" i="8"/>
  <c r="L4720" i="8"/>
  <c r="L4718" i="8"/>
  <c r="L4716" i="8"/>
  <c r="L4714" i="8"/>
  <c r="L4712" i="8"/>
  <c r="L4710" i="8"/>
  <c r="L4708" i="8"/>
  <c r="L4706" i="8"/>
  <c r="L4704" i="8"/>
  <c r="L4702" i="8"/>
  <c r="L4700" i="8"/>
  <c r="L4698" i="8"/>
  <c r="L4696" i="8"/>
  <c r="L4694" i="8"/>
  <c r="L4692" i="8"/>
  <c r="L4690" i="8"/>
  <c r="L4688" i="8"/>
  <c r="L4686" i="8"/>
  <c r="L4684" i="8"/>
  <c r="L4682" i="8"/>
  <c r="L4680" i="8"/>
  <c r="L4678" i="8"/>
  <c r="L4676" i="8"/>
  <c r="L4674" i="8"/>
  <c r="L4672" i="8"/>
  <c r="L4670" i="8"/>
  <c r="L4668" i="8"/>
  <c r="L4666" i="8"/>
  <c r="L4664" i="8"/>
  <c r="L4662" i="8"/>
  <c r="L4660" i="8"/>
  <c r="L4658" i="8"/>
  <c r="L4656" i="8"/>
  <c r="L4654" i="8"/>
  <c r="L4652" i="8"/>
  <c r="L4650" i="8"/>
  <c r="L4648" i="8"/>
  <c r="L4646" i="8"/>
  <c r="L4644" i="8"/>
  <c r="L4642" i="8"/>
  <c r="L4640" i="8"/>
  <c r="L4638" i="8"/>
  <c r="L4636" i="8"/>
  <c r="L4634" i="8"/>
  <c r="L4632" i="8"/>
  <c r="L4630" i="8"/>
  <c r="L4628" i="8"/>
  <c r="L4626" i="8"/>
  <c r="L4624" i="8"/>
  <c r="L4622" i="8"/>
  <c r="L4620" i="8"/>
  <c r="L4618" i="8"/>
  <c r="L4616" i="8"/>
  <c r="L4614" i="8"/>
  <c r="L4612" i="8"/>
  <c r="L4610" i="8"/>
  <c r="L4608" i="8"/>
  <c r="L4606" i="8"/>
  <c r="L4604" i="8"/>
  <c r="L4602" i="8"/>
  <c r="L4600" i="8"/>
  <c r="L4598" i="8"/>
  <c r="L4596" i="8"/>
  <c r="L4594" i="8"/>
  <c r="L4592" i="8"/>
  <c r="L4590" i="8"/>
  <c r="L4588" i="8"/>
  <c r="L4586" i="8"/>
  <c r="L4584" i="8"/>
  <c r="L4582" i="8"/>
  <c r="L4580" i="8"/>
  <c r="L4578" i="8"/>
  <c r="L4576" i="8"/>
  <c r="L4574" i="8"/>
  <c r="L4572" i="8"/>
  <c r="L4570" i="8"/>
  <c r="L4568" i="8"/>
  <c r="L4566" i="8"/>
  <c r="L4564" i="8"/>
  <c r="L4562" i="8"/>
  <c r="L4560" i="8"/>
  <c r="L4558" i="8"/>
  <c r="L4556" i="8"/>
  <c r="L4554" i="8"/>
  <c r="L4552" i="8"/>
  <c r="L4550" i="8"/>
  <c r="L4548" i="8"/>
  <c r="L4546" i="8"/>
  <c r="L4544" i="8"/>
  <c r="L4542" i="8"/>
  <c r="L4540" i="8"/>
  <c r="L4538" i="8"/>
  <c r="L4536" i="8"/>
  <c r="L4534" i="8"/>
  <c r="L4532" i="8"/>
  <c r="L4530" i="8"/>
  <c r="L4528" i="8"/>
  <c r="L4526" i="8"/>
  <c r="L4524" i="8"/>
  <c r="L4522" i="8"/>
  <c r="L4520" i="8"/>
  <c r="L4518" i="8"/>
  <c r="L4516" i="8"/>
  <c r="L4514" i="8"/>
  <c r="L4512" i="8"/>
  <c r="L4510" i="8"/>
  <c r="L4508" i="8"/>
  <c r="L4506" i="8"/>
  <c r="L4504" i="8"/>
  <c r="L4502" i="8"/>
  <c r="L4500" i="8"/>
  <c r="L4498" i="8"/>
  <c r="L4496" i="8"/>
  <c r="L4494" i="8"/>
  <c r="L4492" i="8"/>
  <c r="L4490" i="8"/>
  <c r="L4488" i="8"/>
  <c r="L4486" i="8"/>
  <c r="L4484" i="8"/>
  <c r="L4482" i="8"/>
  <c r="L4480" i="8"/>
  <c r="L4478" i="8"/>
  <c r="L4476" i="8"/>
  <c r="L4474" i="8"/>
  <c r="L4472" i="8"/>
  <c r="L4470" i="8"/>
  <c r="L4468" i="8"/>
  <c r="L4466" i="8"/>
  <c r="L4464" i="8"/>
  <c r="L4462" i="8"/>
  <c r="L4460" i="8"/>
  <c r="L4458" i="8"/>
  <c r="L4456" i="8"/>
  <c r="L4454" i="8"/>
  <c r="L4452" i="8"/>
  <c r="L4450" i="8"/>
  <c r="L4448" i="8"/>
  <c r="L4446" i="8"/>
  <c r="L4444" i="8"/>
  <c r="L4442" i="8"/>
  <c r="L4440" i="8"/>
  <c r="L4438" i="8"/>
  <c r="L4436" i="8"/>
  <c r="L4434" i="8"/>
  <c r="L4432" i="8"/>
  <c r="L4430" i="8"/>
  <c r="L4428" i="8"/>
  <c r="L4426" i="8"/>
  <c r="L4424" i="8"/>
  <c r="L4422" i="8"/>
  <c r="L4420" i="8"/>
  <c r="L4418" i="8"/>
  <c r="L4416" i="8"/>
  <c r="L4414" i="8"/>
  <c r="L4412" i="8"/>
  <c r="L4410" i="8"/>
  <c r="L4408" i="8"/>
  <c r="L4406" i="8"/>
  <c r="L4404" i="8"/>
  <c r="L4402" i="8"/>
  <c r="L4400" i="8"/>
  <c r="L4398" i="8"/>
  <c r="L4396" i="8"/>
  <c r="L4394" i="8"/>
  <c r="L4392" i="8"/>
  <c r="L4390" i="8"/>
  <c r="L4388" i="8"/>
  <c r="L4386" i="8"/>
  <c r="L4384" i="8"/>
  <c r="L4382" i="8"/>
  <c r="L4380" i="8"/>
  <c r="L4378" i="8"/>
  <c r="L4376" i="8"/>
  <c r="L4374" i="8"/>
  <c r="L4372" i="8"/>
  <c r="L4370" i="8"/>
  <c r="L4368" i="8"/>
  <c r="L4366" i="8"/>
  <c r="L4364" i="8"/>
  <c r="L4362" i="8"/>
  <c r="L4360" i="8"/>
  <c r="L4358" i="8"/>
  <c r="L4356" i="8"/>
  <c r="L4354" i="8"/>
  <c r="L4352" i="8"/>
  <c r="L4350" i="8"/>
  <c r="L4348" i="8"/>
  <c r="L4346" i="8"/>
  <c r="L4344" i="8"/>
  <c r="L4342" i="8"/>
  <c r="L4340" i="8"/>
  <c r="L4338" i="8"/>
  <c r="L4336" i="8"/>
  <c r="L4334" i="8"/>
  <c r="L4332" i="8"/>
  <c r="L4330" i="8"/>
  <c r="L4328" i="8"/>
  <c r="L4326" i="8"/>
  <c r="L4324" i="8"/>
  <c r="L4322" i="8"/>
  <c r="L4320" i="8"/>
  <c r="L4318" i="8"/>
  <c r="L4316" i="8"/>
  <c r="L4314" i="8"/>
  <c r="L4312" i="8"/>
  <c r="L4310" i="8"/>
  <c r="L4308" i="8"/>
  <c r="L4306" i="8"/>
  <c r="L4304" i="8"/>
  <c r="L4302" i="8"/>
  <c r="L4300" i="8"/>
  <c r="L4298" i="8"/>
  <c r="L4296" i="8"/>
  <c r="L4294" i="8"/>
  <c r="L4292" i="8"/>
  <c r="L4290" i="8"/>
  <c r="L4288" i="8"/>
  <c r="L4286" i="8"/>
  <c r="L4284" i="8"/>
  <c r="L4282" i="8"/>
  <c r="L4280" i="8"/>
  <c r="L4278" i="8"/>
  <c r="L4276" i="8"/>
  <c r="L4274" i="8"/>
  <c r="L4272" i="8"/>
  <c r="L4270" i="8"/>
  <c r="L4268" i="8"/>
  <c r="L4266" i="8"/>
  <c r="L4264" i="8"/>
  <c r="L4262" i="8"/>
  <c r="L4260" i="8"/>
  <c r="L4258" i="8"/>
  <c r="L4256" i="8"/>
  <c r="L4254" i="8"/>
  <c r="L4252" i="8"/>
  <c r="L4250" i="8"/>
  <c r="L4248" i="8"/>
  <c r="L4246" i="8"/>
  <c r="L4244" i="8"/>
  <c r="L4242" i="8"/>
  <c r="L4240" i="8"/>
  <c r="L4238" i="8"/>
  <c r="L4236" i="8"/>
  <c r="L4234" i="8"/>
  <c r="L4232" i="8"/>
  <c r="L4230" i="8"/>
  <c r="L4228" i="8"/>
  <c r="L4226" i="8"/>
  <c r="L4224" i="8"/>
  <c r="L4222" i="8"/>
  <c r="L4220" i="8"/>
  <c r="L4218" i="8"/>
  <c r="L4216" i="8"/>
  <c r="L4214" i="8"/>
  <c r="L4212" i="8"/>
  <c r="L4210" i="8"/>
  <c r="L4208" i="8"/>
  <c r="L4206" i="8"/>
  <c r="L4204" i="8"/>
  <c r="L4202" i="8"/>
  <c r="L4200" i="8"/>
  <c r="L4198" i="8"/>
  <c r="L4196" i="8"/>
  <c r="L4194" i="8"/>
  <c r="L4192" i="8"/>
  <c r="L4190" i="8"/>
  <c r="L4188" i="8"/>
  <c r="L4186" i="8"/>
  <c r="L4184" i="8"/>
  <c r="L4182" i="8"/>
  <c r="L4180" i="8"/>
  <c r="L4178" i="8"/>
  <c r="L4176" i="8"/>
  <c r="L4174" i="8"/>
  <c r="L4172" i="8"/>
  <c r="L4170" i="8"/>
  <c r="L4168" i="8"/>
  <c r="L4166" i="8"/>
  <c r="L4164" i="8"/>
  <c r="L4162" i="8"/>
  <c r="L4160" i="8"/>
  <c r="L4158" i="8"/>
  <c r="L4156" i="8"/>
  <c r="L4154" i="8"/>
  <c r="L4152" i="8"/>
  <c r="L4150" i="8"/>
  <c r="L4148" i="8"/>
  <c r="L4146" i="8"/>
  <c r="L4144" i="8"/>
  <c r="L4142" i="8"/>
  <c r="L4140" i="8"/>
  <c r="L4138" i="8"/>
  <c r="L4136" i="8"/>
  <c r="L4134" i="8"/>
  <c r="L4132" i="8"/>
  <c r="L4130" i="8"/>
  <c r="L4128" i="8"/>
  <c r="L4126" i="8"/>
  <c r="L4124" i="8"/>
  <c r="L4122" i="8"/>
  <c r="L4120" i="8"/>
  <c r="L4118" i="8"/>
  <c r="L4116" i="8"/>
  <c r="L4114" i="8"/>
  <c r="L4112" i="8"/>
  <c r="L4110" i="8"/>
  <c r="L4108" i="8"/>
  <c r="L4106" i="8"/>
  <c r="L4104" i="8"/>
  <c r="L4102" i="8"/>
  <c r="L4098" i="8"/>
  <c r="L4094" i="8"/>
  <c r="L4090" i="8"/>
  <c r="L4086" i="8"/>
  <c r="L4082" i="8"/>
  <c r="L4079" i="8"/>
  <c r="L4077" i="8"/>
  <c r="L4075" i="8"/>
  <c r="L4073" i="8"/>
  <c r="L4071" i="8"/>
  <c r="L4069" i="8"/>
  <c r="L4067" i="8"/>
  <c r="L4065" i="8"/>
  <c r="L4063" i="8"/>
  <c r="L4061" i="8"/>
  <c r="L4059" i="8"/>
  <c r="L4057" i="8"/>
  <c r="L4055" i="8"/>
  <c r="L4053" i="8"/>
  <c r="L4051" i="8"/>
  <c r="L4049" i="8"/>
  <c r="L4047" i="8"/>
  <c r="L4045" i="8"/>
  <c r="L4043" i="8"/>
  <c r="L4041" i="8"/>
  <c r="L4039" i="8"/>
  <c r="L4037" i="8"/>
  <c r="L4035" i="8"/>
  <c r="L4033" i="8"/>
  <c r="L4031" i="8"/>
  <c r="L4029" i="8"/>
  <c r="L4027" i="8"/>
  <c r="L4025" i="8"/>
  <c r="L4023" i="8"/>
  <c r="L4021" i="8"/>
  <c r="L4019" i="8"/>
  <c r="L4017" i="8"/>
  <c r="L4015" i="8"/>
  <c r="L4013" i="8"/>
  <c r="L4011" i="8"/>
  <c r="L4009" i="8"/>
  <c r="L4007" i="8"/>
  <c r="L4005" i="8"/>
  <c r="L4003" i="8"/>
  <c r="L4001" i="8"/>
  <c r="L3999" i="8"/>
  <c r="L3997" i="8"/>
  <c r="L3995" i="8"/>
  <c r="L3993" i="8"/>
  <c r="L3991" i="8"/>
  <c r="L3989" i="8"/>
  <c r="L3987" i="8"/>
  <c r="L3985" i="8"/>
  <c r="L3983" i="8"/>
  <c r="L3981" i="8"/>
  <c r="L3979" i="8"/>
  <c r="L3977" i="8"/>
  <c r="L3975" i="8"/>
  <c r="L3973" i="8"/>
  <c r="L3971" i="8"/>
  <c r="L3969" i="8"/>
  <c r="L3967" i="8"/>
  <c r="L3965" i="8"/>
  <c r="L3963" i="8"/>
  <c r="L3961" i="8"/>
  <c r="L3959" i="8"/>
  <c r="L3957" i="8"/>
  <c r="L3955" i="8"/>
  <c r="L3953" i="8"/>
  <c r="L3951" i="8"/>
  <c r="L3949" i="8"/>
  <c r="L3947" i="8"/>
  <c r="L3945" i="8"/>
  <c r="L3943" i="8"/>
  <c r="L3941" i="8"/>
  <c r="L3939" i="8"/>
  <c r="L3937" i="8"/>
  <c r="L3935" i="8"/>
  <c r="L3933" i="8"/>
  <c r="L3931" i="8"/>
  <c r="L3929" i="8"/>
  <c r="L3927" i="8"/>
  <c r="L3925" i="8"/>
  <c r="L3923" i="8"/>
  <c r="L3921" i="8"/>
  <c r="L3919" i="8"/>
  <c r="L3917" i="8"/>
  <c r="L3915" i="8"/>
  <c r="L3913" i="8"/>
  <c r="L3911" i="8"/>
  <c r="L3909" i="8"/>
  <c r="L3907" i="8"/>
  <c r="L3905" i="8"/>
  <c r="L3903" i="8"/>
  <c r="L3901" i="8"/>
  <c r="L3899" i="8"/>
  <c r="L3897" i="8"/>
  <c r="L3895" i="8"/>
  <c r="L3893" i="8"/>
  <c r="L3891" i="8"/>
  <c r="L3889" i="8"/>
  <c r="L3887" i="8"/>
  <c r="L3885" i="8"/>
  <c r="L3883" i="8"/>
  <c r="L3881" i="8"/>
  <c r="L3879" i="8"/>
  <c r="L3877" i="8"/>
  <c r="L3875" i="8"/>
  <c r="L3873" i="8"/>
  <c r="L3871" i="8"/>
  <c r="L3869" i="8"/>
  <c r="L3867" i="8"/>
  <c r="L3865" i="8"/>
  <c r="L3863" i="8"/>
  <c r="L3861" i="8"/>
  <c r="L3859" i="8"/>
  <c r="L3857" i="8"/>
  <c r="L3855" i="8"/>
  <c r="L3853" i="8"/>
  <c r="L3851" i="8"/>
  <c r="L3849" i="8"/>
  <c r="L3847" i="8"/>
  <c r="L3845" i="8"/>
  <c r="L3843" i="8"/>
  <c r="L3841" i="8"/>
  <c r="L3839" i="8"/>
  <c r="L3837" i="8"/>
  <c r="L3835" i="8"/>
  <c r="L3833" i="8"/>
  <c r="L3831" i="8"/>
  <c r="L3829" i="8"/>
  <c r="L3827" i="8"/>
  <c r="L3825" i="8"/>
  <c r="L3823" i="8"/>
  <c r="L3821" i="8"/>
  <c r="L3819" i="8"/>
  <c r="L3817" i="8"/>
  <c r="L3815" i="8"/>
  <c r="L3813" i="8"/>
  <c r="L3811" i="8"/>
  <c r="L3809" i="8"/>
  <c r="L3807" i="8"/>
  <c r="L3805" i="8"/>
  <c r="L3803" i="8"/>
  <c r="L3801" i="8"/>
  <c r="L3799" i="8"/>
  <c r="L3797" i="8"/>
  <c r="L3795" i="8"/>
  <c r="L3793" i="8"/>
  <c r="L3791" i="8"/>
  <c r="L3789" i="8"/>
  <c r="L3787" i="8"/>
  <c r="L3785" i="8"/>
  <c r="L3783" i="8"/>
  <c r="L3781" i="8"/>
  <c r="L3779" i="8"/>
  <c r="L3777" i="8"/>
  <c r="L3775" i="8"/>
  <c r="L3773" i="8"/>
  <c r="L3771" i="8"/>
  <c r="L3769" i="8"/>
  <c r="L3767" i="8"/>
  <c r="L3765" i="8"/>
  <c r="L3763" i="8"/>
  <c r="L3761" i="8"/>
  <c r="L3759" i="8"/>
  <c r="L3757" i="8"/>
  <c r="L3755" i="8"/>
  <c r="L3753" i="8"/>
  <c r="L3751" i="8"/>
  <c r="L3749" i="8"/>
  <c r="L3747" i="8"/>
  <c r="L3745" i="8"/>
  <c r="L3743" i="8"/>
  <c r="L3741" i="8"/>
  <c r="L3739" i="8"/>
  <c r="L3737" i="8"/>
  <c r="L3735" i="8"/>
  <c r="L3733" i="8"/>
  <c r="L3731" i="8"/>
  <c r="L3729" i="8"/>
  <c r="L3727" i="8"/>
  <c r="L3725" i="8"/>
  <c r="L3723" i="8"/>
  <c r="L3721" i="8"/>
  <c r="L3719" i="8"/>
  <c r="L3717" i="8"/>
  <c r="L3715" i="8"/>
  <c r="L3713" i="8"/>
  <c r="L3711" i="8"/>
  <c r="L3709" i="8"/>
  <c r="L3707" i="8"/>
  <c r="L3705" i="8"/>
  <c r="L3703" i="8"/>
  <c r="L3701" i="8"/>
  <c r="L3699" i="8"/>
  <c r="L3697" i="8"/>
  <c r="L3695" i="8"/>
  <c r="L3693" i="8"/>
  <c r="L3691" i="8"/>
  <c r="L3689" i="8"/>
  <c r="L3687" i="8"/>
  <c r="L3685" i="8"/>
  <c r="L3683" i="8"/>
  <c r="L3681" i="8"/>
  <c r="L3679" i="8"/>
  <c r="L3677" i="8"/>
  <c r="L3675" i="8"/>
  <c r="L3673" i="8"/>
  <c r="L3671" i="8"/>
  <c r="L3669" i="8"/>
  <c r="L3667" i="8"/>
  <c r="L3665" i="8"/>
  <c r="L3663" i="8"/>
  <c r="L3661" i="8"/>
  <c r="L3659" i="8"/>
  <c r="L3657" i="8"/>
  <c r="L3655" i="8"/>
  <c r="L3653" i="8"/>
  <c r="L3651" i="8"/>
  <c r="L3649" i="8"/>
  <c r="L3647" i="8"/>
  <c r="L3645" i="8"/>
  <c r="L3643" i="8"/>
  <c r="L3641" i="8"/>
  <c r="L3639" i="8"/>
  <c r="L3637" i="8"/>
  <c r="L3635" i="8"/>
  <c r="L3633" i="8"/>
  <c r="L3631" i="8"/>
  <c r="L3629" i="8"/>
  <c r="L3627" i="8"/>
  <c r="L3625" i="8"/>
  <c r="L3623" i="8"/>
  <c r="L3621" i="8"/>
  <c r="L3619" i="8"/>
  <c r="L3617" i="8"/>
  <c r="L3615" i="8"/>
  <c r="L3613" i="8"/>
  <c r="L3611" i="8"/>
  <c r="L3609" i="8"/>
  <c r="L3607" i="8"/>
  <c r="L3605" i="8"/>
  <c r="L3603" i="8"/>
  <c r="L3601" i="8"/>
  <c r="L3599" i="8"/>
  <c r="L3597" i="8"/>
  <c r="L3595" i="8"/>
  <c r="L3593" i="8"/>
  <c r="L3591" i="8"/>
  <c r="L3589" i="8"/>
  <c r="L3587" i="8"/>
  <c r="L3585" i="8"/>
  <c r="L3583" i="8"/>
  <c r="L3581" i="8"/>
  <c r="L3579" i="8"/>
  <c r="L3577" i="8"/>
  <c r="L3575" i="8"/>
  <c r="L3573" i="8"/>
  <c r="L3571" i="8"/>
  <c r="L3569" i="8"/>
  <c r="L3567" i="8"/>
  <c r="L3565" i="8"/>
  <c r="L3563" i="8"/>
  <c r="L3561" i="8"/>
  <c r="L3559" i="8"/>
  <c r="L3557" i="8"/>
  <c r="L3555" i="8"/>
  <c r="L3553" i="8"/>
  <c r="L3551" i="8"/>
  <c r="L3549" i="8"/>
  <c r="L3547" i="8"/>
  <c r="L3545" i="8"/>
  <c r="L3543" i="8"/>
  <c r="L3541" i="8"/>
  <c r="L3539" i="8"/>
  <c r="L3537" i="8"/>
  <c r="L3535" i="8"/>
  <c r="L3533" i="8"/>
  <c r="L3531" i="8"/>
  <c r="L3529" i="8"/>
  <c r="L3527" i="8"/>
  <c r="L3525" i="8"/>
  <c r="L3523" i="8"/>
  <c r="L3521" i="8"/>
  <c r="L3519" i="8"/>
  <c r="L3517" i="8"/>
  <c r="L3515" i="8"/>
  <c r="L3513" i="8"/>
  <c r="L3511" i="8"/>
  <c r="L3509" i="8"/>
  <c r="L3507" i="8"/>
  <c r="L3505" i="8"/>
  <c r="L3503" i="8"/>
  <c r="L3501" i="8"/>
  <c r="L3499" i="8"/>
  <c r="L3497" i="8"/>
  <c r="L3495" i="8"/>
  <c r="L3493" i="8"/>
  <c r="L3491" i="8"/>
  <c r="L3489" i="8"/>
  <c r="L3487" i="8"/>
  <c r="L3485" i="8"/>
  <c r="L3483" i="8"/>
  <c r="L3481" i="8"/>
  <c r="L3479" i="8"/>
  <c r="L3477" i="8"/>
  <c r="L3475" i="8"/>
  <c r="L3473" i="8"/>
  <c r="L3471" i="8"/>
  <c r="L3469" i="8"/>
  <c r="L3467" i="8"/>
  <c r="L3465" i="8"/>
  <c r="L3463" i="8"/>
  <c r="L3461" i="8"/>
  <c r="L3459" i="8"/>
  <c r="L3457" i="8"/>
  <c r="L3455" i="8"/>
  <c r="L3453" i="8"/>
  <c r="L3451" i="8"/>
  <c r="L3449" i="8"/>
  <c r="L3447" i="8"/>
  <c r="L3445" i="8"/>
  <c r="L3443" i="8"/>
  <c r="L3441" i="8"/>
  <c r="L3439" i="8"/>
  <c r="L3437" i="8"/>
  <c r="L3435" i="8"/>
  <c r="L3433" i="8"/>
  <c r="L3431" i="8"/>
  <c r="L3429" i="8"/>
  <c r="L3427" i="8"/>
  <c r="L3425" i="8"/>
  <c r="L3423" i="8"/>
  <c r="L3421" i="8"/>
  <c r="L3419" i="8"/>
  <c r="L3417" i="8"/>
  <c r="L3415" i="8"/>
  <c r="L3413" i="8"/>
  <c r="L3411" i="8"/>
  <c r="L3409" i="8"/>
  <c r="L3407" i="8"/>
  <c r="L3405" i="8"/>
  <c r="L3403" i="8"/>
  <c r="L3401" i="8"/>
  <c r="L3399" i="8"/>
  <c r="L3397" i="8"/>
  <c r="L3395" i="8"/>
  <c r="L3393" i="8"/>
  <c r="L3391" i="8"/>
  <c r="L3389" i="8"/>
  <c r="L3387" i="8"/>
  <c r="L3385" i="8"/>
  <c r="L3383" i="8"/>
  <c r="L3381" i="8"/>
  <c r="L3379" i="8"/>
  <c r="L3377" i="8"/>
  <c r="L3375" i="8"/>
  <c r="L3373" i="8"/>
  <c r="L3371" i="8"/>
  <c r="L3369" i="8"/>
  <c r="L3367" i="8"/>
  <c r="L3365" i="8"/>
  <c r="L3363" i="8"/>
  <c r="L3361" i="8"/>
  <c r="L3359" i="8"/>
  <c r="L3357" i="8"/>
  <c r="L3355" i="8"/>
  <c r="L3353" i="8"/>
  <c r="L3351" i="8"/>
  <c r="L3349" i="8"/>
  <c r="L3347" i="8"/>
  <c r="L3345" i="8"/>
  <c r="L3343" i="8"/>
  <c r="L3341" i="8"/>
  <c r="L3339" i="8"/>
  <c r="L3337" i="8"/>
  <c r="L3335" i="8"/>
  <c r="L3333" i="8"/>
  <c r="L3331" i="8"/>
  <c r="L3329" i="8"/>
  <c r="L3327" i="8"/>
  <c r="L3325" i="8"/>
  <c r="L3323" i="8"/>
  <c r="L3321" i="8"/>
  <c r="L3319" i="8"/>
  <c r="L3317" i="8"/>
  <c r="L3315" i="8"/>
  <c r="L3313" i="8"/>
  <c r="L3311" i="8"/>
  <c r="L3309" i="8"/>
  <c r="L3307" i="8"/>
  <c r="L3305" i="8"/>
  <c r="L3303" i="8"/>
  <c r="L3301" i="8"/>
  <c r="L3299" i="8"/>
  <c r="L3297" i="8"/>
  <c r="L3295" i="8"/>
  <c r="L3293" i="8"/>
  <c r="L3291" i="8"/>
  <c r="L3289" i="8"/>
  <c r="L3287" i="8"/>
  <c r="L3285" i="8"/>
  <c r="L3283" i="8"/>
  <c r="L3281" i="8"/>
  <c r="L3279" i="8"/>
  <c r="L3277" i="8"/>
  <c r="L3275" i="8"/>
  <c r="L3273" i="8"/>
  <c r="L3271" i="8"/>
  <c r="L3269" i="8"/>
  <c r="L3267" i="8"/>
  <c r="L3265" i="8"/>
  <c r="L3263" i="8"/>
  <c r="L3261" i="8"/>
  <c r="L3259" i="8"/>
  <c r="L3257" i="8"/>
  <c r="L3255" i="8"/>
  <c r="L3253" i="8"/>
  <c r="L3251" i="8"/>
  <c r="L3249" i="8"/>
  <c r="L3247" i="8"/>
  <c r="L3245" i="8"/>
  <c r="L3243" i="8"/>
  <c r="L3241" i="8"/>
  <c r="L3239" i="8"/>
  <c r="L3237" i="8"/>
  <c r="L3235" i="8"/>
  <c r="L3233" i="8"/>
  <c r="L3231" i="8"/>
  <c r="L3229" i="8"/>
  <c r="L3227" i="8"/>
  <c r="L3225" i="8"/>
  <c r="L3223" i="8"/>
  <c r="L3221" i="8"/>
  <c r="L3219" i="8"/>
  <c r="L3217" i="8"/>
  <c r="L3215" i="8"/>
  <c r="L3213" i="8"/>
  <c r="L3211" i="8"/>
  <c r="L3209" i="8"/>
  <c r="L3207" i="8"/>
  <c r="L3205" i="8"/>
  <c r="L3203" i="8"/>
  <c r="L3201" i="8"/>
  <c r="L3199" i="8"/>
  <c r="L3197" i="8"/>
  <c r="L3195" i="8"/>
  <c r="L3193" i="8"/>
  <c r="L3191" i="8"/>
  <c r="L3189" i="8"/>
  <c r="L3187" i="8"/>
  <c r="L3185" i="8"/>
  <c r="L3183" i="8"/>
  <c r="L3181" i="8"/>
  <c r="L3179" i="8"/>
  <c r="L3177" i="8"/>
  <c r="L3175" i="8"/>
  <c r="L3173" i="8"/>
  <c r="L3171" i="8"/>
  <c r="L3169" i="8"/>
  <c r="L3167" i="8"/>
  <c r="L3165" i="8"/>
  <c r="L3163" i="8"/>
  <c r="L3161" i="8"/>
  <c r="L3159" i="8"/>
  <c r="L3157" i="8"/>
  <c r="L3155" i="8"/>
  <c r="L3153" i="8"/>
  <c r="L3151" i="8"/>
  <c r="L3149" i="8"/>
  <c r="L3147" i="8"/>
  <c r="L3145" i="8"/>
  <c r="L3143" i="8"/>
  <c r="L3141" i="8"/>
  <c r="L3139" i="8"/>
  <c r="L3137" i="8"/>
  <c r="L3135" i="8"/>
  <c r="L3133" i="8"/>
  <c r="L3131" i="8"/>
  <c r="L3129" i="8"/>
  <c r="L3127" i="8"/>
  <c r="L3125" i="8"/>
  <c r="L3123" i="8"/>
  <c r="L3121" i="8"/>
  <c r="L3119" i="8"/>
  <c r="L3117" i="8"/>
  <c r="L3115" i="8"/>
  <c r="L3113" i="8"/>
  <c r="L3111" i="8"/>
  <c r="L3109" i="8"/>
  <c r="L3107" i="8"/>
  <c r="L3105" i="8"/>
  <c r="L3103" i="8"/>
  <c r="L3101" i="8"/>
  <c r="L3099" i="8"/>
  <c r="L3097" i="8"/>
  <c r="L3095" i="8"/>
  <c r="L3093" i="8"/>
  <c r="L3091" i="8"/>
  <c r="L3089" i="8"/>
  <c r="L3087" i="8"/>
  <c r="L3085" i="8"/>
  <c r="L3083" i="8"/>
  <c r="L3081" i="8"/>
  <c r="L3079" i="8"/>
  <c r="L3077" i="8"/>
  <c r="L3075" i="8"/>
  <c r="L3073" i="8"/>
  <c r="L3071" i="8"/>
  <c r="L3069" i="8"/>
  <c r="L3067" i="8"/>
  <c r="L3065" i="8"/>
  <c r="L3063" i="8"/>
  <c r="L3061" i="8"/>
  <c r="L3059" i="8"/>
  <c r="L3057" i="8"/>
  <c r="L3055" i="8"/>
  <c r="L3053" i="8"/>
  <c r="L3051" i="8"/>
  <c r="L3049" i="8"/>
  <c r="L3047" i="8"/>
  <c r="L3045" i="8"/>
  <c r="L3043" i="8"/>
  <c r="L3041" i="8"/>
  <c r="L3039" i="8"/>
  <c r="L3037" i="8"/>
  <c r="L3035" i="8"/>
  <c r="L3033" i="8"/>
  <c r="L3031" i="8"/>
  <c r="L3029" i="8"/>
  <c r="L3027" i="8"/>
  <c r="L3025" i="8"/>
  <c r="L3023" i="8"/>
  <c r="L3021" i="8"/>
  <c r="L3019" i="8"/>
  <c r="L3017" i="8"/>
  <c r="L3015" i="8"/>
  <c r="L3013" i="8"/>
  <c r="L3011" i="8"/>
  <c r="L3009" i="8"/>
  <c r="L3007" i="8"/>
  <c r="L3005" i="8"/>
  <c r="L3003" i="8"/>
  <c r="L3001" i="8"/>
  <c r="L2999" i="8"/>
  <c r="L2997" i="8"/>
  <c r="L2995" i="8"/>
  <c r="L2993" i="8"/>
  <c r="L2991" i="8"/>
  <c r="L2989" i="8"/>
  <c r="L2987" i="8"/>
  <c r="L2985" i="8"/>
  <c r="L2983" i="8"/>
  <c r="L2981" i="8"/>
  <c r="L2979" i="8"/>
  <c r="L2977" i="8"/>
  <c r="L2975" i="8"/>
  <c r="L2973" i="8"/>
  <c r="L2971" i="8"/>
  <c r="L2969" i="8"/>
  <c r="L2967" i="8"/>
  <c r="L2965" i="8"/>
  <c r="L2963" i="8"/>
  <c r="L2961" i="8"/>
  <c r="L2959" i="8"/>
  <c r="L2957" i="8"/>
  <c r="L2955" i="8"/>
  <c r="L2953" i="8"/>
  <c r="L2951" i="8"/>
  <c r="L2949" i="8"/>
  <c r="L2947" i="8"/>
  <c r="L2945" i="8"/>
  <c r="L2943" i="8"/>
  <c r="L2941" i="8"/>
  <c r="L2939" i="8"/>
  <c r="L2937" i="8"/>
  <c r="L2935" i="8"/>
  <c r="L2933" i="8"/>
  <c r="L2931" i="8"/>
  <c r="L2929" i="8"/>
  <c r="L2927" i="8"/>
  <c r="L2925" i="8"/>
  <c r="L2923" i="8"/>
  <c r="L2921" i="8"/>
  <c r="L2919" i="8"/>
  <c r="L2917" i="8"/>
  <c r="L2915" i="8"/>
  <c r="L2913" i="8"/>
  <c r="L2911" i="8"/>
  <c r="L2909" i="8"/>
  <c r="L2907" i="8"/>
  <c r="L2905" i="8"/>
  <c r="L2903" i="8"/>
  <c r="L2901" i="8"/>
  <c r="L2899" i="8"/>
  <c r="L2897" i="8"/>
  <c r="L2895" i="8"/>
  <c r="L2893" i="8"/>
  <c r="L2891" i="8"/>
  <c r="L2889" i="8"/>
  <c r="L2887" i="8"/>
  <c r="L2885" i="8"/>
  <c r="L2883" i="8"/>
  <c r="L2881" i="8"/>
  <c r="L2879" i="8"/>
  <c r="L2877" i="8"/>
  <c r="L2875" i="8"/>
  <c r="L2873" i="8"/>
  <c r="L2871" i="8"/>
  <c r="L2869" i="8"/>
  <c r="L2867" i="8"/>
  <c r="L2865" i="8"/>
  <c r="L2863" i="8"/>
  <c r="L2861" i="8"/>
  <c r="L2859" i="8"/>
  <c r="L2857" i="8"/>
  <c r="L2855" i="8"/>
  <c r="L2853" i="8"/>
  <c r="L2851" i="8"/>
  <c r="L2849" i="8"/>
  <c r="L2847" i="8"/>
  <c r="L2845" i="8"/>
  <c r="L2843" i="8"/>
  <c r="L2841" i="8"/>
  <c r="L2839" i="8"/>
  <c r="L2837" i="8"/>
  <c r="L2835" i="8"/>
  <c r="L2833" i="8"/>
  <c r="L2831" i="8"/>
  <c r="L2829" i="8"/>
  <c r="L2827" i="8"/>
  <c r="L2825" i="8"/>
  <c r="L2823" i="8"/>
  <c r="L2821" i="8"/>
  <c r="L2819" i="8"/>
  <c r="L2817" i="8"/>
  <c r="L2815" i="8"/>
  <c r="L2813" i="8"/>
  <c r="L2811" i="8"/>
  <c r="L2809" i="8"/>
  <c r="L2807" i="8"/>
  <c r="L2805" i="8"/>
  <c r="L2803" i="8"/>
  <c r="L2801" i="8"/>
  <c r="L2799" i="8"/>
  <c r="L2797" i="8"/>
  <c r="L2795" i="8"/>
  <c r="L2793" i="8"/>
  <c r="L2791" i="8"/>
  <c r="L2789" i="8"/>
  <c r="L2787" i="8"/>
  <c r="L2785" i="8"/>
  <c r="L2783" i="8"/>
  <c r="L2781" i="8"/>
  <c r="L2779" i="8"/>
  <c r="L2777" i="8"/>
  <c r="L2775" i="8"/>
  <c r="L2773" i="8"/>
  <c r="L2771" i="8"/>
  <c r="L2769" i="8"/>
  <c r="L2767" i="8"/>
  <c r="L2765" i="8"/>
  <c r="L2763" i="8"/>
  <c r="L2761" i="8"/>
  <c r="L2759" i="8"/>
  <c r="L2757" i="8"/>
  <c r="L2755" i="8"/>
  <c r="L2753" i="8"/>
  <c r="L2751" i="8"/>
  <c r="L2749" i="8"/>
  <c r="L2747" i="8"/>
  <c r="L2745" i="8"/>
  <c r="L2743" i="8"/>
  <c r="L2741" i="8"/>
  <c r="L2739" i="8"/>
  <c r="L2737" i="8"/>
  <c r="L2735" i="8"/>
  <c r="L2733" i="8"/>
  <c r="L2731" i="8"/>
  <c r="L2729" i="8"/>
  <c r="L2727" i="8"/>
  <c r="L4100" i="8"/>
  <c r="L4096" i="8"/>
  <c r="L4092" i="8"/>
  <c r="L4088" i="8"/>
  <c r="L4084" i="8"/>
  <c r="L4080" i="8"/>
  <c r="L4078" i="8"/>
  <c r="L4076" i="8"/>
  <c r="L4074" i="8"/>
  <c r="L4072" i="8"/>
  <c r="L4070" i="8"/>
  <c r="L4068" i="8"/>
  <c r="L4066" i="8"/>
  <c r="L4064" i="8"/>
  <c r="L4062" i="8"/>
  <c r="L4060" i="8"/>
  <c r="L4058" i="8"/>
  <c r="L4056" i="8"/>
  <c r="L4054" i="8"/>
  <c r="L4052" i="8"/>
  <c r="L4050" i="8"/>
  <c r="L4048" i="8"/>
  <c r="L4046" i="8"/>
  <c r="L4044" i="8"/>
  <c r="L4042" i="8"/>
  <c r="L4040" i="8"/>
  <c r="L4038" i="8"/>
  <c r="L4036" i="8"/>
  <c r="L4034" i="8"/>
  <c r="L4032" i="8"/>
  <c r="L4030" i="8"/>
  <c r="L4028" i="8"/>
  <c r="L4026" i="8"/>
  <c r="L4024" i="8"/>
  <c r="L4022" i="8"/>
  <c r="L4020" i="8"/>
  <c r="L4018" i="8"/>
  <c r="L4016" i="8"/>
  <c r="L4014" i="8"/>
  <c r="L4012" i="8"/>
  <c r="L4010" i="8"/>
  <c r="L4008" i="8"/>
  <c r="L4006" i="8"/>
  <c r="L4004" i="8"/>
  <c r="L4002" i="8"/>
  <c r="L4000" i="8"/>
  <c r="L3998" i="8"/>
  <c r="L3996" i="8"/>
  <c r="L3994" i="8"/>
  <c r="L3992" i="8"/>
  <c r="L3990" i="8"/>
  <c r="L3988" i="8"/>
  <c r="L3986" i="8"/>
  <c r="L3984" i="8"/>
  <c r="L3982" i="8"/>
  <c r="L3980" i="8"/>
  <c r="L3978" i="8"/>
  <c r="L3976" i="8"/>
  <c r="L3974" i="8"/>
  <c r="L3972" i="8"/>
  <c r="L3970" i="8"/>
  <c r="L3968" i="8"/>
  <c r="L3966" i="8"/>
  <c r="L3964" i="8"/>
  <c r="L3962" i="8"/>
  <c r="L3960" i="8"/>
  <c r="L3958" i="8"/>
  <c r="L3956" i="8"/>
  <c r="L3954" i="8"/>
  <c r="L3952" i="8"/>
  <c r="L3950" i="8"/>
  <c r="L3948" i="8"/>
  <c r="L3946" i="8"/>
  <c r="L3944" i="8"/>
  <c r="L3942" i="8"/>
  <c r="L3940" i="8"/>
  <c r="L3938" i="8"/>
  <c r="L3936" i="8"/>
  <c r="L3934" i="8"/>
  <c r="L3932" i="8"/>
  <c r="L3930" i="8"/>
  <c r="L3928" i="8"/>
  <c r="L3926" i="8"/>
  <c r="L3924" i="8"/>
  <c r="L3922" i="8"/>
  <c r="L3920" i="8"/>
  <c r="L3918" i="8"/>
  <c r="L3916" i="8"/>
  <c r="L3914" i="8"/>
  <c r="L3912" i="8"/>
  <c r="L3910" i="8"/>
  <c r="L3908" i="8"/>
  <c r="L3906" i="8"/>
  <c r="L3904" i="8"/>
  <c r="L3902" i="8"/>
  <c r="L3900" i="8"/>
  <c r="L3898" i="8"/>
  <c r="L3896" i="8"/>
  <c r="L3894" i="8"/>
  <c r="L3892" i="8"/>
  <c r="L3890" i="8"/>
  <c r="L3888" i="8"/>
  <c r="L3886" i="8"/>
  <c r="L3884" i="8"/>
  <c r="L3882" i="8"/>
  <c r="L3880" i="8"/>
  <c r="L3878" i="8"/>
  <c r="L3876" i="8"/>
  <c r="L3874" i="8"/>
  <c r="L3872" i="8"/>
  <c r="L3870" i="8"/>
  <c r="L3868" i="8"/>
  <c r="L3866" i="8"/>
  <c r="L3864" i="8"/>
  <c r="L3862" i="8"/>
  <c r="L3860" i="8"/>
  <c r="L3858" i="8"/>
  <c r="L3856" i="8"/>
  <c r="L3854" i="8"/>
  <c r="L3852" i="8"/>
  <c r="L3850" i="8"/>
  <c r="L3848" i="8"/>
  <c r="L3846" i="8"/>
  <c r="L3844" i="8"/>
  <c r="L3842" i="8"/>
  <c r="L3840" i="8"/>
  <c r="L3838" i="8"/>
  <c r="L3836" i="8"/>
  <c r="L3834" i="8"/>
  <c r="L3832" i="8"/>
  <c r="L3830" i="8"/>
  <c r="L3828" i="8"/>
  <c r="L3826" i="8"/>
  <c r="L3824" i="8"/>
  <c r="L3822" i="8"/>
  <c r="L3820" i="8"/>
  <c r="L3818" i="8"/>
  <c r="L3816" i="8"/>
  <c r="L3814" i="8"/>
  <c r="L3812" i="8"/>
  <c r="L3810" i="8"/>
  <c r="L3808" i="8"/>
  <c r="L3806" i="8"/>
  <c r="L3804" i="8"/>
  <c r="L3802" i="8"/>
  <c r="L3800" i="8"/>
  <c r="L3798" i="8"/>
  <c r="L3796" i="8"/>
  <c r="L3794" i="8"/>
  <c r="L3792" i="8"/>
  <c r="L3790" i="8"/>
  <c r="L3788" i="8"/>
  <c r="L3786" i="8"/>
  <c r="L3784" i="8"/>
  <c r="L3782" i="8"/>
  <c r="L3780" i="8"/>
  <c r="L3778" i="8"/>
  <c r="L3776" i="8"/>
  <c r="L3774" i="8"/>
  <c r="L3772" i="8"/>
  <c r="L3770" i="8"/>
  <c r="L3766" i="8"/>
  <c r="L3762" i="8"/>
  <c r="L3758" i="8"/>
  <c r="L3754" i="8"/>
  <c r="L3750" i="8"/>
  <c r="L3746" i="8"/>
  <c r="L3742" i="8"/>
  <c r="L3738" i="8"/>
  <c r="L3734" i="8"/>
  <c r="L3730" i="8"/>
  <c r="L3726" i="8"/>
  <c r="L3722" i="8"/>
  <c r="L3718" i="8"/>
  <c r="L3714" i="8"/>
  <c r="L3710" i="8"/>
  <c r="L3706" i="8"/>
  <c r="L3702" i="8"/>
  <c r="L3698" i="8"/>
  <c r="L3694" i="8"/>
  <c r="L3690" i="8"/>
  <c r="L3686" i="8"/>
  <c r="L3682" i="8"/>
  <c r="L3678" i="8"/>
  <c r="L3674" i="8"/>
  <c r="L3670" i="8"/>
  <c r="L3666" i="8"/>
  <c r="L3662" i="8"/>
  <c r="L3658" i="8"/>
  <c r="L3654" i="8"/>
  <c r="L3650" i="8"/>
  <c r="L3646" i="8"/>
  <c r="L3642" i="8"/>
  <c r="L3638" i="8"/>
  <c r="L3634" i="8"/>
  <c r="L3630" i="8"/>
  <c r="L3626" i="8"/>
  <c r="L3622" i="8"/>
  <c r="L3618" i="8"/>
  <c r="L3614" i="8"/>
  <c r="L3610" i="8"/>
  <c r="L3606" i="8"/>
  <c r="L3602" i="8"/>
  <c r="L3598" i="8"/>
  <c r="L3594" i="8"/>
  <c r="L3590" i="8"/>
  <c r="L3586" i="8"/>
  <c r="L3582" i="8"/>
  <c r="L3578" i="8"/>
  <c r="L3574" i="8"/>
  <c r="L3570" i="8"/>
  <c r="L3566" i="8"/>
  <c r="L3562" i="8"/>
  <c r="L3558" i="8"/>
  <c r="L3554" i="8"/>
  <c r="L3550" i="8"/>
  <c r="L3546" i="8"/>
  <c r="L3542" i="8"/>
  <c r="L3538" i="8"/>
  <c r="L3534" i="8"/>
  <c r="L3530" i="8"/>
  <c r="L3526" i="8"/>
  <c r="L3522" i="8"/>
  <c r="L3518" i="8"/>
  <c r="L3514" i="8"/>
  <c r="L3510" i="8"/>
  <c r="L3506" i="8"/>
  <c r="L3502" i="8"/>
  <c r="L3498" i="8"/>
  <c r="L3494" i="8"/>
  <c r="L3490" i="8"/>
  <c r="L3486" i="8"/>
  <c r="L3482" i="8"/>
  <c r="L3478" i="8"/>
  <c r="L3474" i="8"/>
  <c r="L3470" i="8"/>
  <c r="L3466" i="8"/>
  <c r="L3462" i="8"/>
  <c r="L3458" i="8"/>
  <c r="L3454" i="8"/>
  <c r="L3450" i="8"/>
  <c r="L3446" i="8"/>
  <c r="L3442" i="8"/>
  <c r="L3438" i="8"/>
  <c r="L3434" i="8"/>
  <c r="L3430" i="8"/>
  <c r="L3426" i="8"/>
  <c r="L3422" i="8"/>
  <c r="L3418" i="8"/>
  <c r="L3414" i="8"/>
  <c r="L3410" i="8"/>
  <c r="L3406" i="8"/>
  <c r="L3402" i="8"/>
  <c r="L3398" i="8"/>
  <c r="L3394" i="8"/>
  <c r="L3390" i="8"/>
  <c r="L3386" i="8"/>
  <c r="L3382" i="8"/>
  <c r="L3378" i="8"/>
  <c r="L3374" i="8"/>
  <c r="L3370" i="8"/>
  <c r="L3366" i="8"/>
  <c r="L3362" i="8"/>
  <c r="L3358" i="8"/>
  <c r="L3354" i="8"/>
  <c r="L3350" i="8"/>
  <c r="L3346" i="8"/>
  <c r="L3342" i="8"/>
  <c r="L3338" i="8"/>
  <c r="L3334" i="8"/>
  <c r="L3330" i="8"/>
  <c r="L3326" i="8"/>
  <c r="L3322" i="8"/>
  <c r="L3318" i="8"/>
  <c r="L3314" i="8"/>
  <c r="L3310" i="8"/>
  <c r="L3306" i="8"/>
  <c r="L3302" i="8"/>
  <c r="L3298" i="8"/>
  <c r="L3294" i="8"/>
  <c r="L3290" i="8"/>
  <c r="L3286" i="8"/>
  <c r="L3282" i="8"/>
  <c r="L3278" i="8"/>
  <c r="L3274" i="8"/>
  <c r="L3270" i="8"/>
  <c r="L3266" i="8"/>
  <c r="L3262" i="8"/>
  <c r="L3258" i="8"/>
  <c r="L3254" i="8"/>
  <c r="L3250" i="8"/>
  <c r="L3246" i="8"/>
  <c r="L3242" i="8"/>
  <c r="L3238" i="8"/>
  <c r="L3234" i="8"/>
  <c r="L3230" i="8"/>
  <c r="L3226" i="8"/>
  <c r="L3222" i="8"/>
  <c r="L3218" i="8"/>
  <c r="L3214" i="8"/>
  <c r="L3210" i="8"/>
  <c r="L3206" i="8"/>
  <c r="L3202" i="8"/>
  <c r="L3198" i="8"/>
  <c r="L3194" i="8"/>
  <c r="L3190" i="8"/>
  <c r="L3186" i="8"/>
  <c r="L3182" i="8"/>
  <c r="L3178" i="8"/>
  <c r="L3174" i="8"/>
  <c r="L3170" i="8"/>
  <c r="L3166" i="8"/>
  <c r="L3162" i="8"/>
  <c r="L3158" i="8"/>
  <c r="L3154" i="8"/>
  <c r="L3150" i="8"/>
  <c r="L3146" i="8"/>
  <c r="L3142" i="8"/>
  <c r="L3138" i="8"/>
  <c r="L3134" i="8"/>
  <c r="L3130" i="8"/>
  <c r="L3126" i="8"/>
  <c r="L3122" i="8"/>
  <c r="L3118" i="8"/>
  <c r="L3114" i="8"/>
  <c r="L3110" i="8"/>
  <c r="L3106" i="8"/>
  <c r="L3102" i="8"/>
  <c r="L3098" i="8"/>
  <c r="L3094" i="8"/>
  <c r="L3090" i="8"/>
  <c r="L3086" i="8"/>
  <c r="L3082" i="8"/>
  <c r="L3078" i="8"/>
  <c r="L3074" i="8"/>
  <c r="L3070" i="8"/>
  <c r="L3066" i="8"/>
  <c r="L3062" i="8"/>
  <c r="L3058" i="8"/>
  <c r="L3054" i="8"/>
  <c r="L3050" i="8"/>
  <c r="L3046" i="8"/>
  <c r="L3042" i="8"/>
  <c r="L3768" i="8"/>
  <c r="L3764" i="8"/>
  <c r="L3760" i="8"/>
  <c r="L3756" i="8"/>
  <c r="L3752" i="8"/>
  <c r="L3748" i="8"/>
  <c r="L3744" i="8"/>
  <c r="L3740" i="8"/>
  <c r="L3736" i="8"/>
  <c r="L3732" i="8"/>
  <c r="L3728" i="8"/>
  <c r="L3724" i="8"/>
  <c r="L3720" i="8"/>
  <c r="L3716" i="8"/>
  <c r="L3712" i="8"/>
  <c r="L3708" i="8"/>
  <c r="L3704" i="8"/>
  <c r="L3700" i="8"/>
  <c r="L3696" i="8"/>
  <c r="L3692" i="8"/>
  <c r="L3688" i="8"/>
  <c r="L3684" i="8"/>
  <c r="L3680" i="8"/>
  <c r="L3676" i="8"/>
  <c r="L3672" i="8"/>
  <c r="L3668" i="8"/>
  <c r="L3664" i="8"/>
  <c r="L3660" i="8"/>
  <c r="L3656" i="8"/>
  <c r="L3652" i="8"/>
  <c r="L3648" i="8"/>
  <c r="L3644" i="8"/>
  <c r="L3640" i="8"/>
  <c r="L3636" i="8"/>
  <c r="L3632" i="8"/>
  <c r="L3628" i="8"/>
  <c r="L3624" i="8"/>
  <c r="L3620" i="8"/>
  <c r="L3616" i="8"/>
  <c r="L3612" i="8"/>
  <c r="L3608" i="8"/>
  <c r="L3604" i="8"/>
  <c r="L3600" i="8"/>
  <c r="L3596" i="8"/>
  <c r="L3592" i="8"/>
  <c r="L3588" i="8"/>
  <c r="L3584" i="8"/>
  <c r="L3580" i="8"/>
  <c r="L3576" i="8"/>
  <c r="L3572" i="8"/>
  <c r="L3568" i="8"/>
  <c r="L3564" i="8"/>
  <c r="L3560" i="8"/>
  <c r="L3556" i="8"/>
  <c r="L3552" i="8"/>
  <c r="L3548" i="8"/>
  <c r="L3544" i="8"/>
  <c r="L3540" i="8"/>
  <c r="L3536" i="8"/>
  <c r="L3532" i="8"/>
  <c r="L3528" i="8"/>
  <c r="L3524" i="8"/>
  <c r="L3520" i="8"/>
  <c r="L3516" i="8"/>
  <c r="L3512" i="8"/>
  <c r="L3508" i="8"/>
  <c r="L3504" i="8"/>
  <c r="L3500" i="8"/>
  <c r="L3496" i="8"/>
  <c r="L3492" i="8"/>
  <c r="L3488" i="8"/>
  <c r="L3484" i="8"/>
  <c r="L3480" i="8"/>
  <c r="L3476" i="8"/>
  <c r="L3472" i="8"/>
  <c r="L3468" i="8"/>
  <c r="L3464" i="8"/>
  <c r="L3460" i="8"/>
  <c r="L3456" i="8"/>
  <c r="L3452" i="8"/>
  <c r="L3448" i="8"/>
  <c r="L3444" i="8"/>
  <c r="L3440" i="8"/>
  <c r="L3436" i="8"/>
  <c r="L3432" i="8"/>
  <c r="L3428" i="8"/>
  <c r="L3424" i="8"/>
  <c r="L3420" i="8"/>
  <c r="L3416" i="8"/>
  <c r="L3412" i="8"/>
  <c r="L3408" i="8"/>
  <c r="L3404" i="8"/>
  <c r="L3400" i="8"/>
  <c r="L3396" i="8"/>
  <c r="L3392" i="8"/>
  <c r="L3388" i="8"/>
  <c r="L3384" i="8"/>
  <c r="L3380" i="8"/>
  <c r="L3376" i="8"/>
  <c r="L3372" i="8"/>
  <c r="L3368" i="8"/>
  <c r="L3364" i="8"/>
  <c r="L3360" i="8"/>
  <c r="L3356" i="8"/>
  <c r="L3352" i="8"/>
  <c r="L3348" i="8"/>
  <c r="L3344" i="8"/>
  <c r="L3340" i="8"/>
  <c r="L3336" i="8"/>
  <c r="L3332" i="8"/>
  <c r="L3328" i="8"/>
  <c r="L3324" i="8"/>
  <c r="L3320" i="8"/>
  <c r="L3316" i="8"/>
  <c r="L3312" i="8"/>
  <c r="L3308" i="8"/>
  <c r="L3304" i="8"/>
  <c r="L3300" i="8"/>
  <c r="L3296" i="8"/>
  <c r="L3292" i="8"/>
  <c r="L3288" i="8"/>
  <c r="L3284" i="8"/>
  <c r="L3280" i="8"/>
  <c r="L3276" i="8"/>
  <c r="L3272" i="8"/>
  <c r="L3268" i="8"/>
  <c r="L3264" i="8"/>
  <c r="L3260" i="8"/>
  <c r="L3256" i="8"/>
  <c r="L3252" i="8"/>
  <c r="L3248" i="8"/>
  <c r="L3244" i="8"/>
  <c r="L3240" i="8"/>
  <c r="L3236" i="8"/>
  <c r="L3232" i="8"/>
  <c r="L3228" i="8"/>
  <c r="L3224" i="8"/>
  <c r="L3220" i="8"/>
  <c r="L3216" i="8"/>
  <c r="L3212" i="8"/>
  <c r="L3208" i="8"/>
  <c r="L3204" i="8"/>
  <c r="L3200" i="8"/>
  <c r="L3196" i="8"/>
  <c r="L3192" i="8"/>
  <c r="L3188" i="8"/>
  <c r="L3184" i="8"/>
  <c r="L3180" i="8"/>
  <c r="L3176" i="8"/>
  <c r="L3172" i="8"/>
  <c r="L3168" i="8"/>
  <c r="L3164" i="8"/>
  <c r="L3160" i="8"/>
  <c r="L3156" i="8"/>
  <c r="L3152" i="8"/>
  <c r="L3148" i="8"/>
  <c r="L3144" i="8"/>
  <c r="L3140" i="8"/>
  <c r="L3136" i="8"/>
  <c r="L3132" i="8"/>
  <c r="L3128" i="8"/>
  <c r="L3124" i="8"/>
  <c r="L3120" i="8"/>
  <c r="L3116" i="8"/>
  <c r="L3112" i="8"/>
  <c r="L3108" i="8"/>
  <c r="L3104" i="8"/>
  <c r="L3100" i="8"/>
  <c r="L3096" i="8"/>
  <c r="L3092" i="8"/>
  <c r="L3088" i="8"/>
  <c r="L3084" i="8"/>
  <c r="L3080" i="8"/>
  <c r="L3076" i="8"/>
  <c r="L3072" i="8"/>
  <c r="L3068" i="8"/>
  <c r="L3064" i="8"/>
  <c r="L3060" i="8"/>
  <c r="L3056" i="8"/>
  <c r="L3052" i="8"/>
  <c r="L3048" i="8"/>
  <c r="L3044" i="8"/>
  <c r="L3040" i="8"/>
  <c r="L3036" i="8"/>
  <c r="L3032" i="8"/>
  <c r="L3028" i="8"/>
  <c r="L3024" i="8"/>
  <c r="L3020" i="8"/>
  <c r="L3016" i="8"/>
  <c r="L3012" i="8"/>
  <c r="L3008" i="8"/>
  <c r="L3004" i="8"/>
  <c r="L3000" i="8"/>
  <c r="L2996" i="8"/>
  <c r="L2992" i="8"/>
  <c r="L2988" i="8"/>
  <c r="L2984" i="8"/>
  <c r="L2980" i="8"/>
  <c r="L2976" i="8"/>
  <c r="L2972" i="8"/>
  <c r="L2968" i="8"/>
  <c r="L2964" i="8"/>
  <c r="L2960" i="8"/>
  <c r="L2956" i="8"/>
  <c r="L2952" i="8"/>
  <c r="L2948" i="8"/>
  <c r="L2944" i="8"/>
  <c r="L2940" i="8"/>
  <c r="L2936" i="8"/>
  <c r="L2932" i="8"/>
  <c r="L2928" i="8"/>
  <c r="L2924" i="8"/>
  <c r="L2920" i="8"/>
  <c r="L2916" i="8"/>
  <c r="L2912" i="8"/>
  <c r="L2908" i="8"/>
  <c r="L2904" i="8"/>
  <c r="L2900" i="8"/>
  <c r="L2896" i="8"/>
  <c r="L2892" i="8"/>
  <c r="L2888" i="8"/>
  <c r="L2884" i="8"/>
  <c r="L2880" i="8"/>
  <c r="L2876" i="8"/>
  <c r="L2872" i="8"/>
  <c r="L2868" i="8"/>
  <c r="L2864" i="8"/>
  <c r="L2860" i="8"/>
  <c r="L2856" i="8"/>
  <c r="L2852" i="8"/>
  <c r="L2848" i="8"/>
  <c r="L2844" i="8"/>
  <c r="L2840" i="8"/>
  <c r="L2836" i="8"/>
  <c r="L2832" i="8"/>
  <c r="L2828" i="8"/>
  <c r="L2824" i="8"/>
  <c r="L2820" i="8"/>
  <c r="L2816" i="8"/>
  <c r="L2812" i="8"/>
  <c r="L2808" i="8"/>
  <c r="L2804" i="8"/>
  <c r="L2800" i="8"/>
  <c r="L2796" i="8"/>
  <c r="L2792" i="8"/>
  <c r="L2788" i="8"/>
  <c r="L2784" i="8"/>
  <c r="L2780" i="8"/>
  <c r="L2776" i="8"/>
  <c r="L2772" i="8"/>
  <c r="L2768" i="8"/>
  <c r="L2764" i="8"/>
  <c r="L2760" i="8"/>
  <c r="L2756" i="8"/>
  <c r="L2752" i="8"/>
  <c r="L2748" i="8"/>
  <c r="L2744" i="8"/>
  <c r="L2740" i="8"/>
  <c r="L2736" i="8"/>
  <c r="L2732" i="8"/>
  <c r="L2728" i="8"/>
  <c r="L2725" i="8"/>
  <c r="L2723" i="8"/>
  <c r="L2721" i="8"/>
  <c r="L2719" i="8"/>
  <c r="L2717" i="8"/>
  <c r="L2715" i="8"/>
  <c r="L2713" i="8"/>
  <c r="L2711" i="8"/>
  <c r="L2709" i="8"/>
  <c r="L2707" i="8"/>
  <c r="L2705" i="8"/>
  <c r="L2703" i="8"/>
  <c r="L2701" i="8"/>
  <c r="L2699" i="8"/>
  <c r="L2697" i="8"/>
  <c r="L2695" i="8"/>
  <c r="L2693" i="8"/>
  <c r="L2691" i="8"/>
  <c r="L2689" i="8"/>
  <c r="L2687" i="8"/>
  <c r="L2685" i="8"/>
  <c r="L2683" i="8"/>
  <c r="L2681" i="8"/>
  <c r="L2679" i="8"/>
  <c r="L2677" i="8"/>
  <c r="L2675" i="8"/>
  <c r="L2673" i="8"/>
  <c r="L2671" i="8"/>
  <c r="L2669" i="8"/>
  <c r="L2667" i="8"/>
  <c r="L2665" i="8"/>
  <c r="L2663" i="8"/>
  <c r="L2661" i="8"/>
  <c r="L2659" i="8"/>
  <c r="L2657" i="8"/>
  <c r="L2655" i="8"/>
  <c r="L2653" i="8"/>
  <c r="L2651" i="8"/>
  <c r="L2649" i="8"/>
  <c r="L2647" i="8"/>
  <c r="L2645" i="8"/>
  <c r="L2643" i="8"/>
  <c r="L2641" i="8"/>
  <c r="L2639" i="8"/>
  <c r="L2637" i="8"/>
  <c r="L2635" i="8"/>
  <c r="L2633" i="8"/>
  <c r="L2631" i="8"/>
  <c r="L2629" i="8"/>
  <c r="L2627" i="8"/>
  <c r="L2625" i="8"/>
  <c r="L2623" i="8"/>
  <c r="L2621" i="8"/>
  <c r="L2619" i="8"/>
  <c r="L2617" i="8"/>
  <c r="L2615" i="8"/>
  <c r="L2613" i="8"/>
  <c r="L2611" i="8"/>
  <c r="L2609" i="8"/>
  <c r="L2607" i="8"/>
  <c r="L2605" i="8"/>
  <c r="L2603" i="8"/>
  <c r="L2601" i="8"/>
  <c r="L2599" i="8"/>
  <c r="L2597" i="8"/>
  <c r="L2595" i="8"/>
  <c r="L2593" i="8"/>
  <c r="L2591" i="8"/>
  <c r="L2589" i="8"/>
  <c r="L2587" i="8"/>
  <c r="L2585" i="8"/>
  <c r="L2583" i="8"/>
  <c r="L2581" i="8"/>
  <c r="L2579" i="8"/>
  <c r="L2577" i="8"/>
  <c r="L2575" i="8"/>
  <c r="L2573" i="8"/>
  <c r="L2571" i="8"/>
  <c r="L2569" i="8"/>
  <c r="L2567" i="8"/>
  <c r="L3034" i="8"/>
  <c r="L3026" i="8"/>
  <c r="L3018" i="8"/>
  <c r="L3010" i="8"/>
  <c r="L3002" i="8"/>
  <c r="L2994" i="8"/>
  <c r="L2986" i="8"/>
  <c r="L2978" i="8"/>
  <c r="L2970" i="8"/>
  <c r="L2962" i="8"/>
  <c r="L2954" i="8"/>
  <c r="L2946" i="8"/>
  <c r="L2938" i="8"/>
  <c r="L2930" i="8"/>
  <c r="L2922" i="8"/>
  <c r="L2914" i="8"/>
  <c r="L2906" i="8"/>
  <c r="L2898" i="8"/>
  <c r="L2890" i="8"/>
  <c r="L2882" i="8"/>
  <c r="L2874" i="8"/>
  <c r="L2866" i="8"/>
  <c r="L2858" i="8"/>
  <c r="L2850" i="8"/>
  <c r="L2842" i="8"/>
  <c r="L2834" i="8"/>
  <c r="L2826" i="8"/>
  <c r="L2818" i="8"/>
  <c r="L2810" i="8"/>
  <c r="L2802" i="8"/>
  <c r="L2794" i="8"/>
  <c r="L2786" i="8"/>
  <c r="L2778" i="8"/>
  <c r="L2770" i="8"/>
  <c r="L2762" i="8"/>
  <c r="L2754" i="8"/>
  <c r="L2746" i="8"/>
  <c r="L2738" i="8"/>
  <c r="L2730" i="8"/>
  <c r="L2724" i="8"/>
  <c r="L2720" i="8"/>
  <c r="L2716" i="8"/>
  <c r="L2712" i="8"/>
  <c r="L2708" i="8"/>
  <c r="L2704" i="8"/>
  <c r="L2700" i="8"/>
  <c r="L2696" i="8"/>
  <c r="L2692" i="8"/>
  <c r="L2688" i="8"/>
  <c r="L2684" i="8"/>
  <c r="L2680" i="8"/>
  <c r="L2676" i="8"/>
  <c r="L2672" i="8"/>
  <c r="L2668" i="8"/>
  <c r="L2664" i="8"/>
  <c r="L2660" i="8"/>
  <c r="L2656" i="8"/>
  <c r="L2652" i="8"/>
  <c r="L2648" i="8"/>
  <c r="L2644" i="8"/>
  <c r="L2640" i="8"/>
  <c r="L2636" i="8"/>
  <c r="L2632" i="8"/>
  <c r="L2628" i="8"/>
  <c r="L2624" i="8"/>
  <c r="L2620" i="8"/>
  <c r="L2616" i="8"/>
  <c r="L2612" i="8"/>
  <c r="L2608" i="8"/>
  <c r="L2604" i="8"/>
  <c r="L2600" i="8"/>
  <c r="L2596" i="8"/>
  <c r="L2592" i="8"/>
  <c r="L2588" i="8"/>
  <c r="L2584" i="8"/>
  <c r="L2580" i="8"/>
  <c r="L2576" i="8"/>
  <c r="L2572" i="8"/>
  <c r="L2568" i="8"/>
  <c r="L2565" i="8"/>
  <c r="L2563" i="8"/>
  <c r="L2561" i="8"/>
  <c r="L2559" i="8"/>
  <c r="L2557" i="8"/>
  <c r="L2555" i="8"/>
  <c r="L2553" i="8"/>
  <c r="L2551" i="8"/>
  <c r="L2549" i="8"/>
  <c r="L2547" i="8"/>
  <c r="L2545" i="8"/>
  <c r="L2543" i="8"/>
  <c r="L2541" i="8"/>
  <c r="L2539" i="8"/>
  <c r="L2537" i="8"/>
  <c r="L2535" i="8"/>
  <c r="L2533" i="8"/>
  <c r="L2531" i="8"/>
  <c r="L2529" i="8"/>
  <c r="L2527" i="8"/>
  <c r="L2525" i="8"/>
  <c r="L2523" i="8"/>
  <c r="L2521" i="8"/>
  <c r="L2519" i="8"/>
  <c r="L2517" i="8"/>
  <c r="L2515" i="8"/>
  <c r="L2513" i="8"/>
  <c r="L2511" i="8"/>
  <c r="L2509" i="8"/>
  <c r="L2507" i="8"/>
  <c r="L2505" i="8"/>
  <c r="L2503" i="8"/>
  <c r="L2501" i="8"/>
  <c r="L2499" i="8"/>
  <c r="L2497" i="8"/>
  <c r="L2495" i="8"/>
  <c r="L2493" i="8"/>
  <c r="L2491" i="8"/>
  <c r="L2489" i="8"/>
  <c r="L2487" i="8"/>
  <c r="L2485" i="8"/>
  <c r="L2483" i="8"/>
  <c r="L2481" i="8"/>
  <c r="L2479" i="8"/>
  <c r="L2477" i="8"/>
  <c r="L2475" i="8"/>
  <c r="L2473" i="8"/>
  <c r="L2471" i="8"/>
  <c r="L2469" i="8"/>
  <c r="L2467" i="8"/>
  <c r="L2465" i="8"/>
  <c r="L2463" i="8"/>
  <c r="L2461" i="8"/>
  <c r="L2459" i="8"/>
  <c r="L2457" i="8"/>
  <c r="L2455" i="8"/>
  <c r="L2453" i="8"/>
  <c r="L2451" i="8"/>
  <c r="L2449" i="8"/>
  <c r="L2447" i="8"/>
  <c r="L2445" i="8"/>
  <c r="L2443" i="8"/>
  <c r="L2441" i="8"/>
  <c r="L2439" i="8"/>
  <c r="L2437" i="8"/>
  <c r="L2435" i="8"/>
  <c r="L2433" i="8"/>
  <c r="L2431" i="8"/>
  <c r="L2429" i="8"/>
  <c r="L2427" i="8"/>
  <c r="L2425" i="8"/>
  <c r="L2423" i="8"/>
  <c r="L2421" i="8"/>
  <c r="L2419" i="8"/>
  <c r="L2417" i="8"/>
  <c r="L2415" i="8"/>
  <c r="L2413" i="8"/>
  <c r="L2411" i="8"/>
  <c r="L2409" i="8"/>
  <c r="L2407" i="8"/>
  <c r="L2405" i="8"/>
  <c r="L2403" i="8"/>
  <c r="L2401" i="8"/>
  <c r="L2399" i="8"/>
  <c r="L2397" i="8"/>
  <c r="L2395" i="8"/>
  <c r="L2393" i="8"/>
  <c r="L2391" i="8"/>
  <c r="L2389" i="8"/>
  <c r="L2387" i="8"/>
  <c r="L2385" i="8"/>
  <c r="L2383" i="8"/>
  <c r="L2381" i="8"/>
  <c r="L2379" i="8"/>
  <c r="L2377" i="8"/>
  <c r="L2375" i="8"/>
  <c r="L2373" i="8"/>
  <c r="L2371" i="8"/>
  <c r="L2369" i="8"/>
  <c r="L2367" i="8"/>
  <c r="L2365" i="8"/>
  <c r="L2363" i="8"/>
  <c r="L2361" i="8"/>
  <c r="L2359" i="8"/>
  <c r="L2357" i="8"/>
  <c r="L2355" i="8"/>
  <c r="L2353" i="8"/>
  <c r="L2351" i="8"/>
  <c r="L2349" i="8"/>
  <c r="L2347" i="8"/>
  <c r="L2345" i="8"/>
  <c r="L2343" i="8"/>
  <c r="L2341" i="8"/>
  <c r="L2339" i="8"/>
  <c r="L2337" i="8"/>
  <c r="L2335" i="8"/>
  <c r="L2333" i="8"/>
  <c r="L2331" i="8"/>
  <c r="L2329" i="8"/>
  <c r="L2327" i="8"/>
  <c r="L2325" i="8"/>
  <c r="L2323" i="8"/>
  <c r="L2321" i="8"/>
  <c r="L2319" i="8"/>
  <c r="L2317" i="8"/>
  <c r="L2315" i="8"/>
  <c r="L2313" i="8"/>
  <c r="L2311" i="8"/>
  <c r="L2309" i="8"/>
  <c r="L2307" i="8"/>
  <c r="L2305" i="8"/>
  <c r="L2303" i="8"/>
  <c r="L2301" i="8"/>
  <c r="L2299" i="8"/>
  <c r="L2297" i="8"/>
  <c r="L2295" i="8"/>
  <c r="L2293" i="8"/>
  <c r="L2291" i="8"/>
  <c r="L2289" i="8"/>
  <c r="L2287" i="8"/>
  <c r="L2285" i="8"/>
  <c r="L2283" i="8"/>
  <c r="L2281" i="8"/>
  <c r="L2279" i="8"/>
  <c r="L2277" i="8"/>
  <c r="L2275" i="8"/>
  <c r="L2273" i="8"/>
  <c r="L2271" i="8"/>
  <c r="L2269" i="8"/>
  <c r="L2267" i="8"/>
  <c r="L2265" i="8"/>
  <c r="L2263" i="8"/>
  <c r="L2261" i="8"/>
  <c r="L2259" i="8"/>
  <c r="L2257" i="8"/>
  <c r="L2255" i="8"/>
  <c r="L2253" i="8"/>
  <c r="L2251" i="8"/>
  <c r="L2249" i="8"/>
  <c r="L2247" i="8"/>
  <c r="L2245" i="8"/>
  <c r="L2243" i="8"/>
  <c r="L2241" i="8"/>
  <c r="L2239" i="8"/>
  <c r="L2237" i="8"/>
  <c r="L2235" i="8"/>
  <c r="L2233" i="8"/>
  <c r="L2231" i="8"/>
  <c r="L2229" i="8"/>
  <c r="L2227" i="8"/>
  <c r="L2225" i="8"/>
  <c r="L2223" i="8"/>
  <c r="L2221" i="8"/>
  <c r="L2219" i="8"/>
  <c r="L2217" i="8"/>
  <c r="L2215" i="8"/>
  <c r="L2213" i="8"/>
  <c r="L2211" i="8"/>
  <c r="L2209" i="8"/>
  <c r="L2207" i="8"/>
  <c r="L2205" i="8"/>
  <c r="L2203" i="8"/>
  <c r="L2201" i="8"/>
  <c r="L2199" i="8"/>
  <c r="L2197" i="8"/>
  <c r="L2195" i="8"/>
  <c r="L2193" i="8"/>
  <c r="L2191" i="8"/>
  <c r="L2189" i="8"/>
  <c r="L2187" i="8"/>
  <c r="L2185" i="8"/>
  <c r="L2183" i="8"/>
  <c r="L2181" i="8"/>
  <c r="L2179" i="8"/>
  <c r="L2177" i="8"/>
  <c r="L2175" i="8"/>
  <c r="L2173" i="8"/>
  <c r="L2171" i="8"/>
  <c r="L2169" i="8"/>
  <c r="L2167" i="8"/>
  <c r="L2165" i="8"/>
  <c r="L2163" i="8"/>
  <c r="L2161" i="8"/>
  <c r="L2159" i="8"/>
  <c r="L2157" i="8"/>
  <c r="L2155" i="8"/>
  <c r="L2153" i="8"/>
  <c r="L2151" i="8"/>
  <c r="L2149" i="8"/>
  <c r="L2147" i="8"/>
  <c r="L2145" i="8"/>
  <c r="L2143" i="8"/>
  <c r="L2141" i="8"/>
  <c r="L2139" i="8"/>
  <c r="L2137" i="8"/>
  <c r="L2135" i="8"/>
  <c r="L2133" i="8"/>
  <c r="L2131" i="8"/>
  <c r="L2129" i="8"/>
  <c r="L2127" i="8"/>
  <c r="L2125" i="8"/>
  <c r="L2123" i="8"/>
  <c r="L2121" i="8"/>
  <c r="L2119" i="8"/>
  <c r="L2117" i="8"/>
  <c r="L2115" i="8"/>
  <c r="L2113" i="8"/>
  <c r="L2111" i="8"/>
  <c r="L2109" i="8"/>
  <c r="L2107" i="8"/>
  <c r="L2105" i="8"/>
  <c r="L2103" i="8"/>
  <c r="L2101" i="8"/>
  <c r="L2099" i="8"/>
  <c r="L2097" i="8"/>
  <c r="L2095" i="8"/>
  <c r="L2093" i="8"/>
  <c r="L2091" i="8"/>
  <c r="L2089" i="8"/>
  <c r="L2087" i="8"/>
  <c r="L2085" i="8"/>
  <c r="L2083" i="8"/>
  <c r="L2081" i="8"/>
  <c r="L2079" i="8"/>
  <c r="L2077" i="8"/>
  <c r="L2075" i="8"/>
  <c r="L2073" i="8"/>
  <c r="L2071" i="8"/>
  <c r="L2069" i="8"/>
  <c r="L2067" i="8"/>
  <c r="L2065" i="8"/>
  <c r="L2063" i="8"/>
  <c r="L2061" i="8"/>
  <c r="L2059" i="8"/>
  <c r="L2057" i="8"/>
  <c r="L2055" i="8"/>
  <c r="L2053" i="8"/>
  <c r="L2051" i="8"/>
  <c r="L2049" i="8"/>
  <c r="L2047" i="8"/>
  <c r="L2045" i="8"/>
  <c r="L2043" i="8"/>
  <c r="L2041" i="8"/>
  <c r="L2039" i="8"/>
  <c r="L2037" i="8"/>
  <c r="L2035" i="8"/>
  <c r="L2033" i="8"/>
  <c r="L2031" i="8"/>
  <c r="L2029" i="8"/>
  <c r="L2027" i="8"/>
  <c r="L2025" i="8"/>
  <c r="L2023" i="8"/>
  <c r="L2021" i="8"/>
  <c r="L2019" i="8"/>
  <c r="L2017" i="8"/>
  <c r="L2015" i="8"/>
  <c r="L2013" i="8"/>
  <c r="L2011" i="8"/>
  <c r="L2009" i="8"/>
  <c r="L2007" i="8"/>
  <c r="L2005" i="8"/>
  <c r="L2003" i="8"/>
  <c r="L2001" i="8"/>
  <c r="L1999" i="8"/>
  <c r="L1997" i="8"/>
  <c r="L1995" i="8"/>
  <c r="L1993" i="8"/>
  <c r="L1991" i="8"/>
  <c r="L1989" i="8"/>
  <c r="L1987" i="8"/>
  <c r="L1985" i="8"/>
  <c r="L1983" i="8"/>
  <c r="L1981" i="8"/>
  <c r="L1979" i="8"/>
  <c r="L1977" i="8"/>
  <c r="L1975" i="8"/>
  <c r="L1973" i="8"/>
  <c r="L1971" i="8"/>
  <c r="L1969" i="8"/>
  <c r="L1967" i="8"/>
  <c r="L1965" i="8"/>
  <c r="L1963" i="8"/>
  <c r="L1961" i="8"/>
  <c r="L1959" i="8"/>
  <c r="L1957" i="8"/>
  <c r="L1955" i="8"/>
  <c r="L1953" i="8"/>
  <c r="L1951" i="8"/>
  <c r="L1949" i="8"/>
  <c r="L1947" i="8"/>
  <c r="L1945" i="8"/>
  <c r="L1943" i="8"/>
  <c r="L1941" i="8"/>
  <c r="L1939" i="8"/>
  <c r="L1937" i="8"/>
  <c r="L1935" i="8"/>
  <c r="L1933" i="8"/>
  <c r="L1931" i="8"/>
  <c r="L1929" i="8"/>
  <c r="L1927" i="8"/>
  <c r="L1925" i="8"/>
  <c r="L1923" i="8"/>
  <c r="L1921" i="8"/>
  <c r="L1919" i="8"/>
  <c r="L1917" i="8"/>
  <c r="L1915" i="8"/>
  <c r="L1913" i="8"/>
  <c r="L1911" i="8"/>
  <c r="L1909" i="8"/>
  <c r="L1907" i="8"/>
  <c r="L1905" i="8"/>
  <c r="L1903" i="8"/>
  <c r="L1901" i="8"/>
  <c r="L1899" i="8"/>
  <c r="L1897" i="8"/>
  <c r="L1895" i="8"/>
  <c r="L1893" i="8"/>
  <c r="L1891" i="8"/>
  <c r="L1889" i="8"/>
  <c r="L1887" i="8"/>
  <c r="L1885" i="8"/>
  <c r="L1883" i="8"/>
  <c r="L1881" i="8"/>
  <c r="L1879" i="8"/>
  <c r="L1877" i="8"/>
  <c r="L1875" i="8"/>
  <c r="L1873" i="8"/>
  <c r="L1871" i="8"/>
  <c r="L1869" i="8"/>
  <c r="L1867" i="8"/>
  <c r="L1865" i="8"/>
  <c r="L1863" i="8"/>
  <c r="L1861" i="8"/>
  <c r="L1859" i="8"/>
  <c r="L1857" i="8"/>
  <c r="L1855" i="8"/>
  <c r="L1853" i="8"/>
  <c r="L1851" i="8"/>
  <c r="L1849" i="8"/>
  <c r="L1847" i="8"/>
  <c r="L1845" i="8"/>
  <c r="L1843" i="8"/>
  <c r="L1841" i="8"/>
  <c r="L1839" i="8"/>
  <c r="L1837" i="8"/>
  <c r="L1835" i="8"/>
  <c r="L1833" i="8"/>
  <c r="L1831" i="8"/>
  <c r="L1829" i="8"/>
  <c r="L1827" i="8"/>
  <c r="L1825" i="8"/>
  <c r="L1823" i="8"/>
  <c r="L1821" i="8"/>
  <c r="L1819" i="8"/>
  <c r="L1817" i="8"/>
  <c r="L1815" i="8"/>
  <c r="L1813" i="8"/>
  <c r="L1811" i="8"/>
  <c r="L1809" i="8"/>
  <c r="L1807" i="8"/>
  <c r="L1805" i="8"/>
  <c r="L1803" i="8"/>
  <c r="L1801" i="8"/>
  <c r="L1799" i="8"/>
  <c r="L1797" i="8"/>
  <c r="L1795" i="8"/>
  <c r="L1793" i="8"/>
  <c r="L1791" i="8"/>
  <c r="L1789" i="8"/>
  <c r="L1787" i="8"/>
  <c r="L1785" i="8"/>
  <c r="L1783" i="8"/>
  <c r="L1781" i="8"/>
  <c r="L1779" i="8"/>
  <c r="L1777" i="8"/>
  <c r="L1775" i="8"/>
  <c r="L1773" i="8"/>
  <c r="L1771" i="8"/>
  <c r="L1769" i="8"/>
  <c r="L1767" i="8"/>
  <c r="L1765" i="8"/>
  <c r="L1763" i="8"/>
  <c r="L1761" i="8"/>
  <c r="L1759" i="8"/>
  <c r="L1757" i="8"/>
  <c r="L1755" i="8"/>
  <c r="L1753" i="8"/>
  <c r="L1751" i="8"/>
  <c r="L1749" i="8"/>
  <c r="L1747" i="8"/>
  <c r="L1745" i="8"/>
  <c r="L1743" i="8"/>
  <c r="L1741" i="8"/>
  <c r="L1739" i="8"/>
  <c r="L1737" i="8"/>
  <c r="L1735" i="8"/>
  <c r="L1733" i="8"/>
  <c r="L1731" i="8"/>
  <c r="L1729" i="8"/>
  <c r="L1727" i="8"/>
  <c r="L1725" i="8"/>
  <c r="L1723" i="8"/>
  <c r="L1721" i="8"/>
  <c r="L1719" i="8"/>
  <c r="L1717" i="8"/>
  <c r="L1715" i="8"/>
  <c r="L1713" i="8"/>
  <c r="L1711" i="8"/>
  <c r="L1709" i="8"/>
  <c r="L1707" i="8"/>
  <c r="L1705" i="8"/>
  <c r="L1703" i="8"/>
  <c r="L1701" i="8"/>
  <c r="L1699" i="8"/>
  <c r="L1697" i="8"/>
  <c r="L1695" i="8"/>
  <c r="L1693" i="8"/>
  <c r="L1691" i="8"/>
  <c r="L1689" i="8"/>
  <c r="L1687" i="8"/>
  <c r="L1685" i="8"/>
  <c r="L1683" i="8"/>
  <c r="L1681" i="8"/>
  <c r="L1679" i="8"/>
  <c r="L1677" i="8"/>
  <c r="L1675" i="8"/>
  <c r="L1673" i="8"/>
  <c r="L1671" i="8"/>
  <c r="L1669" i="8"/>
  <c r="L1667" i="8"/>
  <c r="L1665" i="8"/>
  <c r="L1663" i="8"/>
  <c r="L1661" i="8"/>
  <c r="L1659" i="8"/>
  <c r="L1657" i="8"/>
  <c r="L1655" i="8"/>
  <c r="L1653" i="8"/>
  <c r="L1651" i="8"/>
  <c r="L1649" i="8"/>
  <c r="L1647" i="8"/>
  <c r="L1645" i="8"/>
  <c r="L1643" i="8"/>
  <c r="L1641" i="8"/>
  <c r="L1639" i="8"/>
  <c r="L1637" i="8"/>
  <c r="L1635" i="8"/>
  <c r="L1633" i="8"/>
  <c r="L1631" i="8"/>
  <c r="L1629" i="8"/>
  <c r="L1627" i="8"/>
  <c r="L1625" i="8"/>
  <c r="L1623" i="8"/>
  <c r="L1621" i="8"/>
  <c r="L1619" i="8"/>
  <c r="L1617" i="8"/>
  <c r="L1615" i="8"/>
  <c r="L1613" i="8"/>
  <c r="L1611" i="8"/>
  <c r="L1609" i="8"/>
  <c r="L1607" i="8"/>
  <c r="L1605" i="8"/>
  <c r="L1603" i="8"/>
  <c r="L1601" i="8"/>
  <c r="L1599" i="8"/>
  <c r="L1597" i="8"/>
  <c r="L1595" i="8"/>
  <c r="L1593" i="8"/>
  <c r="L1591" i="8"/>
  <c r="L1589" i="8"/>
  <c r="L1587" i="8"/>
  <c r="L1585" i="8"/>
  <c r="L1583" i="8"/>
  <c r="L1581" i="8"/>
  <c r="L1579" i="8"/>
  <c r="L1577" i="8"/>
  <c r="L1575" i="8"/>
  <c r="L1573" i="8"/>
  <c r="L1571" i="8"/>
  <c r="L1569" i="8"/>
  <c r="L1567" i="8"/>
  <c r="L1565" i="8"/>
  <c r="L1563" i="8"/>
  <c r="L1561" i="8"/>
  <c r="L1559" i="8"/>
  <c r="L1557" i="8"/>
  <c r="L1555" i="8"/>
  <c r="L1553" i="8"/>
  <c r="L1551" i="8"/>
  <c r="L1549" i="8"/>
  <c r="L1547" i="8"/>
  <c r="L1545" i="8"/>
  <c r="L1543" i="8"/>
  <c r="L1541" i="8"/>
  <c r="L1539" i="8"/>
  <c r="L1537" i="8"/>
  <c r="L1535" i="8"/>
  <c r="L1533" i="8"/>
  <c r="L1531" i="8"/>
  <c r="L1529" i="8"/>
  <c r="L1527" i="8"/>
  <c r="L1525" i="8"/>
  <c r="L1523" i="8"/>
  <c r="L1521" i="8"/>
  <c r="L1519" i="8"/>
  <c r="L1517" i="8"/>
  <c r="L1515" i="8"/>
  <c r="L1513" i="8"/>
  <c r="L1511" i="8"/>
  <c r="L1509" i="8"/>
  <c r="L1507" i="8"/>
  <c r="L1505" i="8"/>
  <c r="L1503" i="8"/>
  <c r="L1501" i="8"/>
  <c r="L1499" i="8"/>
  <c r="L1497" i="8"/>
  <c r="L1495" i="8"/>
  <c r="L1493" i="8"/>
  <c r="L1491" i="8"/>
  <c r="L1489" i="8"/>
  <c r="L1487" i="8"/>
  <c r="L1485" i="8"/>
  <c r="L1483" i="8"/>
  <c r="L1481" i="8"/>
  <c r="L1479" i="8"/>
  <c r="L1477" i="8"/>
  <c r="L1475" i="8"/>
  <c r="L1473" i="8"/>
  <c r="L1471" i="8"/>
  <c r="L1469" i="8"/>
  <c r="L1467" i="8"/>
  <c r="L1465" i="8"/>
  <c r="L1463" i="8"/>
  <c r="L1461" i="8"/>
  <c r="L1459" i="8"/>
  <c r="L1457" i="8"/>
  <c r="L1455" i="8"/>
  <c r="L1453" i="8"/>
  <c r="L1451" i="8"/>
  <c r="L1449" i="8"/>
  <c r="L1447" i="8"/>
  <c r="L1445" i="8"/>
  <c r="L1443" i="8"/>
  <c r="L1441" i="8"/>
  <c r="L1439" i="8"/>
  <c r="L1437" i="8"/>
  <c r="L1435" i="8"/>
  <c r="L1433" i="8"/>
  <c r="L1431" i="8"/>
  <c r="L1429" i="8"/>
  <c r="L1427" i="8"/>
  <c r="L1425" i="8"/>
  <c r="L1423" i="8"/>
  <c r="L1421" i="8"/>
  <c r="L1419" i="8"/>
  <c r="L1417" i="8"/>
  <c r="L1415" i="8"/>
  <c r="L1413" i="8"/>
  <c r="L1411" i="8"/>
  <c r="L1409" i="8"/>
  <c r="L1407" i="8"/>
  <c r="L1405" i="8"/>
  <c r="L1403" i="8"/>
  <c r="L1401" i="8"/>
  <c r="L1399" i="8"/>
  <c r="L1397" i="8"/>
  <c r="L1395" i="8"/>
  <c r="L1393" i="8"/>
  <c r="L1391" i="8"/>
  <c r="L1389" i="8"/>
  <c r="L1387" i="8"/>
  <c r="L1385" i="8"/>
  <c r="L1383" i="8"/>
  <c r="L1381" i="8"/>
  <c r="L1379" i="8"/>
  <c r="L1377" i="8"/>
  <c r="L1375" i="8"/>
  <c r="L1373" i="8"/>
  <c r="L1371" i="8"/>
  <c r="L1369" i="8"/>
  <c r="L1367" i="8"/>
  <c r="L1365" i="8"/>
  <c r="L1363" i="8"/>
  <c r="L1361" i="8"/>
  <c r="L1359" i="8"/>
  <c r="L3038" i="8"/>
  <c r="L3030" i="8"/>
  <c r="L3022" i="8"/>
  <c r="L3014" i="8"/>
  <c r="L3006" i="8"/>
  <c r="L2998" i="8"/>
  <c r="L2990" i="8"/>
  <c r="L2982" i="8"/>
  <c r="L2974" i="8"/>
  <c r="L2966" i="8"/>
  <c r="L2958" i="8"/>
  <c r="L2950" i="8"/>
  <c r="L2942" i="8"/>
  <c r="L2934" i="8"/>
  <c r="L2926" i="8"/>
  <c r="L2918" i="8"/>
  <c r="L2910" i="8"/>
  <c r="L2902" i="8"/>
  <c r="L2894" i="8"/>
  <c r="L2886" i="8"/>
  <c r="L2878" i="8"/>
  <c r="L2870" i="8"/>
  <c r="L2862" i="8"/>
  <c r="L2854" i="8"/>
  <c r="L2846" i="8"/>
  <c r="L2838" i="8"/>
  <c r="L2830" i="8"/>
  <c r="L2822" i="8"/>
  <c r="L2814" i="8"/>
  <c r="L2806" i="8"/>
  <c r="L2798" i="8"/>
  <c r="L2790" i="8"/>
  <c r="L2782" i="8"/>
  <c r="L2774" i="8"/>
  <c r="L2766" i="8"/>
  <c r="L2758" i="8"/>
  <c r="L2750" i="8"/>
  <c r="L2742" i="8"/>
  <c r="L2734" i="8"/>
  <c r="L2726" i="8"/>
  <c r="L2722" i="8"/>
  <c r="L2718" i="8"/>
  <c r="L2714" i="8"/>
  <c r="L2710" i="8"/>
  <c r="L2706" i="8"/>
  <c r="L2702" i="8"/>
  <c r="L2698" i="8"/>
  <c r="L2694" i="8"/>
  <c r="L2690" i="8"/>
  <c r="L2686" i="8"/>
  <c r="L2682" i="8"/>
  <c r="L2678" i="8"/>
  <c r="L2674" i="8"/>
  <c r="L2670" i="8"/>
  <c r="L2666" i="8"/>
  <c r="L2662" i="8"/>
  <c r="L2658" i="8"/>
  <c r="L2654" i="8"/>
  <c r="L2650" i="8"/>
  <c r="L2646" i="8"/>
  <c r="L2642" i="8"/>
  <c r="L2638" i="8"/>
  <c r="L2634" i="8"/>
  <c r="L2630" i="8"/>
  <c r="L2626" i="8"/>
  <c r="L2622" i="8"/>
  <c r="L2618" i="8"/>
  <c r="L2614" i="8"/>
  <c r="L2610" i="8"/>
  <c r="L2606" i="8"/>
  <c r="L2602" i="8"/>
  <c r="L2598" i="8"/>
  <c r="L2594" i="8"/>
  <c r="L2590" i="8"/>
  <c r="L2586" i="8"/>
  <c r="L2582" i="8"/>
  <c r="L2578" i="8"/>
  <c r="L2574" i="8"/>
  <c r="L2570" i="8"/>
  <c r="L2566" i="8"/>
  <c r="L2564" i="8"/>
  <c r="L2562" i="8"/>
  <c r="L2560" i="8"/>
  <c r="L2558" i="8"/>
  <c r="L2556" i="8"/>
  <c r="L2554" i="8"/>
  <c r="L2552" i="8"/>
  <c r="L2550" i="8"/>
  <c r="L2548" i="8"/>
  <c r="L2546" i="8"/>
  <c r="L2544" i="8"/>
  <c r="L2542" i="8"/>
  <c r="L2540" i="8"/>
  <c r="L2538" i="8"/>
  <c r="L2536" i="8"/>
  <c r="L2534" i="8"/>
  <c r="L2532" i="8"/>
  <c r="L2530" i="8"/>
  <c r="L2528" i="8"/>
  <c r="L2526" i="8"/>
  <c r="L2524" i="8"/>
  <c r="L2522" i="8"/>
  <c r="L2520" i="8"/>
  <c r="L2518" i="8"/>
  <c r="L2516" i="8"/>
  <c r="L2514" i="8"/>
  <c r="L2512" i="8"/>
  <c r="L2510" i="8"/>
  <c r="L2508" i="8"/>
  <c r="L2506" i="8"/>
  <c r="L2504" i="8"/>
  <c r="L2502" i="8"/>
  <c r="L2500" i="8"/>
  <c r="L2498" i="8"/>
  <c r="L2496" i="8"/>
  <c r="L2494" i="8"/>
  <c r="L2492" i="8"/>
  <c r="L2490" i="8"/>
  <c r="L2488" i="8"/>
  <c r="L2486" i="8"/>
  <c r="L2484" i="8"/>
  <c r="L2482" i="8"/>
  <c r="L2480" i="8"/>
  <c r="L2478" i="8"/>
  <c r="L2476" i="8"/>
  <c r="L2474" i="8"/>
  <c r="L2472" i="8"/>
  <c r="L2470" i="8"/>
  <c r="L2468" i="8"/>
  <c r="L2466" i="8"/>
  <c r="L2464" i="8"/>
  <c r="L2462" i="8"/>
  <c r="L2460" i="8"/>
  <c r="L2458" i="8"/>
  <c r="L2456" i="8"/>
  <c r="L2454" i="8"/>
  <c r="L2452" i="8"/>
  <c r="L2450" i="8"/>
  <c r="L2448" i="8"/>
  <c r="L2446" i="8"/>
  <c r="L2444" i="8"/>
  <c r="L2442" i="8"/>
  <c r="L2440" i="8"/>
  <c r="L2438" i="8"/>
  <c r="L2436" i="8"/>
  <c r="L2434" i="8"/>
  <c r="L2432" i="8"/>
  <c r="L2430" i="8"/>
  <c r="L2428" i="8"/>
  <c r="L2426" i="8"/>
  <c r="L2424" i="8"/>
  <c r="L2422" i="8"/>
  <c r="L2420" i="8"/>
  <c r="L2418" i="8"/>
  <c r="L2416" i="8"/>
  <c r="L2414" i="8"/>
  <c r="L2412" i="8"/>
  <c r="L2410" i="8"/>
  <c r="L2408" i="8"/>
  <c r="L2406" i="8"/>
  <c r="L2404" i="8"/>
  <c r="L2402" i="8"/>
  <c r="L2400" i="8"/>
  <c r="L2398" i="8"/>
  <c r="L2396" i="8"/>
  <c r="L2394" i="8"/>
  <c r="L2392" i="8"/>
  <c r="L2390" i="8"/>
  <c r="L2388" i="8"/>
  <c r="L2386" i="8"/>
  <c r="L2384" i="8"/>
  <c r="L2382" i="8"/>
  <c r="L2380" i="8"/>
  <c r="L2378" i="8"/>
  <c r="L2376" i="8"/>
  <c r="L2374" i="8"/>
  <c r="L2372" i="8"/>
  <c r="L2370" i="8"/>
  <c r="L2368" i="8"/>
  <c r="L2366" i="8"/>
  <c r="L2364" i="8"/>
  <c r="L2362" i="8"/>
  <c r="L2360" i="8"/>
  <c r="L2358" i="8"/>
  <c r="L2356" i="8"/>
  <c r="L2354" i="8"/>
  <c r="L2352" i="8"/>
  <c r="L2350" i="8"/>
  <c r="L2348" i="8"/>
  <c r="L2346" i="8"/>
  <c r="L2344" i="8"/>
  <c r="L2342" i="8"/>
  <c r="L2340" i="8"/>
  <c r="L2338" i="8"/>
  <c r="L2336" i="8"/>
  <c r="L2334" i="8"/>
  <c r="L2332" i="8"/>
  <c r="L2330" i="8"/>
  <c r="L2328" i="8"/>
  <c r="L2326" i="8"/>
  <c r="L2324" i="8"/>
  <c r="L2322" i="8"/>
  <c r="L2320" i="8"/>
  <c r="L2318" i="8"/>
  <c r="L2316" i="8"/>
  <c r="L2314" i="8"/>
  <c r="L2312" i="8"/>
  <c r="L2310" i="8"/>
  <c r="L2308" i="8"/>
  <c r="L2306" i="8"/>
  <c r="L2304" i="8"/>
  <c r="L2302" i="8"/>
  <c r="L2300" i="8"/>
  <c r="L2298" i="8"/>
  <c r="L2296" i="8"/>
  <c r="L2294" i="8"/>
  <c r="L2292" i="8"/>
  <c r="L2290" i="8"/>
  <c r="L2288" i="8"/>
  <c r="L2286" i="8"/>
  <c r="L2284" i="8"/>
  <c r="L2282" i="8"/>
  <c r="L2280" i="8"/>
  <c r="L2278" i="8"/>
  <c r="L2276" i="8"/>
  <c r="L2274" i="8"/>
  <c r="L2272" i="8"/>
  <c r="L2270" i="8"/>
  <c r="L2268" i="8"/>
  <c r="L2266" i="8"/>
  <c r="L2264" i="8"/>
  <c r="L2262" i="8"/>
  <c r="L2260" i="8"/>
  <c r="L2258" i="8"/>
  <c r="L2256" i="8"/>
  <c r="L2254" i="8"/>
  <c r="L2252" i="8"/>
  <c r="L2250" i="8"/>
  <c r="L2248" i="8"/>
  <c r="L2246" i="8"/>
  <c r="L2244" i="8"/>
  <c r="L2242" i="8"/>
  <c r="L2240" i="8"/>
  <c r="L2238" i="8"/>
  <c r="L2236" i="8"/>
  <c r="L2234" i="8"/>
  <c r="L2232" i="8"/>
  <c r="L2230" i="8"/>
  <c r="L2228" i="8"/>
  <c r="L2226" i="8"/>
  <c r="L2224" i="8"/>
  <c r="L2222" i="8"/>
  <c r="L2220" i="8"/>
  <c r="L2218" i="8"/>
  <c r="L2216" i="8"/>
  <c r="L2214" i="8"/>
  <c r="L2212" i="8"/>
  <c r="L2210" i="8"/>
  <c r="L2208" i="8"/>
  <c r="L2206" i="8"/>
  <c r="L2204" i="8"/>
  <c r="L2202" i="8"/>
  <c r="L2200" i="8"/>
  <c r="L2198" i="8"/>
  <c r="L2196" i="8"/>
  <c r="L2194" i="8"/>
  <c r="L2192" i="8"/>
  <c r="L2190" i="8"/>
  <c r="L2188" i="8"/>
  <c r="L2186" i="8"/>
  <c r="L2184" i="8"/>
  <c r="L2182" i="8"/>
  <c r="L2180" i="8"/>
  <c r="L2178" i="8"/>
  <c r="L2176" i="8"/>
  <c r="L2174" i="8"/>
  <c r="L2172" i="8"/>
  <c r="L2170" i="8"/>
  <c r="L2168" i="8"/>
  <c r="L2166" i="8"/>
  <c r="L2164" i="8"/>
  <c r="L2162" i="8"/>
  <c r="L2160" i="8"/>
  <c r="L2158" i="8"/>
  <c r="L2156" i="8"/>
  <c r="L2154" i="8"/>
  <c r="L2152" i="8"/>
  <c r="L2150" i="8"/>
  <c r="L2148" i="8"/>
  <c r="L2146" i="8"/>
  <c r="L2144" i="8"/>
  <c r="L2142" i="8"/>
  <c r="L2140" i="8"/>
  <c r="L2138" i="8"/>
  <c r="L2136" i="8"/>
  <c r="L2134" i="8"/>
  <c r="L2132" i="8"/>
  <c r="L2130" i="8"/>
  <c r="L2128" i="8"/>
  <c r="L2126" i="8"/>
  <c r="L2124" i="8"/>
  <c r="L2122" i="8"/>
  <c r="L2120" i="8"/>
  <c r="L2118" i="8"/>
  <c r="L2116" i="8"/>
  <c r="L2114" i="8"/>
  <c r="L2112" i="8"/>
  <c r="L2110" i="8"/>
  <c r="L2108" i="8"/>
  <c r="L2106" i="8"/>
  <c r="L2104" i="8"/>
  <c r="L2102" i="8"/>
  <c r="L2100" i="8"/>
  <c r="L2098" i="8"/>
  <c r="L2096" i="8"/>
  <c r="L2094" i="8"/>
  <c r="L2092" i="8"/>
  <c r="L2090" i="8"/>
  <c r="L2088" i="8"/>
  <c r="L2086" i="8"/>
  <c r="L2084" i="8"/>
  <c r="L2082" i="8"/>
  <c r="L2080" i="8"/>
  <c r="L2078" i="8"/>
  <c r="L2076" i="8"/>
  <c r="L2074" i="8"/>
  <c r="L2072" i="8"/>
  <c r="L2070" i="8"/>
  <c r="L2068" i="8"/>
  <c r="L2066" i="8"/>
  <c r="L2064" i="8"/>
  <c r="L2062" i="8"/>
  <c r="L2060" i="8"/>
  <c r="L2058" i="8"/>
  <c r="L2056" i="8"/>
  <c r="L2054" i="8"/>
  <c r="L2052" i="8"/>
  <c r="L2050" i="8"/>
  <c r="L2048" i="8"/>
  <c r="L2046" i="8"/>
  <c r="L2044" i="8"/>
  <c r="L2042" i="8"/>
  <c r="L2040" i="8"/>
  <c r="L2038" i="8"/>
  <c r="L2036" i="8"/>
  <c r="L2034" i="8"/>
  <c r="L2032" i="8"/>
  <c r="L2030" i="8"/>
  <c r="L2028" i="8"/>
  <c r="L2026" i="8"/>
  <c r="L2024" i="8"/>
  <c r="L2022" i="8"/>
  <c r="L2020" i="8"/>
  <c r="L2018" i="8"/>
  <c r="L2016" i="8"/>
  <c r="L2014" i="8"/>
  <c r="L2012" i="8"/>
  <c r="L2010" i="8"/>
  <c r="L2008" i="8"/>
  <c r="L2006" i="8"/>
  <c r="L2004" i="8"/>
  <c r="L2002" i="8"/>
  <c r="L2000" i="8"/>
  <c r="L1998" i="8"/>
  <c r="L1996" i="8"/>
  <c r="L1994" i="8"/>
  <c r="L1992" i="8"/>
  <c r="L1990" i="8"/>
  <c r="L1988" i="8"/>
  <c r="L1986" i="8"/>
  <c r="L1984" i="8"/>
  <c r="L1982" i="8"/>
  <c r="L1980" i="8"/>
  <c r="L1978" i="8"/>
  <c r="L1976" i="8"/>
  <c r="L1974" i="8"/>
  <c r="L1972" i="8"/>
  <c r="L1970" i="8"/>
  <c r="L1968" i="8"/>
  <c r="L1966" i="8"/>
  <c r="L1964" i="8"/>
  <c r="L1962" i="8"/>
  <c r="L1960" i="8"/>
  <c r="L1958" i="8"/>
  <c r="L1956" i="8"/>
  <c r="L1954" i="8"/>
  <c r="L1952" i="8"/>
  <c r="L1950" i="8"/>
  <c r="L1948" i="8"/>
  <c r="L1946" i="8"/>
  <c r="L1944" i="8"/>
  <c r="L1942" i="8"/>
  <c r="L1940" i="8"/>
  <c r="L1938" i="8"/>
  <c r="L1936" i="8"/>
  <c r="L1934" i="8"/>
  <c r="L1932" i="8"/>
  <c r="L1930" i="8"/>
  <c r="L1928" i="8"/>
  <c r="L1926" i="8"/>
  <c r="L1924" i="8"/>
  <c r="L1922" i="8"/>
  <c r="L1920" i="8"/>
  <c r="L1918" i="8"/>
  <c r="L1916" i="8"/>
  <c r="L1914" i="8"/>
  <c r="L1912" i="8"/>
  <c r="L1910" i="8"/>
  <c r="L1908" i="8"/>
  <c r="L1906" i="8"/>
  <c r="L1904" i="8"/>
  <c r="L1902" i="8"/>
  <c r="L1900" i="8"/>
  <c r="L1898" i="8"/>
  <c r="L1896" i="8"/>
  <c r="L1894" i="8"/>
  <c r="L1892" i="8"/>
  <c r="L1890" i="8"/>
  <c r="L1888" i="8"/>
  <c r="L1886" i="8"/>
  <c r="L1884" i="8"/>
  <c r="L1882" i="8"/>
  <c r="L1880" i="8"/>
  <c r="L1878" i="8"/>
  <c r="L1876" i="8"/>
  <c r="L1874" i="8"/>
  <c r="L1872" i="8"/>
  <c r="L1870" i="8"/>
  <c r="L1868" i="8"/>
  <c r="L1866" i="8"/>
  <c r="L1864" i="8"/>
  <c r="L1862" i="8"/>
  <c r="L1860" i="8"/>
  <c r="L1858" i="8"/>
  <c r="L1856" i="8"/>
  <c r="L1854" i="8"/>
  <c r="L1852" i="8"/>
  <c r="L1850" i="8"/>
  <c r="L1848" i="8"/>
  <c r="L1846" i="8"/>
  <c r="L1844" i="8"/>
  <c r="L1842" i="8"/>
  <c r="L1840" i="8"/>
  <c r="L1838" i="8"/>
  <c r="L1836" i="8"/>
  <c r="L1834" i="8"/>
  <c r="L1832" i="8"/>
  <c r="L1830" i="8"/>
  <c r="L1828" i="8"/>
  <c r="L1826" i="8"/>
  <c r="L1824" i="8"/>
  <c r="L1822" i="8"/>
  <c r="L1820" i="8"/>
  <c r="L1818" i="8"/>
  <c r="L1816" i="8"/>
  <c r="L1814" i="8"/>
  <c r="L1812" i="8"/>
  <c r="L1810" i="8"/>
  <c r="L1808" i="8"/>
  <c r="L1806" i="8"/>
  <c r="L1804" i="8"/>
  <c r="L1802" i="8"/>
  <c r="L1800" i="8"/>
  <c r="L1798" i="8"/>
  <c r="L1796" i="8"/>
  <c r="L1794" i="8"/>
  <c r="L1792" i="8"/>
  <c r="L1790" i="8"/>
  <c r="L1788" i="8"/>
  <c r="L1786" i="8"/>
  <c r="L1784" i="8"/>
  <c r="L1782" i="8"/>
  <c r="L1780" i="8"/>
  <c r="L1778" i="8"/>
  <c r="L1776" i="8"/>
  <c r="L1774" i="8"/>
  <c r="L1772" i="8"/>
  <c r="L1770" i="8"/>
  <c r="L1768" i="8"/>
  <c r="L1766" i="8"/>
  <c r="L1764" i="8"/>
  <c r="L1762" i="8"/>
  <c r="L1760" i="8"/>
  <c r="L1758" i="8"/>
  <c r="L1756" i="8"/>
  <c r="L1754" i="8"/>
  <c r="L1752" i="8"/>
  <c r="L1750" i="8"/>
  <c r="L1748" i="8"/>
  <c r="L1746" i="8"/>
  <c r="L1744" i="8"/>
  <c r="L1742" i="8"/>
  <c r="L1740" i="8"/>
  <c r="L1738" i="8"/>
  <c r="L1736" i="8"/>
  <c r="L1734" i="8"/>
  <c r="L1732" i="8"/>
  <c r="L1730" i="8"/>
  <c r="L1728" i="8"/>
  <c r="L1726" i="8"/>
  <c r="L1724" i="8"/>
  <c r="L1722" i="8"/>
  <c r="L1720" i="8"/>
  <c r="L1718" i="8"/>
  <c r="L1716" i="8"/>
  <c r="L1714" i="8"/>
  <c r="L1712" i="8"/>
  <c r="L1710" i="8"/>
  <c r="L1708" i="8"/>
  <c r="L1706" i="8"/>
  <c r="L1704" i="8"/>
  <c r="L1702" i="8"/>
  <c r="L1700" i="8"/>
  <c r="L1698" i="8"/>
  <c r="L1696" i="8"/>
  <c r="L1694" i="8"/>
  <c r="L1692" i="8"/>
  <c r="L1690" i="8"/>
  <c r="L1688" i="8"/>
  <c r="L1686" i="8"/>
  <c r="L1684" i="8"/>
  <c r="L1682" i="8"/>
  <c r="L1680" i="8"/>
  <c r="L1678" i="8"/>
  <c r="L1676" i="8"/>
  <c r="L1674" i="8"/>
  <c r="L1672" i="8"/>
  <c r="L1670" i="8"/>
  <c r="L1668" i="8"/>
  <c r="L1666" i="8"/>
  <c r="L1664" i="8"/>
  <c r="L1662" i="8"/>
  <c r="L1660" i="8"/>
  <c r="L1658" i="8"/>
  <c r="L1656" i="8"/>
  <c r="L1654" i="8"/>
  <c r="L1652" i="8"/>
  <c r="L1650" i="8"/>
  <c r="L1648" i="8"/>
  <c r="L1646" i="8"/>
  <c r="L1644" i="8"/>
  <c r="L1642" i="8"/>
  <c r="L1640" i="8"/>
  <c r="L1638" i="8"/>
  <c r="L1636" i="8"/>
  <c r="L1634" i="8"/>
  <c r="L1632" i="8"/>
  <c r="L1630" i="8"/>
  <c r="L1628" i="8"/>
  <c r="L1626" i="8"/>
  <c r="L1624" i="8"/>
  <c r="L1622" i="8"/>
  <c r="L1620" i="8"/>
  <c r="L1618" i="8"/>
  <c r="L1616" i="8"/>
  <c r="L1614" i="8"/>
  <c r="L1612" i="8"/>
  <c r="L1610" i="8"/>
  <c r="L1608" i="8"/>
  <c r="L1606" i="8"/>
  <c r="L1604" i="8"/>
  <c r="L1602" i="8"/>
  <c r="L1600" i="8"/>
  <c r="L1598" i="8"/>
  <c r="L1596" i="8"/>
  <c r="L1594" i="8"/>
  <c r="L1592" i="8"/>
  <c r="L1590" i="8"/>
  <c r="L1588" i="8"/>
  <c r="L1586" i="8"/>
  <c r="L1584" i="8"/>
  <c r="L1582" i="8"/>
  <c r="L1580" i="8"/>
  <c r="L1578" i="8"/>
  <c r="L1576" i="8"/>
  <c r="L1574" i="8"/>
  <c r="L1572" i="8"/>
  <c r="L1570" i="8"/>
  <c r="L1568" i="8"/>
  <c r="L1566" i="8"/>
  <c r="L1564" i="8"/>
  <c r="L1562" i="8"/>
  <c r="L1560" i="8"/>
  <c r="L1558" i="8"/>
  <c r="L1556" i="8"/>
  <c r="L1554" i="8"/>
  <c r="L1552" i="8"/>
  <c r="L1550" i="8"/>
  <c r="L1548" i="8"/>
  <c r="L1546" i="8"/>
  <c r="L1544" i="8"/>
  <c r="L1542" i="8"/>
  <c r="L1540" i="8"/>
  <c r="L1538" i="8"/>
  <c r="L1536" i="8"/>
  <c r="L1534" i="8"/>
  <c r="L1532" i="8"/>
  <c r="L1530" i="8"/>
  <c r="L1528" i="8"/>
  <c r="L1526" i="8"/>
  <c r="L1524" i="8"/>
  <c r="L1522" i="8"/>
  <c r="L1520" i="8"/>
  <c r="L1518" i="8"/>
  <c r="L1516" i="8"/>
  <c r="L1514" i="8"/>
  <c r="L1512" i="8"/>
  <c r="L1510" i="8"/>
  <c r="L1508" i="8"/>
  <c r="L1506" i="8"/>
  <c r="L1504" i="8"/>
  <c r="L1502" i="8"/>
  <c r="L1500" i="8"/>
  <c r="L1498" i="8"/>
  <c r="L1496" i="8"/>
  <c r="L1494" i="8"/>
  <c r="L1492" i="8"/>
  <c r="L1490" i="8"/>
  <c r="L1488" i="8"/>
  <c r="L1486" i="8"/>
  <c r="L1484" i="8"/>
  <c r="L1482" i="8"/>
  <c r="L1480" i="8"/>
  <c r="L1478" i="8"/>
  <c r="L1476" i="8"/>
  <c r="L1474" i="8"/>
  <c r="L1472" i="8"/>
  <c r="L1470" i="8"/>
  <c r="L1468" i="8"/>
  <c r="L1466" i="8"/>
  <c r="L1464" i="8"/>
  <c r="L1462" i="8"/>
  <c r="L1460" i="8"/>
  <c r="L1458" i="8"/>
  <c r="L1456" i="8"/>
  <c r="L1454" i="8"/>
  <c r="L1452" i="8"/>
  <c r="L1450" i="8"/>
  <c r="L1448" i="8"/>
  <c r="L1446" i="8"/>
  <c r="L1444" i="8"/>
  <c r="L1442" i="8"/>
  <c r="L1440" i="8"/>
  <c r="L1438" i="8"/>
  <c r="L1436" i="8"/>
  <c r="L1434" i="8"/>
  <c r="L1432" i="8"/>
  <c r="L1430" i="8"/>
  <c r="L1428" i="8"/>
  <c r="L1426" i="8"/>
  <c r="L1424" i="8"/>
  <c r="L1422" i="8"/>
  <c r="L1420" i="8"/>
  <c r="L1418" i="8"/>
  <c r="L1416" i="8"/>
  <c r="L1414" i="8"/>
  <c r="L1412" i="8"/>
  <c r="L1410" i="8"/>
  <c r="L1408" i="8"/>
  <c r="L1406" i="8"/>
  <c r="L1404" i="8"/>
  <c r="L1402" i="8"/>
  <c r="L1400" i="8"/>
  <c r="L1398" i="8"/>
  <c r="L1396" i="8"/>
  <c r="L1394" i="8"/>
  <c r="L1392" i="8"/>
  <c r="L1390" i="8"/>
  <c r="L1388" i="8"/>
  <c r="L1386" i="8"/>
  <c r="L1384" i="8"/>
  <c r="L1382" i="8"/>
  <c r="L1380" i="8"/>
  <c r="L1378" i="8"/>
  <c r="L1376" i="8"/>
  <c r="L1374" i="8"/>
  <c r="L1372" i="8"/>
  <c r="L1370" i="8"/>
  <c r="L1368" i="8"/>
  <c r="L1366" i="8"/>
  <c r="L1364" i="8"/>
  <c r="L1362" i="8"/>
  <c r="L1358" i="8"/>
  <c r="L1356" i="8"/>
  <c r="L1354" i="8"/>
  <c r="L1352" i="8"/>
  <c r="L1350" i="8"/>
  <c r="L1348" i="8"/>
  <c r="L1346" i="8"/>
  <c r="L1344" i="8"/>
  <c r="L1342" i="8"/>
  <c r="L1340" i="8"/>
  <c r="L1338" i="8"/>
  <c r="L1336" i="8"/>
  <c r="L1334" i="8"/>
  <c r="L1332" i="8"/>
  <c r="L1330" i="8"/>
  <c r="L1328" i="8"/>
  <c r="L1326" i="8"/>
  <c r="L1324" i="8"/>
  <c r="L1322" i="8"/>
  <c r="L1320" i="8"/>
  <c r="L1318" i="8"/>
  <c r="L1316" i="8"/>
  <c r="L1314" i="8"/>
  <c r="L1312" i="8"/>
  <c r="L1310" i="8"/>
  <c r="L1308" i="8"/>
  <c r="L1306" i="8"/>
  <c r="L1304" i="8"/>
  <c r="L1302" i="8"/>
  <c r="L1300" i="8"/>
  <c r="L1298" i="8"/>
  <c r="L1296" i="8"/>
  <c r="L1294" i="8"/>
  <c r="L1292" i="8"/>
  <c r="L1290" i="8"/>
  <c r="L1288" i="8"/>
  <c r="L1286" i="8"/>
  <c r="L1284" i="8"/>
  <c r="L1282" i="8"/>
  <c r="L1280" i="8"/>
  <c r="L1278" i="8"/>
  <c r="L1276" i="8"/>
  <c r="L1274" i="8"/>
  <c r="L1272" i="8"/>
  <c r="L1270" i="8"/>
  <c r="L1268" i="8"/>
  <c r="L1266" i="8"/>
  <c r="L1264" i="8"/>
  <c r="L1262" i="8"/>
  <c r="L1260" i="8"/>
  <c r="L1258" i="8"/>
  <c r="L1256" i="8"/>
  <c r="L1254" i="8"/>
  <c r="L1252" i="8"/>
  <c r="L1250" i="8"/>
  <c r="L1248" i="8"/>
  <c r="L1246" i="8"/>
  <c r="L1244" i="8"/>
  <c r="L1242" i="8"/>
  <c r="L1240" i="8"/>
  <c r="L1238" i="8"/>
  <c r="L1236" i="8"/>
  <c r="L1234" i="8"/>
  <c r="L1232" i="8"/>
  <c r="L1230" i="8"/>
  <c r="L1228" i="8"/>
  <c r="L1226" i="8"/>
  <c r="L1224" i="8"/>
  <c r="L1222" i="8"/>
  <c r="L1220" i="8"/>
  <c r="L1218" i="8"/>
  <c r="L1216" i="8"/>
  <c r="L1214" i="8"/>
  <c r="L1212" i="8"/>
  <c r="L1210" i="8"/>
  <c r="L1208" i="8"/>
  <c r="L1206" i="8"/>
  <c r="L1204" i="8"/>
  <c r="L1202" i="8"/>
  <c r="L1200" i="8"/>
  <c r="L1198" i="8"/>
  <c r="L1196" i="8"/>
  <c r="L1194" i="8"/>
  <c r="L1192" i="8"/>
  <c r="L1190" i="8"/>
  <c r="L1188" i="8"/>
  <c r="L1186" i="8"/>
  <c r="L1184" i="8"/>
  <c r="L1182" i="8"/>
  <c r="L1180" i="8"/>
  <c r="L1178" i="8"/>
  <c r="L1176" i="8"/>
  <c r="L1174" i="8"/>
  <c r="L1172" i="8"/>
  <c r="L1170" i="8"/>
  <c r="L1168" i="8"/>
  <c r="L1166" i="8"/>
  <c r="L1164" i="8"/>
  <c r="L1162" i="8"/>
  <c r="L1160" i="8"/>
  <c r="L1158" i="8"/>
  <c r="L1156" i="8"/>
  <c r="L1154" i="8"/>
  <c r="L1152" i="8"/>
  <c r="L1150" i="8"/>
  <c r="L1148" i="8"/>
  <c r="L1146" i="8"/>
  <c r="L1144" i="8"/>
  <c r="L1142" i="8"/>
  <c r="L1140" i="8"/>
  <c r="L1138" i="8"/>
  <c r="L1136" i="8"/>
  <c r="L1134" i="8"/>
  <c r="L1132" i="8"/>
  <c r="L1130" i="8"/>
  <c r="L1128" i="8"/>
  <c r="L1126" i="8"/>
  <c r="L1124" i="8"/>
  <c r="L1122" i="8"/>
  <c r="L1120" i="8"/>
  <c r="L1118" i="8"/>
  <c r="L1116" i="8"/>
  <c r="L1114" i="8"/>
  <c r="L1112" i="8"/>
  <c r="L1110" i="8"/>
  <c r="L1108" i="8"/>
  <c r="L1106" i="8"/>
  <c r="L1104" i="8"/>
  <c r="L1102" i="8"/>
  <c r="L1100" i="8"/>
  <c r="L1098" i="8"/>
  <c r="L1096" i="8"/>
  <c r="L1094" i="8"/>
  <c r="L1092" i="8"/>
  <c r="L1090" i="8"/>
  <c r="L1088" i="8"/>
  <c r="L1086" i="8"/>
  <c r="L1084" i="8"/>
  <c r="L1082" i="8"/>
  <c r="L1080" i="8"/>
  <c r="L1078" i="8"/>
  <c r="L1076" i="8"/>
  <c r="L1074" i="8"/>
  <c r="L1072" i="8"/>
  <c r="L1070" i="8"/>
  <c r="L1068" i="8"/>
  <c r="L1066" i="8"/>
  <c r="L1064" i="8"/>
  <c r="L1062" i="8"/>
  <c r="L1060" i="8"/>
  <c r="L1058" i="8"/>
  <c r="L1056" i="8"/>
  <c r="L1054" i="8"/>
  <c r="L1052" i="8"/>
  <c r="L1050" i="8"/>
  <c r="L1048" i="8"/>
  <c r="L1046" i="8"/>
  <c r="L1044" i="8"/>
  <c r="L1042" i="8"/>
  <c r="L1040" i="8"/>
  <c r="L1038" i="8"/>
  <c r="L1036" i="8"/>
  <c r="L1034" i="8"/>
  <c r="L1032" i="8"/>
  <c r="L1030" i="8"/>
  <c r="L1028" i="8"/>
  <c r="L1026" i="8"/>
  <c r="L1024" i="8"/>
  <c r="L1022" i="8"/>
  <c r="L1020" i="8"/>
  <c r="L1018" i="8"/>
  <c r="L1016" i="8"/>
  <c r="L1014" i="8"/>
  <c r="L1012" i="8"/>
  <c r="L1010" i="8"/>
  <c r="L1008" i="8"/>
  <c r="L1006" i="8"/>
  <c r="L1004" i="8"/>
  <c r="L1002" i="8"/>
  <c r="L1000" i="8"/>
  <c r="L998" i="8"/>
  <c r="L996" i="8"/>
  <c r="L994" i="8"/>
  <c r="L992" i="8"/>
  <c r="L990" i="8"/>
  <c r="L988" i="8"/>
  <c r="L986" i="8"/>
  <c r="L984" i="8"/>
  <c r="L982" i="8"/>
  <c r="L980" i="8"/>
  <c r="L978" i="8"/>
  <c r="L976" i="8"/>
  <c r="L974" i="8"/>
  <c r="L972" i="8"/>
  <c r="L970" i="8"/>
  <c r="L968" i="8"/>
  <c r="L966" i="8"/>
  <c r="L964" i="8"/>
  <c r="L962" i="8"/>
  <c r="L960" i="8"/>
  <c r="L958" i="8"/>
  <c r="L956" i="8"/>
  <c r="L954" i="8"/>
  <c r="L952" i="8"/>
  <c r="L950" i="8"/>
  <c r="L948" i="8"/>
  <c r="L946" i="8"/>
  <c r="L944" i="8"/>
  <c r="L942" i="8"/>
  <c r="L940" i="8"/>
  <c r="L938" i="8"/>
  <c r="L936" i="8"/>
  <c r="L934" i="8"/>
  <c r="L932" i="8"/>
  <c r="L930" i="8"/>
  <c r="L928" i="8"/>
  <c r="L926" i="8"/>
  <c r="L924" i="8"/>
  <c r="L922" i="8"/>
  <c r="L920" i="8"/>
  <c r="L918" i="8"/>
  <c r="L916" i="8"/>
  <c r="L914" i="8"/>
  <c r="L912" i="8"/>
  <c r="L910" i="8"/>
  <c r="L908" i="8"/>
  <c r="L906" i="8"/>
  <c r="L904" i="8"/>
  <c r="L902" i="8"/>
  <c r="L900" i="8"/>
  <c r="L898" i="8"/>
  <c r="L896" i="8"/>
  <c r="L894" i="8"/>
  <c r="L892" i="8"/>
  <c r="L890" i="8"/>
  <c r="L888" i="8"/>
  <c r="L886" i="8"/>
  <c r="L884" i="8"/>
  <c r="L882" i="8"/>
  <c r="L880" i="8"/>
  <c r="L878" i="8"/>
  <c r="L876" i="8"/>
  <c r="L874" i="8"/>
  <c r="L872" i="8"/>
  <c r="L870" i="8"/>
  <c r="L868" i="8"/>
  <c r="L866" i="8"/>
  <c r="L864" i="8"/>
  <c r="L862" i="8"/>
  <c r="L860" i="8"/>
  <c r="L858" i="8"/>
  <c r="L856" i="8"/>
  <c r="L854" i="8"/>
  <c r="L852" i="8"/>
  <c r="L850" i="8"/>
  <c r="L848" i="8"/>
  <c r="L846" i="8"/>
  <c r="L844" i="8"/>
  <c r="L842" i="8"/>
  <c r="L840" i="8"/>
  <c r="L838" i="8"/>
  <c r="L836" i="8"/>
  <c r="L834" i="8"/>
  <c r="L832" i="8"/>
  <c r="L830" i="8"/>
  <c r="L828" i="8"/>
  <c r="L826" i="8"/>
  <c r="L824" i="8"/>
  <c r="L822" i="8"/>
  <c r="L820" i="8"/>
  <c r="L818" i="8"/>
  <c r="L816" i="8"/>
  <c r="L814" i="8"/>
  <c r="L812" i="8"/>
  <c r="L810" i="8"/>
  <c r="L808" i="8"/>
  <c r="L806" i="8"/>
  <c r="L804" i="8"/>
  <c r="L802" i="8"/>
  <c r="L800" i="8"/>
  <c r="L798" i="8"/>
  <c r="L796" i="8"/>
  <c r="L794" i="8"/>
  <c r="L792" i="8"/>
  <c r="L790" i="8"/>
  <c r="L788" i="8"/>
  <c r="L786" i="8"/>
  <c r="L784" i="8"/>
  <c r="L782" i="8"/>
  <c r="L780" i="8"/>
  <c r="L778" i="8"/>
  <c r="L776" i="8"/>
  <c r="L774" i="8"/>
  <c r="L772" i="8"/>
  <c r="L770" i="8"/>
  <c r="L768" i="8"/>
  <c r="L766" i="8"/>
  <c r="L764" i="8"/>
  <c r="L762" i="8"/>
  <c r="L760" i="8"/>
  <c r="L758" i="8"/>
  <c r="L756" i="8"/>
  <c r="L754" i="8"/>
  <c r="L752" i="8"/>
  <c r="L750" i="8"/>
  <c r="L748" i="8"/>
  <c r="L746" i="8"/>
  <c r="L744" i="8"/>
  <c r="L742" i="8"/>
  <c r="L740" i="8"/>
  <c r="L738" i="8"/>
  <c r="L736" i="8"/>
  <c r="L734" i="8"/>
  <c r="L732" i="8"/>
  <c r="L730" i="8"/>
  <c r="L728" i="8"/>
  <c r="L726" i="8"/>
  <c r="L724" i="8"/>
  <c r="L722" i="8"/>
  <c r="L720" i="8"/>
  <c r="L718" i="8"/>
  <c r="L716" i="8"/>
  <c r="L714" i="8"/>
  <c r="L712" i="8"/>
  <c r="L710" i="8"/>
  <c r="L708" i="8"/>
  <c r="L706" i="8"/>
  <c r="L704" i="8"/>
  <c r="L702" i="8"/>
  <c r="L700" i="8"/>
  <c r="L698" i="8"/>
  <c r="L696" i="8"/>
  <c r="L694" i="8"/>
  <c r="L692" i="8"/>
  <c r="L690" i="8"/>
  <c r="L688" i="8"/>
  <c r="L686" i="8"/>
  <c r="L684" i="8"/>
  <c r="L682" i="8"/>
  <c r="L680" i="8"/>
  <c r="L678" i="8"/>
  <c r="L676" i="8"/>
  <c r="L674" i="8"/>
  <c r="L672" i="8"/>
  <c r="L670" i="8"/>
  <c r="L668" i="8"/>
  <c r="L666" i="8"/>
  <c r="L664" i="8"/>
  <c r="L662" i="8"/>
  <c r="L660" i="8"/>
  <c r="L658" i="8"/>
  <c r="L656" i="8"/>
  <c r="L654" i="8"/>
  <c r="L652" i="8"/>
  <c r="L650" i="8"/>
  <c r="L648" i="8"/>
  <c r="L646" i="8"/>
  <c r="L644" i="8"/>
  <c r="L642" i="8"/>
  <c r="L640" i="8"/>
  <c r="L638" i="8"/>
  <c r="L636" i="8"/>
  <c r="L634" i="8"/>
  <c r="L632" i="8"/>
  <c r="L630" i="8"/>
  <c r="L628" i="8"/>
  <c r="L626" i="8"/>
  <c r="L624" i="8"/>
  <c r="L622" i="8"/>
  <c r="L620" i="8"/>
  <c r="L618" i="8"/>
  <c r="L616" i="8"/>
  <c r="L614" i="8"/>
  <c r="L612" i="8"/>
  <c r="L610" i="8"/>
  <c r="L608" i="8"/>
  <c r="L606" i="8"/>
  <c r="L604" i="8"/>
  <c r="L602" i="8"/>
  <c r="L600" i="8"/>
  <c r="L598" i="8"/>
  <c r="L596" i="8"/>
  <c r="L594" i="8"/>
  <c r="L592" i="8"/>
  <c r="L590" i="8"/>
  <c r="L588" i="8"/>
  <c r="L586" i="8"/>
  <c r="L584" i="8"/>
  <c r="L582" i="8"/>
  <c r="L580" i="8"/>
  <c r="L578" i="8"/>
  <c r="L576" i="8"/>
  <c r="L574" i="8"/>
  <c r="L572" i="8"/>
  <c r="L570" i="8"/>
  <c r="L568" i="8"/>
  <c r="L566" i="8"/>
  <c r="L564" i="8"/>
  <c r="L562" i="8"/>
  <c r="L560" i="8"/>
  <c r="L558" i="8"/>
  <c r="L556" i="8"/>
  <c r="L554" i="8"/>
  <c r="L552" i="8"/>
  <c r="L550" i="8"/>
  <c r="L548" i="8"/>
  <c r="L546" i="8"/>
  <c r="L544" i="8"/>
  <c r="L542" i="8"/>
  <c r="L540" i="8"/>
  <c r="L538" i="8"/>
  <c r="L536" i="8"/>
  <c r="L534" i="8"/>
  <c r="L532" i="8"/>
  <c r="L530" i="8"/>
  <c r="L528" i="8"/>
  <c r="L526" i="8"/>
  <c r="L524" i="8"/>
  <c r="L522" i="8"/>
  <c r="L520" i="8"/>
  <c r="L518" i="8"/>
  <c r="L516" i="8"/>
  <c r="L514" i="8"/>
  <c r="L512" i="8"/>
  <c r="L510" i="8"/>
  <c r="L508" i="8"/>
  <c r="L506" i="8"/>
  <c r="L504" i="8"/>
  <c r="L502" i="8"/>
  <c r="L500" i="8"/>
  <c r="L498" i="8"/>
  <c r="L496" i="8"/>
  <c r="L494" i="8"/>
  <c r="L492" i="8"/>
  <c r="L490" i="8"/>
  <c r="L488" i="8"/>
  <c r="L486" i="8"/>
  <c r="L484" i="8"/>
  <c r="L482" i="8"/>
  <c r="L480" i="8"/>
  <c r="L478" i="8"/>
  <c r="L476" i="8"/>
  <c r="L474" i="8"/>
  <c r="L472" i="8"/>
  <c r="L470" i="8"/>
  <c r="L468" i="8"/>
  <c r="L466" i="8"/>
  <c r="L464" i="8"/>
  <c r="L462" i="8"/>
  <c r="L460" i="8"/>
  <c r="L458" i="8"/>
  <c r="L456" i="8"/>
  <c r="L454" i="8"/>
  <c r="L452" i="8"/>
  <c r="L450" i="8"/>
  <c r="L448" i="8"/>
  <c r="L446" i="8"/>
  <c r="L444" i="8"/>
  <c r="L442" i="8"/>
  <c r="L440" i="8"/>
  <c r="L438" i="8"/>
  <c r="L436" i="8"/>
  <c r="L434" i="8"/>
  <c r="L432" i="8"/>
  <c r="L430" i="8"/>
  <c r="L428" i="8"/>
  <c r="L426" i="8"/>
  <c r="L424" i="8"/>
  <c r="L422" i="8"/>
  <c r="L420" i="8"/>
  <c r="L418" i="8"/>
  <c r="L416" i="8"/>
  <c r="L414" i="8"/>
  <c r="L412" i="8"/>
  <c r="L410" i="8"/>
  <c r="L408" i="8"/>
  <c r="L406" i="8"/>
  <c r="L404" i="8"/>
  <c r="L402" i="8"/>
  <c r="L400" i="8"/>
  <c r="L398" i="8"/>
  <c r="L396" i="8"/>
  <c r="L394" i="8"/>
  <c r="L392" i="8"/>
  <c r="L390" i="8"/>
  <c r="L388" i="8"/>
  <c r="L386" i="8"/>
  <c r="L384" i="8"/>
  <c r="L382" i="8"/>
  <c r="L380" i="8"/>
  <c r="L378" i="8"/>
  <c r="L376" i="8"/>
  <c r="L374" i="8"/>
  <c r="L372" i="8"/>
  <c r="L370" i="8"/>
  <c r="L368" i="8"/>
  <c r="L366" i="8"/>
  <c r="L364" i="8"/>
  <c r="L362" i="8"/>
  <c r="L360" i="8"/>
  <c r="L358" i="8"/>
  <c r="L356" i="8"/>
  <c r="L354" i="8"/>
  <c r="L352" i="8"/>
  <c r="L350" i="8"/>
  <c r="L348" i="8"/>
  <c r="L346" i="8"/>
  <c r="L344" i="8"/>
  <c r="L342" i="8"/>
  <c r="L340" i="8"/>
  <c r="L338" i="8"/>
  <c r="L336" i="8"/>
  <c r="L334" i="8"/>
  <c r="L332" i="8"/>
  <c r="L330" i="8"/>
  <c r="L328" i="8"/>
  <c r="L326" i="8"/>
  <c r="L324" i="8"/>
  <c r="L322" i="8"/>
  <c r="L320" i="8"/>
  <c r="L318" i="8"/>
  <c r="L316" i="8"/>
  <c r="L314" i="8"/>
  <c r="L312" i="8"/>
  <c r="L310" i="8"/>
  <c r="L308" i="8"/>
  <c r="L306" i="8"/>
  <c r="L304" i="8"/>
  <c r="L302" i="8"/>
  <c r="L300" i="8"/>
  <c r="L298" i="8"/>
  <c r="L296" i="8"/>
  <c r="L294" i="8"/>
  <c r="L292" i="8"/>
  <c r="L290" i="8"/>
  <c r="L288" i="8"/>
  <c r="L286" i="8"/>
  <c r="L284" i="8"/>
  <c r="L282" i="8"/>
  <c r="L280" i="8"/>
  <c r="L278" i="8"/>
  <c r="L276" i="8"/>
  <c r="L274" i="8"/>
  <c r="L272" i="8"/>
  <c r="L270" i="8"/>
  <c r="L268" i="8"/>
  <c r="L266" i="8"/>
  <c r="L264" i="8"/>
  <c r="L262" i="8"/>
  <c r="L260" i="8"/>
  <c r="L258" i="8"/>
  <c r="L256" i="8"/>
  <c r="L254" i="8"/>
  <c r="L252" i="8"/>
  <c r="L250" i="8"/>
  <c r="L248" i="8"/>
  <c r="L246" i="8"/>
  <c r="L244" i="8"/>
  <c r="L242" i="8"/>
  <c r="L240" i="8"/>
  <c r="L238" i="8"/>
  <c r="L236" i="8"/>
  <c r="L234" i="8"/>
  <c r="L232" i="8"/>
  <c r="L230" i="8"/>
  <c r="L228" i="8"/>
  <c r="L226" i="8"/>
  <c r="L224" i="8"/>
  <c r="L222" i="8"/>
  <c r="L220" i="8"/>
  <c r="L218" i="8"/>
  <c r="L216" i="8"/>
  <c r="L214" i="8"/>
  <c r="L212" i="8"/>
  <c r="L210" i="8"/>
  <c r="L208" i="8"/>
  <c r="L206" i="8"/>
  <c r="L204" i="8"/>
  <c r="L202" i="8"/>
  <c r="L200" i="8"/>
  <c r="L198" i="8"/>
  <c r="L196" i="8"/>
  <c r="L194" i="8"/>
  <c r="L192" i="8"/>
  <c r="L190" i="8"/>
  <c r="L188" i="8"/>
  <c r="L186" i="8"/>
  <c r="L184" i="8"/>
  <c r="L182" i="8"/>
  <c r="L180" i="8"/>
  <c r="L178" i="8"/>
  <c r="L176" i="8"/>
  <c r="L174" i="8"/>
  <c r="L172" i="8"/>
  <c r="L170" i="8"/>
  <c r="L168" i="8"/>
  <c r="L166" i="8"/>
  <c r="L164" i="8"/>
  <c r="L162" i="8"/>
  <c r="L160" i="8"/>
  <c r="L158" i="8"/>
  <c r="L156" i="8"/>
  <c r="L154" i="8"/>
  <c r="L152" i="8"/>
  <c r="L150" i="8"/>
  <c r="L148" i="8"/>
  <c r="L146" i="8"/>
  <c r="L144" i="8"/>
  <c r="L142" i="8"/>
  <c r="L140" i="8"/>
  <c r="L138" i="8"/>
  <c r="L136" i="8"/>
  <c r="L134" i="8"/>
  <c r="L132" i="8"/>
  <c r="L130" i="8"/>
  <c r="L128" i="8"/>
  <c r="L126" i="8"/>
  <c r="L124" i="8"/>
  <c r="L122" i="8"/>
  <c r="L120" i="8"/>
  <c r="L118" i="8"/>
  <c r="L116" i="8"/>
  <c r="L114" i="8"/>
  <c r="L112" i="8"/>
  <c r="L110" i="8"/>
  <c r="L108" i="8"/>
  <c r="L106" i="8"/>
  <c r="L104" i="8"/>
  <c r="L102" i="8"/>
  <c r="L100" i="8"/>
  <c r="L98" i="8"/>
  <c r="L96" i="8"/>
  <c r="L94" i="8"/>
  <c r="L92" i="8"/>
  <c r="L90" i="8"/>
  <c r="L88" i="8"/>
  <c r="L86" i="8"/>
  <c r="L84" i="8"/>
  <c r="L82" i="8"/>
  <c r="L80" i="8"/>
  <c r="L78" i="8"/>
  <c r="L76" i="8"/>
  <c r="L74" i="8"/>
  <c r="L72" i="8"/>
  <c r="L70" i="8"/>
  <c r="L68" i="8"/>
  <c r="L66" i="8"/>
  <c r="L64" i="8"/>
  <c r="L62" i="8"/>
  <c r="L60" i="8"/>
  <c r="L58" i="8"/>
  <c r="L56" i="8"/>
  <c r="L54" i="8"/>
  <c r="L52" i="8"/>
  <c r="L50" i="8"/>
  <c r="L48" i="8"/>
  <c r="L46" i="8"/>
  <c r="L44" i="8"/>
  <c r="L42" i="8"/>
  <c r="L40" i="8"/>
  <c r="L38" i="8"/>
  <c r="L36" i="8"/>
  <c r="L34" i="8"/>
  <c r="L32" i="8"/>
  <c r="L30" i="8"/>
  <c r="L28" i="8"/>
  <c r="L26" i="8"/>
  <c r="L24" i="8"/>
  <c r="L22" i="8"/>
  <c r="L20" i="8"/>
  <c r="L18" i="8"/>
  <c r="L16" i="8"/>
  <c r="L14" i="8"/>
  <c r="L12" i="8"/>
  <c r="L10" i="8"/>
  <c r="L8" i="8"/>
  <c r="L6" i="8"/>
  <c r="L4" i="8"/>
  <c r="L1360" i="8"/>
  <c r="L1357" i="8"/>
  <c r="L1355" i="8"/>
  <c r="L1353" i="8"/>
  <c r="L1351" i="8"/>
  <c r="L1349" i="8"/>
  <c r="L1347" i="8"/>
  <c r="L1345" i="8"/>
  <c r="L1343" i="8"/>
  <c r="L1341" i="8"/>
  <c r="L1339" i="8"/>
  <c r="L1337" i="8"/>
  <c r="L1335" i="8"/>
  <c r="L1333" i="8"/>
  <c r="L1331" i="8"/>
  <c r="L1329" i="8"/>
  <c r="L1327" i="8"/>
  <c r="L1325" i="8"/>
  <c r="L1323" i="8"/>
  <c r="L1321" i="8"/>
  <c r="L1319" i="8"/>
  <c r="L1317" i="8"/>
  <c r="L1315" i="8"/>
  <c r="L1313" i="8"/>
  <c r="L1311" i="8"/>
  <c r="L1309" i="8"/>
  <c r="L1307" i="8"/>
  <c r="L1305" i="8"/>
  <c r="L1303" i="8"/>
  <c r="L1301" i="8"/>
  <c r="L1299" i="8"/>
  <c r="L1297" i="8"/>
  <c r="L1295" i="8"/>
  <c r="L1293" i="8"/>
  <c r="L1291" i="8"/>
  <c r="L1289" i="8"/>
  <c r="L1287" i="8"/>
  <c r="L1285" i="8"/>
  <c r="L1283" i="8"/>
  <c r="L1281" i="8"/>
  <c r="L1279" i="8"/>
  <c r="L1277" i="8"/>
  <c r="L1275" i="8"/>
  <c r="L1273" i="8"/>
  <c r="L1271" i="8"/>
  <c r="L1269" i="8"/>
  <c r="L1267" i="8"/>
  <c r="L1265" i="8"/>
  <c r="L1263" i="8"/>
  <c r="L1261" i="8"/>
  <c r="L1259" i="8"/>
  <c r="L1257" i="8"/>
  <c r="L1255" i="8"/>
  <c r="L1253" i="8"/>
  <c r="L1251" i="8"/>
  <c r="L1249" i="8"/>
  <c r="L1247" i="8"/>
  <c r="L1245" i="8"/>
  <c r="L1243" i="8"/>
  <c r="L1241" i="8"/>
  <c r="L1239" i="8"/>
  <c r="L1237" i="8"/>
  <c r="L1235" i="8"/>
  <c r="L1233" i="8"/>
  <c r="L1231" i="8"/>
  <c r="L1229" i="8"/>
  <c r="L1227" i="8"/>
  <c r="L1225" i="8"/>
  <c r="L1223" i="8"/>
  <c r="L1221" i="8"/>
  <c r="L1219" i="8"/>
  <c r="L1217" i="8"/>
  <c r="L1215" i="8"/>
  <c r="L1213" i="8"/>
  <c r="L1211" i="8"/>
  <c r="L1209" i="8"/>
  <c r="L1207" i="8"/>
  <c r="L1205" i="8"/>
  <c r="L1203" i="8"/>
  <c r="L1201" i="8"/>
  <c r="L1199" i="8"/>
  <c r="L1197" i="8"/>
  <c r="L1195" i="8"/>
  <c r="L1193" i="8"/>
  <c r="L1191" i="8"/>
  <c r="L1189" i="8"/>
  <c r="L1187" i="8"/>
  <c r="L1185" i="8"/>
  <c r="L1183" i="8"/>
  <c r="L1181" i="8"/>
  <c r="L1179" i="8"/>
  <c r="L1177" i="8"/>
  <c r="L1175" i="8"/>
  <c r="L1173" i="8"/>
  <c r="L1171" i="8"/>
  <c r="L1169" i="8"/>
  <c r="L1167" i="8"/>
  <c r="L1165" i="8"/>
  <c r="L1163" i="8"/>
  <c r="L1161" i="8"/>
  <c r="L1159" i="8"/>
  <c r="L1157" i="8"/>
  <c r="L1155" i="8"/>
  <c r="L1153" i="8"/>
  <c r="L1151" i="8"/>
  <c r="L1149" i="8"/>
  <c r="L1147" i="8"/>
  <c r="L1145" i="8"/>
  <c r="L1143" i="8"/>
  <c r="L1141" i="8"/>
  <c r="L1139" i="8"/>
  <c r="L1137" i="8"/>
  <c r="L1135" i="8"/>
  <c r="L1133" i="8"/>
  <c r="L1131" i="8"/>
  <c r="L1129" i="8"/>
  <c r="L1127" i="8"/>
  <c r="L1125" i="8"/>
  <c r="L1123" i="8"/>
  <c r="L1121" i="8"/>
  <c r="L1119" i="8"/>
  <c r="L1117" i="8"/>
  <c r="L1115" i="8"/>
  <c r="L1113" i="8"/>
  <c r="L1111" i="8"/>
  <c r="L1109" i="8"/>
  <c r="L1107" i="8"/>
  <c r="L1105" i="8"/>
  <c r="L1103" i="8"/>
  <c r="L1101" i="8"/>
  <c r="L1099" i="8"/>
  <c r="L1097" i="8"/>
  <c r="L1095" i="8"/>
  <c r="L1093" i="8"/>
  <c r="L1091" i="8"/>
  <c r="L1089" i="8"/>
  <c r="L1087" i="8"/>
  <c r="L1085" i="8"/>
  <c r="L1083" i="8"/>
  <c r="L1081" i="8"/>
  <c r="L1079" i="8"/>
  <c r="L1077" i="8"/>
  <c r="L1075" i="8"/>
  <c r="L1073" i="8"/>
  <c r="L1071" i="8"/>
  <c r="L1069" i="8"/>
  <c r="L1067" i="8"/>
  <c r="L1065" i="8"/>
  <c r="L1063" i="8"/>
  <c r="L1061" i="8"/>
  <c r="L1059" i="8"/>
  <c r="L1057" i="8"/>
  <c r="L1055" i="8"/>
  <c r="L1053" i="8"/>
  <c r="L1051" i="8"/>
  <c r="L1049" i="8"/>
  <c r="L1047" i="8"/>
  <c r="L1045" i="8"/>
  <c r="L1043" i="8"/>
  <c r="L1041" i="8"/>
  <c r="L1039" i="8"/>
  <c r="L1037" i="8"/>
  <c r="L1035" i="8"/>
  <c r="L1033" i="8"/>
  <c r="L1031" i="8"/>
  <c r="L1029" i="8"/>
  <c r="L1027" i="8"/>
  <c r="L1025" i="8"/>
  <c r="L1023" i="8"/>
  <c r="L1021" i="8"/>
  <c r="L1019" i="8"/>
  <c r="L1017" i="8"/>
  <c r="L1015" i="8"/>
  <c r="L1013" i="8"/>
  <c r="L1011" i="8"/>
  <c r="L1009" i="8"/>
  <c r="L1007" i="8"/>
  <c r="L1005" i="8"/>
  <c r="L1003" i="8"/>
  <c r="L1001" i="8"/>
  <c r="L999" i="8"/>
  <c r="L997" i="8"/>
  <c r="L995" i="8"/>
  <c r="L993" i="8"/>
  <c r="L991" i="8"/>
  <c r="L989" i="8"/>
  <c r="L987" i="8"/>
  <c r="L985" i="8"/>
  <c r="L983" i="8"/>
  <c r="L981" i="8"/>
  <c r="L979" i="8"/>
  <c r="L977" i="8"/>
  <c r="L975" i="8"/>
  <c r="L973" i="8"/>
  <c r="L971" i="8"/>
  <c r="L969" i="8"/>
  <c r="L967" i="8"/>
  <c r="L965" i="8"/>
  <c r="L963" i="8"/>
  <c r="L961" i="8"/>
  <c r="L959" i="8"/>
  <c r="L957" i="8"/>
  <c r="L955" i="8"/>
  <c r="L953" i="8"/>
  <c r="L951" i="8"/>
  <c r="L949" i="8"/>
  <c r="L947" i="8"/>
  <c r="L945" i="8"/>
  <c r="L943" i="8"/>
  <c r="L941" i="8"/>
  <c r="L939" i="8"/>
  <c r="L937" i="8"/>
  <c r="L935" i="8"/>
  <c r="L933" i="8"/>
  <c r="L931" i="8"/>
  <c r="L929" i="8"/>
  <c r="L927" i="8"/>
  <c r="L925" i="8"/>
  <c r="L923" i="8"/>
  <c r="L921" i="8"/>
  <c r="L919" i="8"/>
  <c r="L917" i="8"/>
  <c r="L915" i="8"/>
  <c r="L913" i="8"/>
  <c r="L911" i="8"/>
  <c r="L909" i="8"/>
  <c r="L907" i="8"/>
  <c r="L905" i="8"/>
  <c r="L903" i="8"/>
  <c r="L901" i="8"/>
  <c r="L899" i="8"/>
  <c r="L897" i="8"/>
  <c r="L895" i="8"/>
  <c r="L893" i="8"/>
  <c r="L891" i="8"/>
  <c r="L889" i="8"/>
  <c r="L887" i="8"/>
  <c r="L885" i="8"/>
  <c r="L883" i="8"/>
  <c r="L881" i="8"/>
  <c r="L879" i="8"/>
  <c r="L877" i="8"/>
  <c r="L875" i="8"/>
  <c r="L873" i="8"/>
  <c r="L871" i="8"/>
  <c r="L869" i="8"/>
  <c r="L867" i="8"/>
  <c r="L865" i="8"/>
  <c r="L863" i="8"/>
  <c r="L861" i="8"/>
  <c r="L859" i="8"/>
  <c r="L857" i="8"/>
  <c r="L855" i="8"/>
  <c r="L853" i="8"/>
  <c r="L851" i="8"/>
  <c r="L849" i="8"/>
  <c r="L847" i="8"/>
  <c r="L845" i="8"/>
  <c r="L843" i="8"/>
  <c r="L841" i="8"/>
  <c r="L839" i="8"/>
  <c r="L837" i="8"/>
  <c r="L835" i="8"/>
  <c r="L833" i="8"/>
  <c r="L831" i="8"/>
  <c r="L829" i="8"/>
  <c r="L827" i="8"/>
  <c r="L825" i="8"/>
  <c r="L823" i="8"/>
  <c r="L821" i="8"/>
  <c r="L819" i="8"/>
  <c r="L817" i="8"/>
  <c r="L815" i="8"/>
  <c r="L813" i="8"/>
  <c r="L811" i="8"/>
  <c r="L809" i="8"/>
  <c r="L807" i="8"/>
  <c r="L805" i="8"/>
  <c r="L803" i="8"/>
  <c r="L801" i="8"/>
  <c r="L799" i="8"/>
  <c r="L797" i="8"/>
  <c r="L795" i="8"/>
  <c r="L793" i="8"/>
  <c r="L791" i="8"/>
  <c r="L789" i="8"/>
  <c r="L787" i="8"/>
  <c r="L785" i="8"/>
  <c r="L783" i="8"/>
  <c r="L781" i="8"/>
  <c r="L779" i="8"/>
  <c r="L777" i="8"/>
  <c r="L775" i="8"/>
  <c r="L773" i="8"/>
  <c r="L771" i="8"/>
  <c r="L769" i="8"/>
  <c r="L767" i="8"/>
  <c r="L765" i="8"/>
  <c r="L763" i="8"/>
  <c r="L761" i="8"/>
  <c r="L759" i="8"/>
  <c r="L757" i="8"/>
  <c r="L755" i="8"/>
  <c r="L753" i="8"/>
  <c r="L751" i="8"/>
  <c r="L749" i="8"/>
  <c r="L747" i="8"/>
  <c r="L745" i="8"/>
  <c r="L743" i="8"/>
  <c r="L741" i="8"/>
  <c r="L739" i="8"/>
  <c r="L737" i="8"/>
  <c r="L735" i="8"/>
  <c r="L733" i="8"/>
  <c r="L731" i="8"/>
  <c r="L729" i="8"/>
  <c r="L727" i="8"/>
  <c r="L725" i="8"/>
  <c r="L723" i="8"/>
  <c r="L721" i="8"/>
  <c r="L719" i="8"/>
  <c r="L717" i="8"/>
  <c r="L715" i="8"/>
  <c r="L713" i="8"/>
  <c r="L711" i="8"/>
  <c r="L709" i="8"/>
  <c r="L707" i="8"/>
  <c r="L705" i="8"/>
  <c r="L703" i="8"/>
  <c r="L701" i="8"/>
  <c r="L699" i="8"/>
  <c r="L697" i="8"/>
  <c r="L695" i="8"/>
  <c r="L693" i="8"/>
  <c r="L691" i="8"/>
  <c r="L689" i="8"/>
  <c r="L687" i="8"/>
  <c r="L685" i="8"/>
  <c r="L683" i="8"/>
  <c r="L681" i="8"/>
  <c r="L679" i="8"/>
  <c r="L677" i="8"/>
  <c r="L675" i="8"/>
  <c r="L673" i="8"/>
  <c r="L671" i="8"/>
  <c r="L669" i="8"/>
  <c r="L667" i="8"/>
  <c r="L665" i="8"/>
  <c r="L663" i="8"/>
  <c r="L661" i="8"/>
  <c r="L659" i="8"/>
  <c r="L657" i="8"/>
  <c r="L655" i="8"/>
  <c r="L653" i="8"/>
  <c r="L651" i="8"/>
  <c r="L649" i="8"/>
  <c r="L647" i="8"/>
  <c r="L645" i="8"/>
  <c r="L643" i="8"/>
  <c r="L641" i="8"/>
  <c r="L639" i="8"/>
  <c r="L637" i="8"/>
  <c r="L635" i="8"/>
  <c r="L633" i="8"/>
  <c r="L631" i="8"/>
  <c r="L629" i="8"/>
  <c r="L627" i="8"/>
  <c r="L625" i="8"/>
  <c r="L623" i="8"/>
  <c r="L621" i="8"/>
  <c r="L619" i="8"/>
  <c r="L617" i="8"/>
  <c r="L615" i="8"/>
  <c r="L613" i="8"/>
  <c r="L611" i="8"/>
  <c r="L609" i="8"/>
  <c r="L607" i="8"/>
  <c r="L605" i="8"/>
  <c r="L603" i="8"/>
  <c r="L601" i="8"/>
  <c r="L599" i="8"/>
  <c r="L597" i="8"/>
  <c r="L595" i="8"/>
  <c r="L593" i="8"/>
  <c r="L591" i="8"/>
  <c r="L589" i="8"/>
  <c r="L587" i="8"/>
  <c r="L585" i="8"/>
  <c r="L583" i="8"/>
  <c r="L581" i="8"/>
  <c r="L579" i="8"/>
  <c r="L577" i="8"/>
  <c r="L575" i="8"/>
  <c r="L573" i="8"/>
  <c r="L571" i="8"/>
  <c r="L569" i="8"/>
  <c r="L567" i="8"/>
  <c r="L565" i="8"/>
  <c r="L563" i="8"/>
  <c r="L561" i="8"/>
  <c r="L559" i="8"/>
  <c r="L557" i="8"/>
  <c r="L555" i="8"/>
  <c r="L553" i="8"/>
  <c r="L551" i="8"/>
  <c r="L549" i="8"/>
  <c r="L547" i="8"/>
  <c r="L545" i="8"/>
  <c r="L543" i="8"/>
  <c r="L541" i="8"/>
  <c r="L539" i="8"/>
  <c r="L537" i="8"/>
  <c r="L535" i="8"/>
  <c r="L533" i="8"/>
  <c r="L531" i="8"/>
  <c r="L529" i="8"/>
  <c r="L527" i="8"/>
  <c r="L525" i="8"/>
  <c r="L523" i="8"/>
  <c r="L521" i="8"/>
  <c r="L519" i="8"/>
  <c r="L517" i="8"/>
  <c r="L515" i="8"/>
  <c r="L513" i="8"/>
  <c r="L511" i="8"/>
  <c r="L509" i="8"/>
  <c r="L507" i="8"/>
  <c r="L505" i="8"/>
  <c r="L503" i="8"/>
  <c r="L501" i="8"/>
  <c r="L499" i="8"/>
  <c r="L497" i="8"/>
  <c r="L495" i="8"/>
  <c r="L493" i="8"/>
  <c r="L491" i="8"/>
  <c r="L489" i="8"/>
  <c r="L487" i="8"/>
  <c r="L485" i="8"/>
  <c r="L483" i="8"/>
  <c r="L481" i="8"/>
  <c r="L479" i="8"/>
  <c r="L477" i="8"/>
  <c r="L475" i="8"/>
  <c r="L473" i="8"/>
  <c r="L471" i="8"/>
  <c r="L469" i="8"/>
  <c r="L467" i="8"/>
  <c r="L465" i="8"/>
  <c r="L463" i="8"/>
  <c r="L461" i="8"/>
  <c r="L459" i="8"/>
  <c r="L457" i="8"/>
  <c r="L455" i="8"/>
  <c r="L453" i="8"/>
  <c r="L451" i="8"/>
  <c r="L449" i="8"/>
  <c r="L447" i="8"/>
  <c r="L445" i="8"/>
  <c r="L443" i="8"/>
  <c r="L441" i="8"/>
  <c r="L439" i="8"/>
  <c r="L437" i="8"/>
  <c r="L435" i="8"/>
  <c r="L433" i="8"/>
  <c r="L431" i="8"/>
  <c r="L429" i="8"/>
  <c r="L427" i="8"/>
  <c r="L425" i="8"/>
  <c r="L423" i="8"/>
  <c r="L421" i="8"/>
  <c r="L419" i="8"/>
  <c r="L417" i="8"/>
  <c r="L415" i="8"/>
  <c r="L413" i="8"/>
  <c r="L411" i="8"/>
  <c r="L409" i="8"/>
  <c r="L407" i="8"/>
  <c r="L405" i="8"/>
  <c r="L403" i="8"/>
  <c r="L401" i="8"/>
  <c r="L399" i="8"/>
  <c r="L397" i="8"/>
  <c r="L395" i="8"/>
  <c r="L393" i="8"/>
  <c r="L391" i="8"/>
  <c r="L389" i="8"/>
  <c r="L387" i="8"/>
  <c r="L385" i="8"/>
  <c r="L383" i="8"/>
  <c r="L381" i="8"/>
  <c r="L379" i="8"/>
  <c r="L377" i="8"/>
  <c r="L375" i="8"/>
  <c r="L373" i="8"/>
  <c r="L371" i="8"/>
  <c r="L369" i="8"/>
  <c r="L367" i="8"/>
  <c r="L365" i="8"/>
  <c r="L363" i="8"/>
  <c r="L361" i="8"/>
  <c r="L359" i="8"/>
  <c r="L357" i="8"/>
  <c r="L355" i="8"/>
  <c r="L353" i="8"/>
  <c r="L351" i="8"/>
  <c r="L349" i="8"/>
  <c r="L347" i="8"/>
  <c r="L345" i="8"/>
  <c r="L343" i="8"/>
  <c r="L341" i="8"/>
  <c r="L339" i="8"/>
  <c r="L337" i="8"/>
  <c r="L335" i="8"/>
  <c r="L333" i="8"/>
  <c r="L331" i="8"/>
  <c r="L329" i="8"/>
  <c r="L327" i="8"/>
  <c r="L325" i="8"/>
  <c r="L323" i="8"/>
  <c r="L321" i="8"/>
  <c r="L319" i="8"/>
  <c r="L317" i="8"/>
  <c r="L315" i="8"/>
  <c r="L313" i="8"/>
  <c r="L311" i="8"/>
  <c r="L309" i="8"/>
  <c r="L307" i="8"/>
  <c r="L305" i="8"/>
  <c r="L303" i="8"/>
  <c r="L301" i="8"/>
  <c r="L299" i="8"/>
  <c r="L297" i="8"/>
  <c r="L295" i="8"/>
  <c r="L293" i="8"/>
  <c r="L291" i="8"/>
  <c r="L289" i="8"/>
  <c r="L287" i="8"/>
  <c r="L285" i="8"/>
  <c r="L283" i="8"/>
  <c r="L281" i="8"/>
  <c r="L279" i="8"/>
  <c r="L277" i="8"/>
  <c r="L275" i="8"/>
  <c r="L273" i="8"/>
  <c r="L271" i="8"/>
  <c r="L269" i="8"/>
  <c r="L267" i="8"/>
  <c r="L265" i="8"/>
  <c r="L263" i="8"/>
  <c r="L261" i="8"/>
  <c r="L259" i="8"/>
  <c r="L257" i="8"/>
  <c r="L255" i="8"/>
  <c r="L253" i="8"/>
  <c r="L251" i="8"/>
  <c r="L249" i="8"/>
  <c r="L247" i="8"/>
  <c r="L245" i="8"/>
  <c r="L243" i="8"/>
  <c r="L241" i="8"/>
  <c r="L239" i="8"/>
  <c r="L237" i="8"/>
  <c r="L235" i="8"/>
  <c r="L233" i="8"/>
  <c r="L231" i="8"/>
  <c r="L229" i="8"/>
  <c r="L227" i="8"/>
  <c r="L225" i="8"/>
  <c r="L223" i="8"/>
  <c r="L221" i="8"/>
  <c r="L219" i="8"/>
  <c r="L217" i="8"/>
  <c r="L215" i="8"/>
  <c r="L213" i="8"/>
  <c r="L211" i="8"/>
  <c r="L209" i="8"/>
  <c r="L207" i="8"/>
  <c r="L205" i="8"/>
  <c r="L203" i="8"/>
  <c r="L201" i="8"/>
  <c r="L199" i="8"/>
  <c r="L197" i="8"/>
  <c r="L195" i="8"/>
  <c r="L193" i="8"/>
  <c r="L191" i="8"/>
  <c r="L189" i="8"/>
  <c r="L187" i="8"/>
  <c r="L185" i="8"/>
  <c r="L183" i="8"/>
  <c r="L181" i="8"/>
  <c r="L179" i="8"/>
  <c r="L177" i="8"/>
  <c r="L175" i="8"/>
  <c r="L173" i="8"/>
  <c r="L171" i="8"/>
  <c r="L169" i="8"/>
  <c r="L167" i="8"/>
  <c r="L165" i="8"/>
  <c r="L163" i="8"/>
  <c r="L161" i="8"/>
  <c r="L159" i="8"/>
  <c r="L157" i="8"/>
  <c r="L155" i="8"/>
  <c r="L153" i="8"/>
  <c r="L151" i="8"/>
  <c r="L149" i="8"/>
  <c r="L147" i="8"/>
  <c r="L145" i="8"/>
  <c r="L143" i="8"/>
  <c r="L141" i="8"/>
  <c r="L139" i="8"/>
  <c r="L137" i="8"/>
  <c r="L135" i="8"/>
  <c r="L133" i="8"/>
  <c r="L131" i="8"/>
  <c r="L129" i="8"/>
  <c r="L127" i="8"/>
  <c r="L125" i="8"/>
  <c r="L123" i="8"/>
  <c r="L121" i="8"/>
  <c r="L119" i="8"/>
  <c r="L117" i="8"/>
  <c r="L115" i="8"/>
  <c r="L113" i="8"/>
  <c r="L111" i="8"/>
  <c r="L109" i="8"/>
  <c r="L107" i="8"/>
  <c r="L105" i="8"/>
  <c r="L103" i="8"/>
  <c r="L101" i="8"/>
  <c r="L99" i="8"/>
  <c r="L97" i="8"/>
  <c r="L95" i="8"/>
  <c r="L93" i="8"/>
  <c r="L91" i="8"/>
  <c r="L89" i="8"/>
  <c r="L87" i="8"/>
  <c r="L85" i="8"/>
  <c r="L83" i="8"/>
  <c r="L81" i="8"/>
  <c r="L79" i="8"/>
  <c r="L77" i="8"/>
  <c r="L75" i="8"/>
  <c r="L73" i="8"/>
  <c r="L71" i="8"/>
  <c r="L69" i="8"/>
  <c r="L67" i="8"/>
  <c r="L65" i="8"/>
  <c r="L63" i="8"/>
  <c r="L61" i="8"/>
  <c r="L59" i="8"/>
  <c r="L57" i="8"/>
  <c r="L55" i="8"/>
  <c r="L53" i="8"/>
  <c r="L51" i="8"/>
  <c r="L49" i="8"/>
  <c r="L47" i="8"/>
  <c r="L45" i="8"/>
  <c r="L43" i="8"/>
  <c r="L41" i="8"/>
  <c r="L39" i="8"/>
  <c r="L37" i="8"/>
  <c r="L35" i="8"/>
  <c r="L33" i="8"/>
  <c r="L31" i="8"/>
  <c r="L29" i="8"/>
  <c r="L27" i="8"/>
  <c r="L25" i="8"/>
  <c r="L23" i="8"/>
  <c r="L21" i="8"/>
  <c r="L19" i="8"/>
  <c r="L17" i="8"/>
  <c r="L15" i="8"/>
  <c r="L13" i="8"/>
  <c r="L11" i="8"/>
  <c r="L9" i="8"/>
  <c r="L7" i="8"/>
  <c r="L5" i="8"/>
  <c r="L3" i="8"/>
  <c r="L2" i="8"/>
</calcChain>
</file>

<file path=xl/sharedStrings.xml><?xml version="1.0" encoding="utf-8"?>
<sst xmlns="http://schemas.openxmlformats.org/spreadsheetml/2006/main" count="5629" uniqueCount="80">
  <si>
    <t>Tanggal</t>
  </si>
  <si>
    <t>Cabang</t>
  </si>
  <si>
    <t>ProdukID</t>
  </si>
  <si>
    <t>Qty</t>
  </si>
  <si>
    <t>Harga</t>
  </si>
  <si>
    <t>Total</t>
  </si>
  <si>
    <t>17-09-2025</t>
  </si>
  <si>
    <t>Semarang</t>
  </si>
  <si>
    <t>P01</t>
  </si>
  <si>
    <t>Medan</t>
  </si>
  <si>
    <t>20-09-2025</t>
  </si>
  <si>
    <t>Bandung</t>
  </si>
  <si>
    <t>P05</t>
  </si>
  <si>
    <t>P03</t>
  </si>
  <si>
    <t>Makassar</t>
  </si>
  <si>
    <t>P02</t>
  </si>
  <si>
    <t>P04</t>
  </si>
  <si>
    <t>14-09-2025</t>
  </si>
  <si>
    <t>29-09-2025</t>
  </si>
  <si>
    <t>27-09-2025</t>
  </si>
  <si>
    <t>26-09-2025</t>
  </si>
  <si>
    <t>19-09-2025</t>
  </si>
  <si>
    <t>16-09-2025</t>
  </si>
  <si>
    <t>24-09-2025</t>
  </si>
  <si>
    <t>13-09-2025</t>
  </si>
  <si>
    <t>18-09-2025</t>
  </si>
  <si>
    <t>21-09-2025</t>
  </si>
  <si>
    <t>15-09-2025</t>
  </si>
  <si>
    <t>30-09-2025</t>
  </si>
  <si>
    <t>22-09-2025</t>
  </si>
  <si>
    <t>25-09-2025</t>
  </si>
  <si>
    <t>23-09-2025</t>
  </si>
  <si>
    <t>28-09-2025</t>
  </si>
  <si>
    <t>c</t>
  </si>
  <si>
    <t>Surabaya</t>
  </si>
  <si>
    <t>Jakarta</t>
  </si>
  <si>
    <t>Produk</t>
  </si>
  <si>
    <t>Kategori</t>
  </si>
  <si>
    <t>Cappuccino</t>
  </si>
  <si>
    <t>Coffee</t>
  </si>
  <si>
    <t>Latte</t>
  </si>
  <si>
    <t>Espresso</t>
  </si>
  <si>
    <t>Americano</t>
  </si>
  <si>
    <t>Mocha</t>
  </si>
  <si>
    <t>Chocolate</t>
  </si>
  <si>
    <t>Product</t>
  </si>
  <si>
    <t>Day</t>
  </si>
  <si>
    <t>Month</t>
  </si>
  <si>
    <t>Year</t>
  </si>
  <si>
    <t>New Date</t>
  </si>
  <si>
    <t>11-09-2025</t>
  </si>
  <si>
    <t>02-09-2025</t>
  </si>
  <si>
    <t>01-09-2025</t>
  </si>
  <si>
    <t>07-09-2025</t>
  </si>
  <si>
    <t>08-09-2025</t>
  </si>
  <si>
    <t>10-09-2025</t>
  </si>
  <si>
    <t>03-09-2025</t>
  </si>
  <si>
    <t>06-09-2025</t>
  </si>
  <si>
    <t>05-09-2025</t>
  </si>
  <si>
    <t>12-09-2025</t>
  </si>
  <si>
    <t>04-09-2025</t>
  </si>
  <si>
    <t>09-09-2025</t>
  </si>
  <si>
    <t>SUM of Total</t>
  </si>
  <si>
    <t>SUM of Qty</t>
  </si>
  <si>
    <t>Performance Coffee Shop by Branch</t>
  </si>
  <si>
    <t>Revenue</t>
  </si>
  <si>
    <t>Qty Sold</t>
  </si>
  <si>
    <t>Average Selling Price</t>
  </si>
  <si>
    <t>Insight</t>
  </si>
  <si>
    <t>Mocha menjadi star product dengan kontribusi 26,2% dari total pendapatan bisnis, yaitu IDR 13.243.000 dari 490 unit terjual. Sebaliknya, Latte menjadi produk dengan kontribusi terendah, dengan pendapatan IDR 7.905.000 dari 282 unit.</t>
  </si>
  <si>
    <t>Penjualan meningkat cukup signifikan menjelang akhir bulan, terutama pada periode payday tanggal 25–28 September. Puncak penjualan terjadi pada 27 September, dengan pendapatan IDR 2.711.000 dari 94 unit. Sementara itu, penjualan pada awal hingga pertengahan bulan cenderung stabil di sekitar IDR 1.000.000 per hari.</t>
  </si>
  <si>
    <t>Ditemukan beberapa masalah pada data transaksi, seperti missing value pada kolom harga satuan di Medan pada 6 September. Selain itu, terdapat variasi harga antara IDR 20.000 hingga IDR 35.000 yang belum tercatat secara jelas dalam sistem kasir.</t>
  </si>
  <si>
    <t>Recommendation</t>
  </si>
  <si>
    <t>Terapkan promosi yang lebih terarah, seperti upselling dan bundling, khusus di cabang Jakarta. Tujuannya adalah meningkatkan AOV dari IDR 65.125 agar lebih mendekati pencapaian Bandung sebesar IDR 73.725.</t>
  </si>
  <si>
    <t>Manfaatkan popularitas Mocha sebagai produk utama untuk mendorong penjualan produk dengan volume lebih rendah, seperti Latte, melalui paket cross-selling. Selain itu, pengembangan varian rasa baru pada kategori cokelat dapat dilakukan untuk menarik lebih banyak pelanggan.</t>
  </si>
  <si>
    <t>Tingkatkan jumlah staf operasional dan persediaan bahan baku menjelang tanggal 25–28 setiap bulan untuk menghadapi peningkatan permintaan. Langkah ini penting agar pelayanan tetap optimal dan risiko stockout dapat dikurangi.</t>
  </si>
  <si>
    <t>Tingkatkan standar pencatatan pada sistem POS dengan membatasi input harga secara manual, mewajibkan pencatatan ukuran cup, serta menambahkan tag promo atau diskon secara otomatis. Dengan begitu, data transaksi akan lebih akurat, konsisten, dan mudah dianalisis.</t>
  </si>
  <si>
    <t>(blank)</t>
  </si>
  <si>
    <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</si>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</sst>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quot;-&quot;m&quot;-&quot;yy"/>
    <numFmt numFmtId="165" formatCode="dd&quot;-&quot;mmm&quot;-&quot;yyyy"/>
    <numFmt numFmtId="166" formatCode="mm\-dd\-yyyy"/>
    <numFmt numFmtId="167" formatCode="dd\-mmm\-yyyy"/>
    <numFmt numFmtId="170" formatCode="[$Rp-421]#,##0;[Red][$Rp-421]#,##0"/>
    <numFmt numFmtId="171" formatCode="[$Rp-421]#,##0&quot;/unit&quot;;[Red][$Rp-421]#,##0"/>
  </numFmts>
  <fonts count="14">
    <font>
      <sz val="10"/>
      <color rgb="FF000000"/>
      <name val="Arial"/>
      <scheme val="minor"/>
    </font>
    <font>
      <b/>
      <sz val="11"/>
      <color theme="1"/>
      <name val="Calibri"/>
    </font>
    <font>
      <sz val="11"/>
      <color rgb="FF000000"/>
      <name val="Calibri"/>
    </font>
    <font>
      <sz val="10"/>
      <color theme="1"/>
      <name val="Arial"/>
      <scheme val="minor"/>
    </font>
    <font>
      <b/>
      <sz val="11"/>
      <color rgb="FF000000"/>
      <name val="&quot;Aptos Narrow&quot;"/>
    </font>
    <font>
      <sz val="11"/>
      <color rgb="FF000000"/>
      <name val="&quot;Aptos Narrow&quot;"/>
    </font>
    <font>
      <b/>
      <sz val="10"/>
      <color theme="1"/>
      <name val="Arial"/>
      <scheme val="minor"/>
    </font>
    <font>
      <b/>
      <sz val="10"/>
      <color rgb="FFFFFFFF"/>
      <name val="Arial"/>
      <scheme val="minor"/>
    </font>
    <font>
      <b/>
      <sz val="10"/>
      <color theme="1"/>
      <name val="Poppins"/>
    </font>
    <font>
      <sz val="10"/>
      <color theme="1"/>
      <name val="Poppins"/>
    </font>
    <font>
      <b/>
      <sz val="20"/>
      <color theme="1"/>
      <name val="Poppins"/>
    </font>
    <font>
      <sz val="10"/>
      <name val="Arial"/>
    </font>
    <font>
      <sz val="17"/>
      <color theme="1"/>
      <name val="Poppins"/>
    </font>
    <font>
      <b/>
      <sz val="17"/>
      <color theme="1"/>
      <name val="Poppins"/>
    </font>
  </fonts>
  <fills count="2">
    <fill>
      <patternFill patternType="none"/>
    </fill>
    <fill>
      <patternFill patternType="gray125"/>
    </fill>
  </fills>
  <borders count="38">
    <border>
      <left/>
      <right/>
      <top/>
      <bottom/>
      <diagonal/>
    </border>
    <border>
      <left style="thin">
        <color rgb="FF000000"/>
      </left>
      <right style="thin">
        <color rgb="FF000000"/>
      </right>
      <top style="thin">
        <color rgb="FF000000"/>
      </top>
      <bottom style="thin">
        <color rgb="FF000000"/>
      </bottom>
      <diagonal/>
    </border>
    <border>
      <left/>
      <right style="thin">
        <color rgb="FFFFFFFF"/>
      </right>
      <top/>
      <bottom style="thin">
        <color rgb="FFA3B2CC"/>
      </bottom>
      <diagonal/>
    </border>
    <border>
      <left style="thin">
        <color rgb="FFFFFFFF"/>
      </left>
      <right style="thin">
        <color rgb="FFFFFFFF"/>
      </right>
      <top/>
      <bottom style="thin">
        <color rgb="FFA3B2CC"/>
      </bottom>
      <diagonal/>
    </border>
    <border>
      <left style="thin">
        <color rgb="FFFFFFFF"/>
      </left>
      <right/>
      <top/>
      <bottom style="thin">
        <color rgb="FFA3B2CC"/>
      </bottom>
      <diagonal/>
    </border>
    <border>
      <left/>
      <right style="thin">
        <color rgb="FFFFFFFF"/>
      </right>
      <top style="thin">
        <color rgb="FFA3B2CC"/>
      </top>
      <bottom style="thin">
        <color rgb="FFA3B2CC"/>
      </bottom>
      <diagonal/>
    </border>
    <border>
      <left style="thin">
        <color rgb="FFFFFFFF"/>
      </left>
      <right style="thin">
        <color rgb="FFFFFFFF"/>
      </right>
      <top style="thin">
        <color rgb="FFA3B2CC"/>
      </top>
      <bottom style="thin">
        <color rgb="FFA3B2CC"/>
      </bottom>
      <diagonal/>
    </border>
    <border>
      <left style="thin">
        <color rgb="FFFFFFFF"/>
      </left>
      <right/>
      <top style="thin">
        <color rgb="FFA3B2CC"/>
      </top>
      <bottom style="thin">
        <color rgb="FFA3B2CC"/>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bottom style="thin">
        <color rgb="FFABABAB"/>
      </bottom>
      <diagonal/>
    </border>
    <border>
      <left style="thin">
        <color rgb="FFABABAB"/>
      </left>
      <right style="thin">
        <color rgb="FFABABAB"/>
      </right>
      <top/>
      <bottom style="thin">
        <color rgb="FFABABAB"/>
      </bottom>
      <diagonal/>
    </border>
    <border>
      <left style="thin">
        <color indexed="65"/>
      </left>
      <right style="thin">
        <color rgb="FFABABAB"/>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8">
    <xf numFmtId="0" fontId="0" fillId="0" borderId="0" xfId="0"/>
    <xf numFmtId="0" fontId="1" fillId="0" borderId="1" xfId="0" applyFont="1" applyBorder="1" applyAlignment="1">
      <alignment horizontal="center" vertical="top"/>
    </xf>
    <xf numFmtId="166" fontId="2" fillId="0" borderId="0" xfId="0" applyNumberFormat="1" applyFont="1"/>
    <xf numFmtId="0" fontId="2" fillId="0" borderId="0" xfId="0" applyFont="1"/>
    <xf numFmtId="0" fontId="2" fillId="0" borderId="0" xfId="0" applyFont="1" applyAlignment="1">
      <alignment horizontal="right"/>
    </xf>
    <xf numFmtId="167" fontId="3" fillId="0" borderId="0" xfId="0" applyNumberFormat="1" applyFont="1"/>
    <xf numFmtId="0" fontId="4" fillId="0" borderId="0" xfId="0" applyFont="1" applyAlignment="1">
      <alignment horizontal="center"/>
    </xf>
    <xf numFmtId="0" fontId="5" fillId="0" borderId="0" xfId="0" applyFont="1"/>
    <xf numFmtId="164" fontId="6" fillId="0" borderId="0" xfId="0" applyNumberFormat="1" applyFont="1" applyAlignment="1">
      <alignment horizontal="center"/>
    </xf>
    <xf numFmtId="0" fontId="6" fillId="0" borderId="0" xfId="0" applyFont="1" applyAlignment="1">
      <alignment horizontal="center"/>
    </xf>
    <xf numFmtId="3" fontId="6" fillId="0" borderId="0" xfId="0" applyNumberFormat="1" applyFont="1" applyAlignment="1">
      <alignment horizontal="center"/>
    </xf>
    <xf numFmtId="165" fontId="6" fillId="0" borderId="0" xfId="0" applyNumberFormat="1" applyFont="1" applyAlignment="1">
      <alignment horizontal="center"/>
    </xf>
    <xf numFmtId="164" fontId="3" fillId="0" borderId="0" xfId="0" applyNumberFormat="1" applyFont="1"/>
    <xf numFmtId="0" fontId="3" fillId="0" borderId="0" xfId="0" applyFont="1"/>
    <xf numFmtId="3" fontId="3" fillId="0" borderId="0" xfId="0" applyNumberFormat="1" applyFont="1"/>
    <xf numFmtId="165" fontId="3" fillId="0" borderId="0" xfId="0" applyNumberFormat="1" applyFont="1"/>
    <xf numFmtId="164" fontId="7" fillId="0" borderId="2" xfId="0" applyNumberFormat="1" applyFont="1" applyBorder="1" applyAlignment="1">
      <alignment horizontal="center"/>
    </xf>
    <xf numFmtId="0" fontId="7" fillId="0" borderId="3" xfId="0" applyFont="1" applyBorder="1" applyAlignment="1">
      <alignment horizontal="center"/>
    </xf>
    <xf numFmtId="3" fontId="7" fillId="0" borderId="3" xfId="0" applyNumberFormat="1" applyFont="1" applyBorder="1" applyAlignment="1">
      <alignment horizontal="center"/>
    </xf>
    <xf numFmtId="165" fontId="7" fillId="0" borderId="4" xfId="0" applyNumberFormat="1" applyFont="1" applyBorder="1" applyAlignment="1">
      <alignment horizontal="center"/>
    </xf>
    <xf numFmtId="164" fontId="3" fillId="0" borderId="5" xfId="0" applyNumberFormat="1" applyFont="1" applyBorder="1"/>
    <xf numFmtId="0" fontId="3" fillId="0" borderId="6" xfId="0" applyFont="1" applyBorder="1"/>
    <xf numFmtId="3" fontId="3" fillId="0" borderId="6" xfId="0" applyNumberFormat="1" applyFont="1" applyBorder="1"/>
    <xf numFmtId="165" fontId="3" fillId="0" borderId="7" xfId="0" applyNumberFormat="1" applyFont="1" applyBorder="1"/>
    <xf numFmtId="0" fontId="9" fillId="0" borderId="0" xfId="0" applyFont="1"/>
    <xf numFmtId="0" fontId="9" fillId="0" borderId="11" xfId="0" applyFont="1" applyBorder="1"/>
    <xf numFmtId="0" fontId="9" fillId="0" borderId="12" xfId="0" applyFont="1" applyBorder="1"/>
    <xf numFmtId="0" fontId="9" fillId="0" borderId="13" xfId="0" applyFont="1" applyBorder="1"/>
    <xf numFmtId="0" fontId="9" fillId="0" borderId="14" xfId="0" applyFont="1" applyBorder="1"/>
    <xf numFmtId="0" fontId="9" fillId="0" borderId="15" xfId="0" applyFont="1" applyBorder="1"/>
    <xf numFmtId="0" fontId="9" fillId="0" borderId="8" xfId="0" applyFont="1" applyBorder="1"/>
    <xf numFmtId="0" fontId="9" fillId="0" borderId="9" xfId="0" applyFont="1" applyBorder="1"/>
    <xf numFmtId="0" fontId="9" fillId="0" borderId="10" xfId="0" applyFont="1" applyBorder="1"/>
    <xf numFmtId="0" fontId="12" fillId="0" borderId="19" xfId="0" applyFont="1" applyBorder="1" applyAlignment="1">
      <alignment horizontal="center" vertical="center"/>
    </xf>
    <xf numFmtId="0" fontId="12" fillId="0" borderId="20" xfId="0" applyFont="1" applyBorder="1" applyAlignment="1">
      <alignment horizontal="center" vertical="center"/>
    </xf>
    <xf numFmtId="0" fontId="0" fillId="0" borderId="21" xfId="0" pivotButton="1" applyBorder="1"/>
    <xf numFmtId="0" fontId="0" fillId="0" borderId="22" xfId="0" applyBorder="1"/>
    <xf numFmtId="164" fontId="0" fillId="0" borderId="21" xfId="0" applyNumberFormat="1" applyBorder="1"/>
    <xf numFmtId="164" fontId="0" fillId="0" borderId="23" xfId="0" applyNumberFormat="1" applyBorder="1"/>
    <xf numFmtId="164" fontId="0" fillId="0" borderId="25" xfId="0" applyNumberFormat="1" applyBorder="1"/>
    <xf numFmtId="0" fontId="0" fillId="0" borderId="27" xfId="0" applyBorder="1"/>
    <xf numFmtId="0" fontId="0" fillId="0" borderId="21" xfId="0" applyBorder="1"/>
    <xf numFmtId="0" fontId="0" fillId="0" borderId="28" xfId="0" applyBorder="1"/>
    <xf numFmtId="0" fontId="0" fillId="0" borderId="31" xfId="0" pivotButton="1" applyBorder="1"/>
    <xf numFmtId="0" fontId="0" fillId="0" borderId="31" xfId="0" applyBorder="1"/>
    <xf numFmtId="0" fontId="9" fillId="0" borderId="32" xfId="0" applyFont="1" applyBorder="1"/>
    <xf numFmtId="3" fontId="9" fillId="0" borderId="33" xfId="0" applyNumberFormat="1" applyFont="1" applyBorder="1"/>
    <xf numFmtId="0" fontId="9" fillId="0" borderId="34" xfId="0" applyFont="1" applyBorder="1"/>
    <xf numFmtId="3" fontId="9" fillId="0" borderId="35" xfId="0" applyNumberFormat="1" applyFont="1" applyBorder="1"/>
    <xf numFmtId="0" fontId="8" fillId="0" borderId="36" xfId="0" applyFont="1" applyBorder="1"/>
    <xf numFmtId="0" fontId="8" fillId="0" borderId="37" xfId="0" applyFont="1" applyBorder="1"/>
    <xf numFmtId="0" fontId="9" fillId="0" borderId="33" xfId="0" applyFont="1" applyBorder="1"/>
    <xf numFmtId="0" fontId="9" fillId="0" borderId="35" xfId="0" applyFont="1" applyBorder="1"/>
    <xf numFmtId="0" fontId="10" fillId="0" borderId="8" xfId="0" applyFont="1" applyBorder="1" applyAlignment="1">
      <alignment horizontal="center" vertical="center"/>
    </xf>
    <xf numFmtId="0" fontId="11" fillId="0" borderId="9" xfId="0" applyFont="1" applyBorder="1"/>
    <xf numFmtId="0" fontId="11" fillId="0" borderId="10" xfId="0" applyFont="1" applyBorder="1"/>
    <xf numFmtId="0" fontId="11" fillId="0" borderId="11" xfId="0" applyFont="1" applyBorder="1"/>
    <xf numFmtId="0" fontId="0" fillId="0" borderId="0" xfId="0"/>
    <xf numFmtId="0" fontId="11" fillId="0" borderId="12" xfId="0" applyFont="1" applyBorder="1"/>
    <xf numFmtId="0" fontId="11" fillId="0" borderId="13" xfId="0" applyFont="1" applyBorder="1"/>
    <xf numFmtId="0" fontId="11" fillId="0" borderId="14" xfId="0" applyFont="1" applyBorder="1"/>
    <xf numFmtId="0" fontId="11" fillId="0" borderId="15" xfId="0" applyFont="1" applyBorder="1"/>
    <xf numFmtId="1" fontId="12" fillId="0" borderId="8" xfId="0" applyNumberFormat="1" applyFont="1" applyBorder="1" applyAlignment="1">
      <alignment horizontal="center"/>
    </xf>
    <xf numFmtId="1" fontId="11" fillId="0" borderId="9" xfId="0" applyNumberFormat="1" applyFont="1" applyBorder="1"/>
    <xf numFmtId="1" fontId="11" fillId="0" borderId="10" xfId="0" applyNumberFormat="1" applyFont="1" applyBorder="1"/>
    <xf numFmtId="0" fontId="12" fillId="0" borderId="13" xfId="0" applyFont="1" applyBorder="1" applyAlignment="1">
      <alignment horizontal="center"/>
    </xf>
    <xf numFmtId="0" fontId="12" fillId="0" borderId="0" xfId="0" applyFont="1" applyAlignment="1">
      <alignment wrapText="1"/>
    </xf>
    <xf numFmtId="0" fontId="12" fillId="0" borderId="14" xfId="0" applyFont="1" applyBorder="1" applyAlignment="1">
      <alignment wrapText="1"/>
    </xf>
    <xf numFmtId="0" fontId="13" fillId="0" borderId="16" xfId="0" applyFont="1" applyBorder="1" applyAlignment="1">
      <alignment horizontal="center"/>
    </xf>
    <xf numFmtId="0" fontId="11" fillId="0" borderId="17" xfId="0" applyFont="1" applyBorder="1"/>
    <xf numFmtId="0" fontId="11" fillId="0" borderId="18" xfId="0" applyFont="1" applyBorder="1"/>
    <xf numFmtId="0" fontId="12" fillId="0" borderId="11" xfId="0" applyFont="1" applyBorder="1" applyAlignment="1">
      <alignment wrapText="1"/>
    </xf>
    <xf numFmtId="0" fontId="0" fillId="0" borderId="22" xfId="0" applyNumberFormat="1" applyBorder="1"/>
    <xf numFmtId="0" fontId="0" fillId="0" borderId="24" xfId="0" applyNumberFormat="1" applyBorder="1"/>
    <xf numFmtId="0" fontId="0" fillId="0" borderId="26" xfId="0" applyNumberFormat="1" applyBorder="1"/>
    <xf numFmtId="0" fontId="0" fillId="0" borderId="29" xfId="0" applyNumberFormat="1" applyBorder="1"/>
    <xf numFmtId="0" fontId="0" fillId="0" borderId="30" xfId="0" applyNumberFormat="1" applyBorder="1"/>
    <xf numFmtId="0" fontId="12" fillId="0" borderId="8" xfId="0" applyFont="1" applyBorder="1" applyAlignment="1">
      <alignment horizontal="left" wrapText="1"/>
    </xf>
    <xf numFmtId="0" fontId="12" fillId="0" borderId="9" xfId="0" applyFont="1" applyBorder="1" applyAlignment="1">
      <alignment horizontal="left" wrapText="1"/>
    </xf>
    <xf numFmtId="0" fontId="12" fillId="0" borderId="10" xfId="0" applyFont="1" applyBorder="1" applyAlignment="1">
      <alignment horizontal="left" wrapText="1"/>
    </xf>
    <xf numFmtId="0" fontId="12" fillId="0" borderId="0" xfId="0" applyFont="1" applyBorder="1" applyAlignment="1">
      <alignment wrapText="1"/>
    </xf>
    <xf numFmtId="0" fontId="12" fillId="0" borderId="12" xfId="0" applyFont="1" applyBorder="1" applyAlignment="1">
      <alignment wrapText="1"/>
    </xf>
    <xf numFmtId="170" fontId="12" fillId="0" borderId="8" xfId="0" applyNumberFormat="1" applyFont="1" applyBorder="1" applyAlignment="1">
      <alignment horizontal="center"/>
    </xf>
    <xf numFmtId="170" fontId="11" fillId="0" borderId="9" xfId="0" applyNumberFormat="1" applyFont="1" applyBorder="1"/>
    <xf numFmtId="170" fontId="11" fillId="0" borderId="10" xfId="0" applyNumberFormat="1" applyFont="1" applyBorder="1"/>
    <xf numFmtId="171" fontId="12" fillId="0" borderId="8" xfId="0" applyNumberFormat="1" applyFont="1" applyBorder="1" applyAlignment="1">
      <alignment horizontal="center"/>
    </xf>
    <xf numFmtId="171" fontId="11" fillId="0" borderId="9" xfId="0" applyNumberFormat="1" applyFont="1" applyBorder="1"/>
    <xf numFmtId="171" fontId="11" fillId="0" borderId="10" xfId="0" applyNumberFormat="1" applyFont="1" applyBorder="1"/>
  </cellXfs>
  <cellStyles count="1">
    <cellStyle name="Normal" xfId="0" builtinId="0"/>
  </cellStyles>
  <dxfs count="3">
    <dxf>
      <fill>
        <patternFill patternType="solid">
          <fgColor rgb="FFFFFFFF"/>
          <bgColor rgb="FFFFFFFF"/>
        </patternFill>
      </fill>
    </dxf>
    <dxf>
      <fill>
        <patternFill patternType="solid">
          <fgColor rgb="FFEBEFF1"/>
          <bgColor rgb="FFEBEFF1"/>
        </patternFill>
      </fill>
    </dxf>
    <dxf>
      <fill>
        <patternFill patternType="solid">
          <fgColor rgb="FF6C7687"/>
          <bgColor rgb="FF6C7687"/>
        </patternFill>
      </fill>
    </dxf>
  </dxfs>
  <tableStyles count="1">
    <tableStyle name="Detail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Poppins"/>
              </a:defRPr>
            </a:pPr>
            <a:r>
              <a:rPr lang="en-US" b="0">
                <a:solidFill>
                  <a:srgbClr val="757575"/>
                </a:solidFill>
                <a:latin typeface="Poppins"/>
              </a:rPr>
              <a:t>Daily Sales</a:t>
            </a:r>
          </a:p>
        </c:rich>
      </c:tx>
      <c:overlay val="0"/>
    </c:title>
    <c:autoTitleDeleted val="0"/>
    <c:plotArea>
      <c:layout/>
      <c:lineChart>
        <c:grouping val="standard"/>
        <c:varyColors val="0"/>
        <c:ser>
          <c:idx val="0"/>
          <c:order val="0"/>
          <c:tx>
            <c:strRef>
              <c:f>Dashboard!$B$9</c:f>
              <c:strCache>
                <c:ptCount val="1"/>
                <c:pt idx="0">
                  <c:v>SUM of Total</c:v>
                </c:pt>
              </c:strCache>
            </c:strRef>
          </c:tx>
          <c:spPr>
            <a:ln cmpd="sng">
              <a:solidFill>
                <a:srgbClr val="4285F4"/>
              </a:solidFill>
            </a:ln>
          </c:spPr>
          <c:marker>
            <c:symbol val="none"/>
          </c:marker>
          <c:cat>
            <c:strRef>
              <c:f>Dashboard!$A$10:$A$39</c:f>
              <c:strCache>
                <c:ptCount val="30"/>
                <c:pt idx="0">
                  <c:v>01-09-2025</c:v>
                </c:pt>
                <c:pt idx="1">
                  <c:v>02-09-2025</c:v>
                </c:pt>
                <c:pt idx="2">
                  <c:v>03-09-2025</c:v>
                </c:pt>
                <c:pt idx="3">
                  <c:v>04-09-2025</c:v>
                </c:pt>
                <c:pt idx="4">
                  <c:v>05-09-2025</c:v>
                </c:pt>
                <c:pt idx="5">
                  <c:v>06-09-2025</c:v>
                </c:pt>
                <c:pt idx="6">
                  <c:v>07-09-2025</c:v>
                </c:pt>
                <c:pt idx="7">
                  <c:v>08-09-2025</c:v>
                </c:pt>
                <c:pt idx="8">
                  <c:v>09-09-2025</c:v>
                </c:pt>
                <c:pt idx="9">
                  <c:v>10-09-2025</c:v>
                </c:pt>
                <c:pt idx="10">
                  <c:v>11-09-2025</c:v>
                </c:pt>
                <c:pt idx="11">
                  <c:v>12-09-2025</c:v>
                </c:pt>
                <c:pt idx="12">
                  <c:v>13-09-2025</c:v>
                </c:pt>
                <c:pt idx="13">
                  <c:v>14-09-2025</c:v>
                </c:pt>
                <c:pt idx="14">
                  <c:v>15-09-2025</c:v>
                </c:pt>
                <c:pt idx="15">
                  <c:v>16-09-2025</c:v>
                </c:pt>
                <c:pt idx="16">
                  <c:v>17-09-2025</c:v>
                </c:pt>
                <c:pt idx="17">
                  <c:v>18-09-2025</c:v>
                </c:pt>
                <c:pt idx="18">
                  <c:v>19-09-2025</c:v>
                </c:pt>
                <c:pt idx="19">
                  <c:v>20-09-2025</c:v>
                </c:pt>
                <c:pt idx="20">
                  <c:v>21-09-2025</c:v>
                </c:pt>
                <c:pt idx="21">
                  <c:v>22-09-2025</c:v>
                </c:pt>
                <c:pt idx="22">
                  <c:v>23-09-2025</c:v>
                </c:pt>
                <c:pt idx="23">
                  <c:v>24-09-2025</c:v>
                </c:pt>
                <c:pt idx="24">
                  <c:v>25-09-2025</c:v>
                </c:pt>
                <c:pt idx="25">
                  <c:v>26-09-2025</c:v>
                </c:pt>
                <c:pt idx="26">
                  <c:v>27-09-2025</c:v>
                </c:pt>
                <c:pt idx="27">
                  <c:v>28-09-2025</c:v>
                </c:pt>
                <c:pt idx="28">
                  <c:v>29-09-2025</c:v>
                </c:pt>
                <c:pt idx="29">
                  <c:v>30-09-2025</c:v>
                </c:pt>
              </c:strCache>
            </c:strRef>
          </c:cat>
          <c:val>
            <c:numRef>
              <c:f>Dashboard!$B$10:$B$39</c:f>
              <c:numCache>
                <c:formatCode>General</c:formatCode>
                <c:ptCount val="30"/>
                <c:pt idx="0">
                  <c:v>1484000</c:v>
                </c:pt>
                <c:pt idx="1">
                  <c:v>1062000</c:v>
                </c:pt>
                <c:pt idx="2">
                  <c:v>1453000</c:v>
                </c:pt>
                <c:pt idx="3">
                  <c:v>1711000</c:v>
                </c:pt>
                <c:pt idx="4">
                  <c:v>1166000</c:v>
                </c:pt>
                <c:pt idx="5">
                  <c:v>1564000</c:v>
                </c:pt>
                <c:pt idx="6">
                  <c:v>1930000</c:v>
                </c:pt>
                <c:pt idx="7">
                  <c:v>1683000</c:v>
                </c:pt>
                <c:pt idx="8">
                  <c:v>1799000</c:v>
                </c:pt>
                <c:pt idx="9">
                  <c:v>1513000</c:v>
                </c:pt>
                <c:pt idx="10">
                  <c:v>2058000</c:v>
                </c:pt>
                <c:pt idx="11">
                  <c:v>1416000</c:v>
                </c:pt>
                <c:pt idx="12">
                  <c:v>1217000</c:v>
                </c:pt>
                <c:pt idx="13">
                  <c:v>1734000</c:v>
                </c:pt>
                <c:pt idx="14">
                  <c:v>1087000</c:v>
                </c:pt>
                <c:pt idx="15">
                  <c:v>1617000</c:v>
                </c:pt>
                <c:pt idx="16">
                  <c:v>1620000</c:v>
                </c:pt>
                <c:pt idx="17">
                  <c:v>1640000</c:v>
                </c:pt>
                <c:pt idx="18">
                  <c:v>1898000</c:v>
                </c:pt>
                <c:pt idx="19">
                  <c:v>1592000</c:v>
                </c:pt>
                <c:pt idx="20">
                  <c:v>1384000</c:v>
                </c:pt>
                <c:pt idx="21">
                  <c:v>1491000</c:v>
                </c:pt>
                <c:pt idx="22">
                  <c:v>1763000</c:v>
                </c:pt>
                <c:pt idx="23">
                  <c:v>1802000</c:v>
                </c:pt>
                <c:pt idx="24">
                  <c:v>2493000</c:v>
                </c:pt>
                <c:pt idx="25">
                  <c:v>2047000</c:v>
                </c:pt>
                <c:pt idx="26">
                  <c:v>2711000</c:v>
                </c:pt>
                <c:pt idx="27">
                  <c:v>2379000</c:v>
                </c:pt>
                <c:pt idx="28">
                  <c:v>1361000</c:v>
                </c:pt>
                <c:pt idx="29">
                  <c:v>1842000</c:v>
                </c:pt>
              </c:numCache>
            </c:numRef>
          </c:val>
          <c:smooth val="0"/>
          <c:extLst>
            <c:ext xmlns:c16="http://schemas.microsoft.com/office/drawing/2014/chart" uri="{C3380CC4-5D6E-409C-BE32-E72D297353CC}">
              <c16:uniqueId val="{00000000-0B50-4A96-BDA7-34D267D3CB6E}"/>
            </c:ext>
          </c:extLst>
        </c:ser>
        <c:dLbls>
          <c:showLegendKey val="0"/>
          <c:showVal val="0"/>
          <c:showCatName val="0"/>
          <c:showSerName val="0"/>
          <c:showPercent val="0"/>
          <c:showBubbleSize val="0"/>
        </c:dLbls>
        <c:smooth val="0"/>
        <c:axId val="2141630802"/>
        <c:axId val="1870378586"/>
      </c:lineChart>
      <c:catAx>
        <c:axId val="2141630802"/>
        <c:scaling>
          <c:orientation val="minMax"/>
        </c:scaling>
        <c:delete val="0"/>
        <c:axPos val="b"/>
        <c:title>
          <c:tx>
            <c:rich>
              <a:bodyPr/>
              <a:lstStyle/>
              <a:p>
                <a:pPr lvl="0">
                  <a:defRPr b="0">
                    <a:solidFill>
                      <a:srgbClr val="000000"/>
                    </a:solidFill>
                    <a:latin typeface="Poppins"/>
                  </a:defRPr>
                </a:pPr>
                <a:r>
                  <a:rPr lang="en-US" b="0">
                    <a:solidFill>
                      <a:srgbClr val="000000"/>
                    </a:solidFill>
                    <a:latin typeface="Poppins"/>
                  </a:rPr>
                  <a:t>Tanggal</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Poppins"/>
              </a:defRPr>
            </a:pPr>
            <a:endParaRPr lang="en-US"/>
          </a:p>
        </c:txPr>
        <c:crossAx val="1870378586"/>
        <c:crosses val="autoZero"/>
        <c:auto val="1"/>
        <c:lblAlgn val="ctr"/>
        <c:lblOffset val="100"/>
        <c:noMultiLvlLbl val="1"/>
      </c:catAx>
      <c:valAx>
        <c:axId val="1870378586"/>
        <c:scaling>
          <c:orientation val="minMax"/>
        </c:scaling>
        <c:delete val="0"/>
        <c:axPos val="l"/>
        <c:majorGridlines>
          <c:spPr>
            <a:ln>
              <a:solidFill>
                <a:srgbClr val="B7B7B7"/>
              </a:solidFill>
            </a:ln>
          </c:spPr>
        </c:majorGridlines>
        <c:title>
          <c:tx>
            <c:rich>
              <a:bodyPr/>
              <a:lstStyle/>
              <a:p>
                <a:pPr lvl="0">
                  <a:defRPr b="0">
                    <a:solidFill>
                      <a:srgbClr val="000000"/>
                    </a:solidFill>
                    <a:latin typeface="Poppins"/>
                  </a:defRPr>
                </a:pPr>
                <a:r>
                  <a:rPr lang="en-US" b="0">
                    <a:solidFill>
                      <a:srgbClr val="000000"/>
                    </a:solidFill>
                    <a:latin typeface="Poppins"/>
                  </a:rPr>
                  <a:t>Penjualan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Poppins"/>
              </a:defRPr>
            </a:pPr>
            <a:endParaRPr lang="en-US"/>
          </a:p>
        </c:txPr>
        <c:crossAx val="2141630802"/>
        <c:crosses val="autoZero"/>
        <c:crossBetween val="between"/>
      </c:valAx>
    </c:plotArea>
    <c:legend>
      <c:legendPos val="r"/>
      <c:overlay val="0"/>
      <c:txPr>
        <a:bodyPr/>
        <a:lstStyle/>
        <a:p>
          <a:pPr lvl="0">
            <a:defRPr b="0">
              <a:solidFill>
                <a:srgbClr val="1A1A1A"/>
              </a:solidFill>
              <a:latin typeface="Poppins"/>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Poppins"/>
              </a:defRPr>
            </a:pPr>
            <a:r>
              <a:rPr lang="en-US" b="0">
                <a:solidFill>
                  <a:srgbClr val="757575"/>
                </a:solidFill>
                <a:latin typeface="Poppins"/>
              </a:rPr>
              <a:t>Branch Performance</a:t>
            </a:r>
          </a:p>
        </c:rich>
      </c:tx>
      <c:overlay val="0"/>
    </c:title>
    <c:autoTitleDeleted val="0"/>
    <c:plotArea>
      <c:layout/>
      <c:barChart>
        <c:barDir val="bar"/>
        <c:grouping val="clustered"/>
        <c:varyColors val="1"/>
        <c:ser>
          <c:idx val="0"/>
          <c:order val="0"/>
          <c:tx>
            <c:strRef>
              <c:f>Dashboard!$B$1</c:f>
              <c:strCache>
                <c:ptCount val="1"/>
                <c:pt idx="0">
                  <c:v>SUM of Total</c:v>
                </c:pt>
              </c:strCache>
            </c:strRef>
          </c:tx>
          <c:spPr>
            <a:solidFill>
              <a:srgbClr val="4285F4"/>
            </a:solidFill>
            <a:ln cmpd="sng">
              <a:noFill/>
            </a:ln>
          </c:spPr>
          <c:invertIfNegative val="1"/>
          <c:cat>
            <c:strRef>
              <c:f>Dashboard!$A$2:$A$7</c:f>
              <c:strCache>
                <c:ptCount val="6"/>
                <c:pt idx="0">
                  <c:v>Bandung</c:v>
                </c:pt>
                <c:pt idx="1">
                  <c:v>Jakarta</c:v>
                </c:pt>
                <c:pt idx="2">
                  <c:v>Makassar</c:v>
                </c:pt>
                <c:pt idx="3">
                  <c:v>Medan</c:v>
                </c:pt>
                <c:pt idx="4">
                  <c:v>Semarang</c:v>
                </c:pt>
                <c:pt idx="5">
                  <c:v>Surabaya</c:v>
                </c:pt>
              </c:strCache>
            </c:strRef>
          </c:cat>
          <c:val>
            <c:numRef>
              <c:f>Dashboard!$B$2:$B$7</c:f>
              <c:numCache>
                <c:formatCode>#,##0</c:formatCode>
                <c:ptCount val="6"/>
                <c:pt idx="0">
                  <c:v>8847000</c:v>
                </c:pt>
                <c:pt idx="1">
                  <c:v>7815000</c:v>
                </c:pt>
                <c:pt idx="2">
                  <c:v>8374000</c:v>
                </c:pt>
                <c:pt idx="3">
                  <c:v>8294000</c:v>
                </c:pt>
                <c:pt idx="4">
                  <c:v>8692000</c:v>
                </c:pt>
                <c:pt idx="5">
                  <c:v>8495000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F0C1-4D86-AF4C-9745A5437202}"/>
            </c:ext>
          </c:extLst>
        </c:ser>
        <c:dLbls>
          <c:showLegendKey val="0"/>
          <c:showVal val="0"/>
          <c:showCatName val="0"/>
          <c:showSerName val="0"/>
          <c:showPercent val="0"/>
          <c:showBubbleSize val="0"/>
        </c:dLbls>
        <c:gapWidth val="150"/>
        <c:axId val="798336428"/>
        <c:axId val="1805124979"/>
      </c:barChart>
      <c:catAx>
        <c:axId val="798336428"/>
        <c:scaling>
          <c:orientation val="maxMin"/>
        </c:scaling>
        <c:delete val="0"/>
        <c:axPos val="l"/>
        <c:title>
          <c:tx>
            <c:rich>
              <a:bodyPr/>
              <a:lstStyle/>
              <a:p>
                <a:pPr lvl="0">
                  <a:defRPr b="0">
                    <a:solidFill>
                      <a:srgbClr val="000000"/>
                    </a:solidFill>
                    <a:latin typeface="Poppins"/>
                  </a:defRPr>
                </a:pPr>
                <a:r>
                  <a:rPr lang="en-US" b="0">
                    <a:solidFill>
                      <a:srgbClr val="000000"/>
                    </a:solidFill>
                    <a:latin typeface="Poppins"/>
                  </a:rPr>
                  <a:t>Cabang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Poppins"/>
              </a:defRPr>
            </a:pPr>
            <a:endParaRPr lang="en-US"/>
          </a:p>
        </c:txPr>
        <c:crossAx val="1805124979"/>
        <c:crosses val="autoZero"/>
        <c:auto val="1"/>
        <c:lblAlgn val="ctr"/>
        <c:lblOffset val="100"/>
        <c:noMultiLvlLbl val="1"/>
      </c:catAx>
      <c:valAx>
        <c:axId val="1805124979"/>
        <c:scaling>
          <c:orientation val="minMax"/>
        </c:scaling>
        <c:delete val="0"/>
        <c:axPos val="b"/>
        <c:minorGridlines>
          <c:spPr>
            <a:ln>
              <a:solidFill>
                <a:srgbClr val="CCCCCC">
                  <a:alpha val="0"/>
                </a:srgbClr>
              </a:solidFill>
            </a:ln>
          </c:spPr>
        </c:minorGridlines>
        <c:title>
          <c:tx>
            <c:rich>
              <a:bodyPr/>
              <a:lstStyle/>
              <a:p>
                <a:pPr lvl="0">
                  <a:defRPr b="0">
                    <a:solidFill>
                      <a:srgbClr val="000000"/>
                    </a:solidFill>
                    <a:latin typeface="Poppins"/>
                  </a:defRPr>
                </a:pPr>
                <a:r>
                  <a:rPr lang="en-US" b="0">
                    <a:solidFill>
                      <a:srgbClr val="000000"/>
                    </a:solidFill>
                    <a:latin typeface="Poppins"/>
                  </a:rPr>
                  <a:t>Total Penjualan</a:t>
                </a:r>
              </a:p>
            </c:rich>
          </c:tx>
          <c:overlay val="0"/>
        </c:title>
        <c:numFmt formatCode="#,##0" sourceLinked="1"/>
        <c:majorTickMark val="none"/>
        <c:minorTickMark val="none"/>
        <c:tickLblPos val="nextTo"/>
        <c:spPr>
          <a:ln>
            <a:noFill/>
          </a:ln>
        </c:spPr>
        <c:txPr>
          <a:bodyPr/>
          <a:lstStyle/>
          <a:p>
            <a:pPr lvl="0">
              <a:defRPr b="0">
                <a:solidFill>
                  <a:srgbClr val="000000"/>
                </a:solidFill>
                <a:latin typeface="Poppins"/>
              </a:defRPr>
            </a:pPr>
            <a:endParaRPr lang="en-US"/>
          </a:p>
        </c:txPr>
        <c:crossAx val="798336428"/>
        <c:crosses val="max"/>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Poppins"/>
              </a:defRPr>
            </a:pPr>
            <a:r>
              <a:rPr lang="en-US" b="0">
                <a:solidFill>
                  <a:srgbClr val="757575"/>
                </a:solidFill>
                <a:latin typeface="Poppins"/>
              </a:rPr>
              <a:t>Top Products</a:t>
            </a:r>
          </a:p>
        </c:rich>
      </c:tx>
      <c:overlay val="0"/>
    </c:title>
    <c:autoTitleDeleted val="0"/>
    <c:plotArea>
      <c:layout/>
      <c:barChart>
        <c:barDir val="col"/>
        <c:grouping val="clustered"/>
        <c:varyColors val="1"/>
        <c:ser>
          <c:idx val="0"/>
          <c:order val="0"/>
          <c:tx>
            <c:strRef>
              <c:f>Dashboard!$E$1</c:f>
              <c:strCache>
                <c:ptCount val="1"/>
                <c:pt idx="0">
                  <c:v>SUM of Qty</c:v>
                </c:pt>
              </c:strCache>
            </c:strRef>
          </c:tx>
          <c:spPr>
            <a:solidFill>
              <a:srgbClr val="4285F4"/>
            </a:solidFill>
            <a:ln cmpd="sng">
              <a:noFill/>
            </a:ln>
          </c:spPr>
          <c:invertIfNegative val="1"/>
          <c:cat>
            <c:strRef>
              <c:f>Dashboard!$D$2:$D$6</c:f>
              <c:strCache>
                <c:ptCount val="5"/>
                <c:pt idx="0">
                  <c:v>Mocha</c:v>
                </c:pt>
                <c:pt idx="1">
                  <c:v>Americano</c:v>
                </c:pt>
                <c:pt idx="2">
                  <c:v>Espresso</c:v>
                </c:pt>
                <c:pt idx="3">
                  <c:v>Cappuccino</c:v>
                </c:pt>
                <c:pt idx="4">
                  <c:v>Latte</c:v>
                </c:pt>
              </c:strCache>
            </c:strRef>
          </c:cat>
          <c:val>
            <c:numRef>
              <c:f>Dashboard!$E$2:$E$6</c:f>
              <c:numCache>
                <c:formatCode>General</c:formatCode>
                <c:ptCount val="5"/>
                <c:pt idx="0">
                  <c:v>490</c:v>
                </c:pt>
                <c:pt idx="1">
                  <c:v>401</c:v>
                </c:pt>
                <c:pt idx="2">
                  <c:v>349</c:v>
                </c:pt>
                <c:pt idx="3">
                  <c:v>332</c:v>
                </c:pt>
                <c:pt idx="4">
                  <c:v>282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BB49-4013-AE67-3D2AB645A3EA}"/>
            </c:ext>
          </c:extLst>
        </c:ser>
        <c:dLbls>
          <c:showLegendKey val="0"/>
          <c:showVal val="0"/>
          <c:showCatName val="0"/>
          <c:showSerName val="0"/>
          <c:showPercent val="0"/>
          <c:showBubbleSize val="0"/>
        </c:dLbls>
        <c:gapWidth val="150"/>
        <c:axId val="1065210844"/>
        <c:axId val="1164726513"/>
      </c:barChart>
      <c:catAx>
        <c:axId val="1065210844"/>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Product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164726513"/>
        <c:crosses val="autoZero"/>
        <c:auto val="1"/>
        <c:lblAlgn val="ctr"/>
        <c:lblOffset val="100"/>
        <c:noMultiLvlLbl val="1"/>
      </c:catAx>
      <c:valAx>
        <c:axId val="116472651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Jumlah terjual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065210844"/>
        <c:crosses val="autoZero"/>
        <c:crossBetween val="between"/>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Poppins"/>
              </a:defRPr>
            </a:pPr>
            <a:r>
              <a:rPr lang="en-US" b="0">
                <a:solidFill>
                  <a:srgbClr val="757575"/>
                </a:solidFill>
                <a:latin typeface="Poppins"/>
              </a:rPr>
              <a:t> Category Comparison Sales</a:t>
            </a:r>
          </a:p>
        </c:rich>
      </c:tx>
      <c:overlay val="0"/>
    </c:title>
    <c:autoTitleDeleted val="0"/>
    <c:plotArea>
      <c:layout/>
      <c:pieChart>
        <c:varyColors val="1"/>
        <c:ser>
          <c:idx val="0"/>
          <c:order val="0"/>
          <c:tx>
            <c:strRef>
              <c:f>Dashboard!$E$8</c:f>
              <c:strCache>
                <c:ptCount val="1"/>
                <c:pt idx="0">
                  <c:v>SUM of Total</c:v>
                </c:pt>
              </c:strCache>
            </c:strRef>
          </c:tx>
          <c:dPt>
            <c:idx val="0"/>
            <c:bubble3D val="0"/>
            <c:spPr>
              <a:solidFill>
                <a:srgbClr val="4285F4"/>
              </a:solidFill>
            </c:spPr>
            <c:extLst>
              <c:ext xmlns:c16="http://schemas.microsoft.com/office/drawing/2014/chart" uri="{C3380CC4-5D6E-409C-BE32-E72D297353CC}">
                <c16:uniqueId val="{00000001-501B-42B8-A07C-B60385B62446}"/>
              </c:ext>
            </c:extLst>
          </c:dPt>
          <c:dPt>
            <c:idx val="1"/>
            <c:bubble3D val="0"/>
            <c:spPr>
              <a:solidFill>
                <a:srgbClr val="EA4335"/>
              </a:solidFill>
            </c:spPr>
            <c:extLst>
              <c:ext xmlns:c16="http://schemas.microsoft.com/office/drawing/2014/chart" uri="{C3380CC4-5D6E-409C-BE32-E72D297353CC}">
                <c16:uniqueId val="{00000003-501B-42B8-A07C-B60385B62446}"/>
              </c:ext>
            </c:extLst>
          </c:dPt>
          <c:cat>
            <c:strRef>
              <c:f>Dashboard!$D$9:$D$10</c:f>
              <c:strCache>
                <c:ptCount val="2"/>
                <c:pt idx="0">
                  <c:v>Chocolate</c:v>
                </c:pt>
                <c:pt idx="1">
                  <c:v>Coffee</c:v>
                </c:pt>
              </c:strCache>
            </c:strRef>
          </c:cat>
          <c:val>
            <c:numRef>
              <c:f>Dashboard!$E$9:$E$10</c:f>
              <c:numCache>
                <c:formatCode>#,##0</c:formatCode>
                <c:ptCount val="2"/>
                <c:pt idx="0">
                  <c:v>13243000</c:v>
                </c:pt>
                <c:pt idx="1">
                  <c:v>37274000</c:v>
                </c:pt>
              </c:numCache>
            </c:numRef>
          </c:val>
          <c:extLst>
            <c:ext xmlns:c16="http://schemas.microsoft.com/office/drawing/2014/chart" uri="{C3380CC4-5D6E-409C-BE32-E72D297353CC}">
              <c16:uniqueId val="{00000004-501B-42B8-A07C-B60385B6244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Poppins"/>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231322</xdr:colOff>
      <xdr:row>25</xdr:row>
      <xdr:rowOff>163286</xdr:rowOff>
    </xdr:from>
    <xdr:ext cx="11892642" cy="3306535"/>
    <xdr:graphicFrame macro="">
      <xdr:nvGraphicFramePr>
        <xdr:cNvPr id="2" name="Chart 1" titl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185058</xdr:colOff>
      <xdr:row>12</xdr:row>
      <xdr:rowOff>180974</xdr:rowOff>
    </xdr:from>
    <xdr:ext cx="3747406" cy="2417989"/>
    <xdr:graphicFrame macro="">
      <xdr:nvGraphicFramePr>
        <xdr:cNvPr id="3" name="Chart 2" title="Chart">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16</xdr:col>
      <xdr:colOff>258535</xdr:colOff>
      <xdr:row>12</xdr:row>
      <xdr:rowOff>180973</xdr:rowOff>
    </xdr:from>
    <xdr:ext cx="4027715" cy="2431597"/>
    <xdr:graphicFrame macro="">
      <xdr:nvGraphicFramePr>
        <xdr:cNvPr id="4" name="Chart 3" title="Chart">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11</xdr:col>
      <xdr:colOff>413659</xdr:colOff>
      <xdr:row>12</xdr:row>
      <xdr:rowOff>180974</xdr:rowOff>
    </xdr:from>
    <xdr:ext cx="3954235" cy="2417989"/>
    <xdr:graphicFrame macro="">
      <xdr:nvGraphicFramePr>
        <xdr:cNvPr id="5" name="Chart 4" title="Chart">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uhammad Azra Fajriansyah" refreshedDate="46297.654952893521" refreshedVersion="8" recordCount="5620" xr:uid="{00000000-000A-0000-FFFF-FFFF00000000}">
  <cacheSource type="worksheet">
    <worksheetSource ref="A1:L5621" sheet="Master"/>
  </cacheSource>
  <cacheFields count="12">
    <cacheField name="Tanggal" numFmtId="164">
      <sharedItems containsBlank="1" count="31">
        <s v="20-09-2025"/>
        <s v="26-09-2025"/>
        <s v="19-09-2025"/>
        <s v="11-09-2025"/>
        <s v="02-09-2025"/>
        <s v="13-09-2025"/>
        <s v="14-09-2025"/>
        <s v="27-09-2025"/>
        <s v="01-09-2025"/>
        <s v="07-09-2025"/>
        <s v="22-09-2025"/>
        <s v="17-09-2025"/>
        <s v="08-09-2025"/>
        <s v="29-09-2025"/>
        <s v="10-09-2025"/>
        <s v="30-09-2025"/>
        <s v="24-09-2025"/>
        <s v="03-09-2025"/>
        <s v="06-09-2025"/>
        <s v="05-09-2025"/>
        <s v="12-09-2025"/>
        <s v="04-09-2025"/>
        <s v="23-09-2025"/>
        <s v="15-09-2025"/>
        <s v="25-09-2025"/>
        <s v="28-09-2025"/>
        <s v="16-09-2025"/>
        <s v="09-09-2025"/>
        <s v="21-09-2025"/>
        <s v="18-09-2025"/>
        <m/>
      </sharedItems>
    </cacheField>
    <cacheField name="Cabang" numFmtId="0">
      <sharedItems containsBlank="1"/>
    </cacheField>
    <cacheField name="ProdukID" numFmtId="0">
      <sharedItems containsBlank="1"/>
    </cacheField>
    <cacheField name="Qty" numFmtId="0">
      <sharedItems containsString="0" containsBlank="1" containsNumber="1" containsInteger="1" minValue="1" maxValue="5"/>
    </cacheField>
    <cacheField name="Harga" numFmtId="3">
      <sharedItems containsString="0" containsBlank="1" containsNumber="1" containsInteger="1" minValue="20000" maxValue="35000"/>
    </cacheField>
    <cacheField name="Total" numFmtId="3">
      <sharedItems containsString="0" containsBlank="1" containsNumber="1" containsInteger="1" minValue="20000" maxValue="175000"/>
    </cacheField>
    <cacheField name="Product" numFmtId="0">
      <sharedItems containsMixedTypes="1" containsNumber="1" containsInteger="1" minValue="0" maxValue="0"/>
    </cacheField>
    <cacheField name="Kategori" numFmtId="0">
      <sharedItems containsMixedTypes="1" containsNumber="1" containsInteger="1" minValue="0" maxValue="0"/>
    </cacheField>
    <cacheField name="Day" numFmtId="0">
      <sharedItems containsString="0" containsBlank="1" containsNumber="1" containsInteger="1" minValue="1" maxValue="30"/>
    </cacheField>
    <cacheField name="Month" numFmtId="0">
      <sharedItems containsString="0" containsBlank="1" containsNumber="1" containsInteger="1" minValue="9" maxValue="9"/>
    </cacheField>
    <cacheField name="Year" numFmtId="0">
      <sharedItems containsString="0" containsBlank="1" containsNumber="1" containsInteger="1" minValue="2025" maxValue="2025"/>
    </cacheField>
    <cacheField name="New Date" numFmtId="165">
      <sharedItems containsSemiMixedTypes="0" containsNonDate="0" containsDate="1" containsString="0" minDate="1899-12-30T00:00:00" maxDate="2025-10-01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20">
  <r>
    <x v="0"/>
    <s v="Makassar"/>
    <s v="P04"/>
    <n v="5"/>
    <n v="35000"/>
    <n v="175000"/>
    <s v="Americano"/>
    <s v="Coffee"/>
    <n v="20"/>
    <n v="9"/>
    <n v="2025"/>
    <d v="2025-09-20T00:00:00"/>
  </r>
  <r>
    <x v="1"/>
    <s v="Makassar"/>
    <s v="P05"/>
    <n v="1"/>
    <n v="20000"/>
    <n v="20000"/>
    <s v="Mocha"/>
    <s v="Chocolate"/>
    <n v="26"/>
    <n v="9"/>
    <n v="2025"/>
    <d v="2025-09-26T00:00:00"/>
  </r>
  <r>
    <x v="2"/>
    <s v="Makassar"/>
    <s v="P01"/>
    <n v="3"/>
    <n v="35000"/>
    <n v="105000"/>
    <s v="Cappuccino"/>
    <s v="Coffee"/>
    <n v="19"/>
    <n v="9"/>
    <n v="2025"/>
    <d v="2025-09-19T00:00:00"/>
  </r>
  <r>
    <x v="3"/>
    <s v="Makassar"/>
    <s v="P02"/>
    <n v="1"/>
    <n v="28000"/>
    <n v="28000"/>
    <s v="Latte"/>
    <s v="Coffee"/>
    <n v="11"/>
    <n v="9"/>
    <n v="2025"/>
    <d v="2025-09-11T00:00:00"/>
  </r>
  <r>
    <x v="4"/>
    <s v="Makassar"/>
    <s v="P03"/>
    <n v="1"/>
    <n v="30000"/>
    <n v="30000"/>
    <s v="Espresso"/>
    <s v="Coffee"/>
    <n v="2"/>
    <n v="9"/>
    <n v="2025"/>
    <d v="2025-09-02T00:00:00"/>
  </r>
  <r>
    <x v="5"/>
    <s v="Makassar"/>
    <s v="P04"/>
    <n v="1"/>
    <n v="35000"/>
    <n v="35000"/>
    <s v="Americano"/>
    <s v="Coffee"/>
    <n v="13"/>
    <n v="9"/>
    <n v="2025"/>
    <d v="2025-09-13T00:00:00"/>
  </r>
  <r>
    <x v="6"/>
    <s v="Makassar"/>
    <s v="P05"/>
    <n v="4"/>
    <n v="35000"/>
    <n v="140000"/>
    <s v="Mocha"/>
    <s v="Chocolate"/>
    <n v="14"/>
    <n v="9"/>
    <n v="2025"/>
    <d v="2025-09-14T00:00:00"/>
  </r>
  <r>
    <x v="7"/>
    <s v="Makassar"/>
    <s v="P03"/>
    <n v="5"/>
    <n v="25000"/>
    <n v="125000"/>
    <s v="Espresso"/>
    <s v="Coffee"/>
    <n v="27"/>
    <n v="9"/>
    <n v="2025"/>
    <d v="2025-09-27T00:00:00"/>
  </r>
  <r>
    <x v="8"/>
    <s v="Makassar"/>
    <s v="P04"/>
    <n v="1"/>
    <n v="30000"/>
    <n v="30000"/>
    <s v="Americano"/>
    <s v="Coffee"/>
    <n v="1"/>
    <n v="9"/>
    <n v="2025"/>
    <d v="2025-09-01T00:00:00"/>
  </r>
  <r>
    <x v="9"/>
    <s v="Makassar"/>
    <s v="P05"/>
    <n v="4"/>
    <n v="20000"/>
    <n v="80000"/>
    <s v="Mocha"/>
    <s v="Chocolate"/>
    <n v="7"/>
    <n v="9"/>
    <n v="2025"/>
    <d v="2025-09-07T00:00:00"/>
  </r>
  <r>
    <x v="10"/>
    <s v="Makassar"/>
    <s v="P01"/>
    <n v="1"/>
    <n v="25000"/>
    <n v="25000"/>
    <s v="Cappuccino"/>
    <s v="Coffee"/>
    <n v="22"/>
    <n v="9"/>
    <n v="2025"/>
    <d v="2025-09-22T00:00:00"/>
  </r>
  <r>
    <x v="6"/>
    <s v="Makassar"/>
    <s v="P02"/>
    <n v="3"/>
    <n v="30000"/>
    <n v="90000"/>
    <s v="Latte"/>
    <s v="Coffee"/>
    <n v="14"/>
    <n v="9"/>
    <n v="2025"/>
    <d v="2025-09-14T00:00:00"/>
  </r>
  <r>
    <x v="11"/>
    <s v="Makassar"/>
    <s v="P03"/>
    <n v="5"/>
    <n v="35000"/>
    <n v="175000"/>
    <s v="Espresso"/>
    <s v="Coffee"/>
    <n v="17"/>
    <n v="9"/>
    <n v="2025"/>
    <d v="2025-09-17T00:00:00"/>
  </r>
  <r>
    <x v="6"/>
    <s v="Makassar"/>
    <s v="P04"/>
    <n v="3"/>
    <n v="30000"/>
    <n v="90000"/>
    <s v="Americano"/>
    <s v="Coffee"/>
    <n v="14"/>
    <n v="9"/>
    <n v="2025"/>
    <d v="2025-09-14T00:00:00"/>
  </r>
  <r>
    <x v="3"/>
    <s v="Makassar"/>
    <s v="P05"/>
    <n v="3"/>
    <n v="25000"/>
    <n v="75000"/>
    <s v="Mocha"/>
    <s v="Chocolate"/>
    <n v="11"/>
    <n v="9"/>
    <n v="2025"/>
    <d v="2025-09-11T00:00:00"/>
  </r>
  <r>
    <x v="10"/>
    <s v="Makassar"/>
    <s v="P01"/>
    <n v="1"/>
    <n v="35000"/>
    <n v="35000"/>
    <s v="Cappuccino"/>
    <s v="Coffee"/>
    <n v="22"/>
    <n v="9"/>
    <n v="2025"/>
    <d v="2025-09-22T00:00:00"/>
  </r>
  <r>
    <x v="12"/>
    <s v="Makassar"/>
    <s v="P02"/>
    <n v="1"/>
    <n v="25000"/>
    <n v="25000"/>
    <s v="Latte"/>
    <s v="Coffee"/>
    <n v="8"/>
    <n v="9"/>
    <n v="2025"/>
    <d v="2025-09-08T00:00:00"/>
  </r>
  <r>
    <x v="12"/>
    <s v="Makassar"/>
    <s v="P03"/>
    <n v="3"/>
    <n v="35000"/>
    <n v="105000"/>
    <s v="Espresso"/>
    <s v="Coffee"/>
    <n v="8"/>
    <n v="9"/>
    <n v="2025"/>
    <d v="2025-09-08T00:00:00"/>
  </r>
  <r>
    <x v="13"/>
    <s v="Makassar"/>
    <s v="P04"/>
    <n v="5"/>
    <n v="20000"/>
    <n v="100000"/>
    <s v="Americano"/>
    <s v="Coffee"/>
    <n v="29"/>
    <n v="9"/>
    <n v="2025"/>
    <d v="2025-09-29T00:00:00"/>
  </r>
  <r>
    <x v="2"/>
    <s v="Makassar"/>
    <s v="P05"/>
    <n v="4"/>
    <n v="20000"/>
    <n v="80000"/>
    <s v="Mocha"/>
    <s v="Chocolate"/>
    <n v="19"/>
    <n v="9"/>
    <n v="2025"/>
    <d v="2025-09-19T00:00:00"/>
  </r>
  <r>
    <x v="14"/>
    <s v="Makassar"/>
    <s v="P01"/>
    <n v="2"/>
    <n v="30000"/>
    <n v="60000"/>
    <s v="Cappuccino"/>
    <s v="Coffee"/>
    <n v="10"/>
    <n v="9"/>
    <n v="2025"/>
    <d v="2025-09-10T00:00:00"/>
  </r>
  <r>
    <x v="15"/>
    <s v="Makassar"/>
    <s v="P02"/>
    <n v="5"/>
    <n v="30000"/>
    <n v="150000"/>
    <s v="Latte"/>
    <s v="Coffee"/>
    <n v="30"/>
    <n v="9"/>
    <n v="2025"/>
    <d v="2025-09-30T00:00:00"/>
  </r>
  <r>
    <x v="12"/>
    <s v="Makassar"/>
    <s v="P03"/>
    <n v="1"/>
    <n v="25000"/>
    <n v="25000"/>
    <s v="Espresso"/>
    <s v="Coffee"/>
    <n v="8"/>
    <n v="9"/>
    <n v="2025"/>
    <d v="2025-09-08T00:00:00"/>
  </r>
  <r>
    <x v="13"/>
    <s v="Makassar"/>
    <s v="P04"/>
    <n v="5"/>
    <n v="30000"/>
    <n v="150000"/>
    <s v="Americano"/>
    <s v="Coffee"/>
    <n v="29"/>
    <n v="9"/>
    <n v="2025"/>
    <d v="2025-09-29T00:00:00"/>
  </r>
  <r>
    <x v="10"/>
    <s v="Makassar"/>
    <s v="P05"/>
    <n v="4"/>
    <n v="28000"/>
    <n v="112000"/>
    <s v="Mocha"/>
    <s v="Chocolate"/>
    <n v="22"/>
    <n v="9"/>
    <n v="2025"/>
    <d v="2025-09-22T00:00:00"/>
  </r>
  <r>
    <x v="16"/>
    <s v="Makassar"/>
    <s v="P01"/>
    <n v="2"/>
    <n v="25000"/>
    <n v="50000"/>
    <s v="Cappuccino"/>
    <s v="Coffee"/>
    <n v="24"/>
    <n v="9"/>
    <n v="2025"/>
    <d v="2025-09-24T00:00:00"/>
  </r>
  <r>
    <x v="10"/>
    <s v="Makassar"/>
    <s v="P02"/>
    <n v="1"/>
    <n v="30000"/>
    <n v="30000"/>
    <s v="Latte"/>
    <s v="Coffee"/>
    <n v="22"/>
    <n v="9"/>
    <n v="2025"/>
    <d v="2025-09-22T00:00:00"/>
  </r>
  <r>
    <x v="17"/>
    <s v="Makassar"/>
    <s v="P03"/>
    <n v="1"/>
    <n v="25000"/>
    <n v="25000"/>
    <s v="Espresso"/>
    <s v="Coffee"/>
    <n v="3"/>
    <n v="9"/>
    <n v="2025"/>
    <d v="2025-09-03T00:00:00"/>
  </r>
  <r>
    <x v="9"/>
    <s v="Makassar"/>
    <s v="P04"/>
    <n v="3"/>
    <n v="30000"/>
    <n v="90000"/>
    <s v="Americano"/>
    <s v="Coffee"/>
    <n v="7"/>
    <n v="9"/>
    <n v="2025"/>
    <d v="2025-09-07T00:00:00"/>
  </r>
  <r>
    <x v="18"/>
    <s v="Makassar"/>
    <s v="P05"/>
    <n v="1"/>
    <n v="35000"/>
    <n v="35000"/>
    <s v="Mocha"/>
    <s v="Chocolate"/>
    <n v="6"/>
    <n v="9"/>
    <n v="2025"/>
    <d v="2025-09-06T00:00:00"/>
  </r>
  <r>
    <x v="19"/>
    <s v="Makassar"/>
    <s v="P01"/>
    <n v="1"/>
    <n v="25000"/>
    <n v="25000"/>
    <s v="Cappuccino"/>
    <s v="Coffee"/>
    <n v="5"/>
    <n v="9"/>
    <n v="2025"/>
    <d v="2025-09-05T00:00:00"/>
  </r>
  <r>
    <x v="20"/>
    <s v="Makassar"/>
    <s v="P02"/>
    <n v="1"/>
    <n v="25000"/>
    <n v="25000"/>
    <s v="Latte"/>
    <s v="Coffee"/>
    <n v="12"/>
    <n v="9"/>
    <n v="2025"/>
    <d v="2025-09-12T00:00:00"/>
  </r>
  <r>
    <x v="21"/>
    <s v="Makassar"/>
    <s v="P03"/>
    <n v="2"/>
    <n v="28000"/>
    <n v="56000"/>
    <s v="Espresso"/>
    <s v="Coffee"/>
    <n v="4"/>
    <n v="9"/>
    <n v="2025"/>
    <d v="2025-09-04T00:00:00"/>
  </r>
  <r>
    <x v="22"/>
    <s v="Makassar"/>
    <s v="P04"/>
    <n v="3"/>
    <n v="30000"/>
    <n v="90000"/>
    <s v="Americano"/>
    <s v="Coffee"/>
    <n v="23"/>
    <n v="9"/>
    <n v="2025"/>
    <d v="2025-09-23T00:00:00"/>
  </r>
  <r>
    <x v="0"/>
    <s v="Makassar"/>
    <s v="P05"/>
    <n v="3"/>
    <n v="28000"/>
    <n v="84000"/>
    <s v="Mocha"/>
    <s v="Chocolate"/>
    <n v="20"/>
    <n v="9"/>
    <n v="2025"/>
    <d v="2025-09-20T00:00:00"/>
  </r>
  <r>
    <x v="23"/>
    <s v="Makassar"/>
    <s v="P01"/>
    <n v="2"/>
    <n v="35000"/>
    <n v="70000"/>
    <s v="Cappuccino"/>
    <s v="Coffee"/>
    <n v="15"/>
    <n v="9"/>
    <n v="2025"/>
    <d v="2025-09-15T00:00:00"/>
  </r>
  <r>
    <x v="4"/>
    <s v="Makassar"/>
    <s v="P02"/>
    <n v="1"/>
    <n v="20000"/>
    <n v="20000"/>
    <s v="Latte"/>
    <s v="Coffee"/>
    <n v="2"/>
    <n v="9"/>
    <n v="2025"/>
    <d v="2025-09-02T00:00:00"/>
  </r>
  <r>
    <x v="20"/>
    <s v="Makassar"/>
    <s v="P03"/>
    <n v="2"/>
    <n v="28000"/>
    <n v="56000"/>
    <s v="Espresso"/>
    <s v="Coffee"/>
    <n v="12"/>
    <n v="9"/>
    <n v="2025"/>
    <d v="2025-09-12T00:00:00"/>
  </r>
  <r>
    <x v="12"/>
    <s v="Makassar"/>
    <s v="P04"/>
    <n v="1"/>
    <n v="20000"/>
    <n v="20000"/>
    <s v="Americano"/>
    <s v="Coffee"/>
    <n v="8"/>
    <n v="9"/>
    <n v="2025"/>
    <d v="2025-09-08T00:00:00"/>
  </r>
  <r>
    <x v="16"/>
    <s v="Makassar"/>
    <s v="P05"/>
    <n v="5"/>
    <n v="25000"/>
    <n v="125000"/>
    <s v="Mocha"/>
    <s v="Chocolate"/>
    <n v="24"/>
    <n v="9"/>
    <n v="2025"/>
    <d v="2025-09-24T00:00:00"/>
  </r>
  <r>
    <x v="8"/>
    <s v="Makassar"/>
    <s v="P03"/>
    <n v="1"/>
    <n v="35000"/>
    <n v="35000"/>
    <s v="Espresso"/>
    <s v="Coffee"/>
    <n v="1"/>
    <n v="9"/>
    <n v="2025"/>
    <d v="2025-09-01T00:00:00"/>
  </r>
  <r>
    <x v="18"/>
    <s v="Makassar"/>
    <s v="P04"/>
    <n v="3"/>
    <n v="20000"/>
    <n v="60000"/>
    <s v="Americano"/>
    <s v="Coffee"/>
    <n v="6"/>
    <n v="9"/>
    <n v="2025"/>
    <d v="2025-09-06T00:00:00"/>
  </r>
  <r>
    <x v="24"/>
    <s v="Makassar"/>
    <s v="P05"/>
    <n v="1"/>
    <n v="28000"/>
    <n v="28000"/>
    <s v="Mocha"/>
    <s v="Chocolate"/>
    <n v="25"/>
    <n v="9"/>
    <n v="2025"/>
    <d v="2025-09-25T00:00:00"/>
  </r>
  <r>
    <x v="5"/>
    <s v="Makassar"/>
    <s v="P01"/>
    <n v="5"/>
    <n v="25000"/>
    <n v="125000"/>
    <s v="Cappuccino"/>
    <s v="Coffee"/>
    <n v="13"/>
    <n v="9"/>
    <n v="2025"/>
    <d v="2025-09-13T00:00:00"/>
  </r>
  <r>
    <x v="0"/>
    <s v="Makassar"/>
    <s v="P02"/>
    <n v="5"/>
    <n v="30000"/>
    <n v="150000"/>
    <s v="Latte"/>
    <s v="Coffee"/>
    <n v="20"/>
    <n v="9"/>
    <n v="2025"/>
    <d v="2025-09-20T00:00:00"/>
  </r>
  <r>
    <x v="25"/>
    <s v="Makassar"/>
    <s v="P03"/>
    <n v="4"/>
    <n v="20000"/>
    <n v="80000"/>
    <s v="Espresso"/>
    <s v="Coffee"/>
    <n v="28"/>
    <n v="9"/>
    <n v="2025"/>
    <d v="2025-09-28T00:00:00"/>
  </r>
  <r>
    <x v="21"/>
    <s v="Makassar"/>
    <s v="P04"/>
    <n v="4"/>
    <n v="35000"/>
    <n v="140000"/>
    <s v="Americano"/>
    <s v="Coffee"/>
    <n v="4"/>
    <n v="9"/>
    <n v="2025"/>
    <d v="2025-09-04T00:00:00"/>
  </r>
  <r>
    <x v="21"/>
    <s v="Makassar"/>
    <s v="P05"/>
    <n v="3"/>
    <n v="20000"/>
    <n v="60000"/>
    <s v="Mocha"/>
    <s v="Chocolate"/>
    <n v="4"/>
    <n v="9"/>
    <n v="2025"/>
    <d v="2025-09-04T00:00:00"/>
  </r>
  <r>
    <x v="21"/>
    <s v="Makassar"/>
    <s v="P01"/>
    <n v="1"/>
    <n v="28000"/>
    <n v="28000"/>
    <s v="Cappuccino"/>
    <s v="Coffee"/>
    <n v="4"/>
    <n v="9"/>
    <n v="2025"/>
    <d v="2025-09-04T00:00:00"/>
  </r>
  <r>
    <x v="11"/>
    <s v="Makassar"/>
    <s v="P04"/>
    <n v="1"/>
    <n v="35000"/>
    <n v="35000"/>
    <s v="Americano"/>
    <s v="Coffee"/>
    <n v="17"/>
    <n v="9"/>
    <n v="2025"/>
    <d v="2025-09-17T00:00:00"/>
  </r>
  <r>
    <x v="3"/>
    <s v="Makassar"/>
    <s v="P05"/>
    <n v="2"/>
    <n v="20000"/>
    <n v="40000"/>
    <s v="Mocha"/>
    <s v="Chocolate"/>
    <n v="11"/>
    <n v="9"/>
    <n v="2025"/>
    <d v="2025-09-11T00:00:00"/>
  </r>
  <r>
    <x v="17"/>
    <s v="Makassar"/>
    <s v="P03"/>
    <n v="3"/>
    <n v="35000"/>
    <n v="105000"/>
    <s v="Espresso"/>
    <s v="Coffee"/>
    <n v="3"/>
    <n v="9"/>
    <n v="2025"/>
    <d v="2025-09-03T00:00:00"/>
  </r>
  <r>
    <x v="2"/>
    <s v="Makassar"/>
    <s v="P04"/>
    <n v="5"/>
    <n v="28000"/>
    <n v="140000"/>
    <s v="Americano"/>
    <s v="Coffee"/>
    <n v="19"/>
    <n v="9"/>
    <n v="2025"/>
    <d v="2025-09-19T00:00:00"/>
  </r>
  <r>
    <x v="25"/>
    <s v="Makassar"/>
    <s v="P05"/>
    <n v="2"/>
    <n v="28000"/>
    <n v="56000"/>
    <s v="Mocha"/>
    <s v="Chocolate"/>
    <n v="28"/>
    <n v="9"/>
    <n v="2025"/>
    <d v="2025-09-28T00:00:00"/>
  </r>
  <r>
    <x v="5"/>
    <s v="Makassar"/>
    <s v="P01"/>
    <n v="5"/>
    <n v="25000"/>
    <n v="125000"/>
    <s v="Cappuccino"/>
    <s v="Coffee"/>
    <n v="13"/>
    <n v="9"/>
    <n v="2025"/>
    <d v="2025-09-13T00:00:00"/>
  </r>
  <r>
    <x v="15"/>
    <s v="Makassar"/>
    <s v="P02"/>
    <n v="5"/>
    <n v="20000"/>
    <n v="100000"/>
    <s v="Latte"/>
    <s v="Coffee"/>
    <n v="30"/>
    <n v="9"/>
    <n v="2025"/>
    <d v="2025-09-30T00:00:00"/>
  </r>
  <r>
    <x v="15"/>
    <s v="Makassar"/>
    <s v="P03"/>
    <n v="1"/>
    <n v="28000"/>
    <n v="28000"/>
    <s v="Espresso"/>
    <s v="Coffee"/>
    <n v="30"/>
    <n v="9"/>
    <n v="2025"/>
    <d v="2025-09-30T00:00:00"/>
  </r>
  <r>
    <x v="26"/>
    <s v="Makassar"/>
    <s v="P04"/>
    <n v="3"/>
    <n v="25000"/>
    <n v="75000"/>
    <s v="Americano"/>
    <s v="Coffee"/>
    <n v="16"/>
    <n v="9"/>
    <n v="2025"/>
    <d v="2025-09-16T00:00:00"/>
  </r>
  <r>
    <x v="2"/>
    <s v="Makassar"/>
    <s v="P05"/>
    <n v="1"/>
    <n v="20000"/>
    <n v="20000"/>
    <s v="Mocha"/>
    <s v="Chocolate"/>
    <n v="19"/>
    <n v="9"/>
    <n v="2025"/>
    <d v="2025-09-19T00:00:00"/>
  </r>
  <r>
    <x v="16"/>
    <s v="Makassar"/>
    <s v="P01"/>
    <n v="4"/>
    <n v="28000"/>
    <n v="112000"/>
    <s v="Cappuccino"/>
    <s v="Coffee"/>
    <n v="24"/>
    <n v="9"/>
    <n v="2025"/>
    <d v="2025-09-24T00:00:00"/>
  </r>
  <r>
    <x v="7"/>
    <s v="Makassar"/>
    <s v="P02"/>
    <n v="1"/>
    <n v="30000"/>
    <n v="30000"/>
    <s v="Latte"/>
    <s v="Coffee"/>
    <n v="27"/>
    <n v="9"/>
    <n v="2025"/>
    <d v="2025-09-27T00:00:00"/>
  </r>
  <r>
    <x v="27"/>
    <s v="Makassar"/>
    <s v="P03"/>
    <n v="3"/>
    <n v="25000"/>
    <n v="75000"/>
    <s v="Espresso"/>
    <s v="Coffee"/>
    <n v="9"/>
    <n v="9"/>
    <n v="2025"/>
    <d v="2025-09-09T00:00:00"/>
  </r>
  <r>
    <x v="3"/>
    <s v="Makassar"/>
    <s v="P04"/>
    <n v="1"/>
    <n v="30000"/>
    <n v="30000"/>
    <s v="Americano"/>
    <s v="Coffee"/>
    <n v="11"/>
    <n v="9"/>
    <n v="2025"/>
    <d v="2025-09-11T00:00:00"/>
  </r>
  <r>
    <x v="14"/>
    <s v="Makassar"/>
    <s v="P05"/>
    <n v="5"/>
    <n v="25000"/>
    <n v="125000"/>
    <s v="Mocha"/>
    <s v="Chocolate"/>
    <n v="10"/>
    <n v="9"/>
    <n v="2025"/>
    <d v="2025-09-10T00:00:00"/>
  </r>
  <r>
    <x v="25"/>
    <s v="Makassar"/>
    <s v="P01"/>
    <n v="5"/>
    <n v="28000"/>
    <n v="140000"/>
    <s v="Cappuccino"/>
    <s v="Coffee"/>
    <n v="28"/>
    <n v="9"/>
    <n v="2025"/>
    <d v="2025-09-28T00:00:00"/>
  </r>
  <r>
    <x v="28"/>
    <s v="Makassar"/>
    <s v="P02"/>
    <n v="4"/>
    <n v="35000"/>
    <n v="140000"/>
    <s v="Latte"/>
    <s v="Coffee"/>
    <n v="21"/>
    <n v="9"/>
    <n v="2025"/>
    <d v="2025-09-21T00:00:00"/>
  </r>
  <r>
    <x v="7"/>
    <s v="Makassar"/>
    <s v="P03"/>
    <n v="1"/>
    <n v="35000"/>
    <n v="35000"/>
    <s v="Espresso"/>
    <s v="Coffee"/>
    <n v="27"/>
    <n v="9"/>
    <n v="2025"/>
    <d v="2025-09-27T00:00:00"/>
  </r>
  <r>
    <x v="2"/>
    <s v="Makassar"/>
    <s v="P04"/>
    <n v="1"/>
    <n v="25000"/>
    <n v="25000"/>
    <s v="Americano"/>
    <s v="Coffee"/>
    <n v="19"/>
    <n v="9"/>
    <n v="2025"/>
    <d v="2025-09-19T00:00:00"/>
  </r>
  <r>
    <x v="24"/>
    <s v="Makassar"/>
    <s v="P05"/>
    <n v="2"/>
    <n v="35000"/>
    <n v="70000"/>
    <s v="Mocha"/>
    <s v="Chocolate"/>
    <n v="25"/>
    <n v="9"/>
    <n v="2025"/>
    <d v="2025-09-25T00:00:00"/>
  </r>
  <r>
    <x v="14"/>
    <s v="Makassar"/>
    <s v="P01"/>
    <n v="5"/>
    <n v="35000"/>
    <n v="175000"/>
    <s v="Cappuccino"/>
    <s v="Coffee"/>
    <n v="10"/>
    <n v="9"/>
    <n v="2025"/>
    <d v="2025-09-10T00:00:00"/>
  </r>
  <r>
    <x v="8"/>
    <s v="Makassar"/>
    <s v="P02"/>
    <n v="3"/>
    <n v="20000"/>
    <n v="60000"/>
    <s v="Latte"/>
    <s v="Coffee"/>
    <n v="1"/>
    <n v="9"/>
    <n v="2025"/>
    <d v="2025-09-01T00:00:00"/>
  </r>
  <r>
    <x v="21"/>
    <s v="Makassar"/>
    <s v="P03"/>
    <n v="1"/>
    <n v="30000"/>
    <n v="30000"/>
    <s v="Espresso"/>
    <s v="Coffee"/>
    <n v="4"/>
    <n v="9"/>
    <n v="2025"/>
    <d v="2025-09-04T00:00:00"/>
  </r>
  <r>
    <x v="26"/>
    <s v="Makassar"/>
    <s v="P04"/>
    <n v="1"/>
    <n v="35000"/>
    <n v="35000"/>
    <s v="Americano"/>
    <s v="Coffee"/>
    <n v="16"/>
    <n v="9"/>
    <n v="2025"/>
    <d v="2025-09-16T00:00:00"/>
  </r>
  <r>
    <x v="16"/>
    <s v="Makassar"/>
    <s v="P05"/>
    <n v="1"/>
    <n v="30000"/>
    <n v="30000"/>
    <s v="Mocha"/>
    <s v="Chocolate"/>
    <n v="24"/>
    <n v="9"/>
    <n v="2025"/>
    <d v="2025-09-24T00:00:00"/>
  </r>
  <r>
    <x v="10"/>
    <s v="Makassar"/>
    <s v="P01"/>
    <n v="1"/>
    <n v="28000"/>
    <n v="28000"/>
    <s v="Cappuccino"/>
    <s v="Coffee"/>
    <n v="22"/>
    <n v="9"/>
    <n v="2025"/>
    <d v="2025-09-22T00:00:00"/>
  </r>
  <r>
    <x v="6"/>
    <s v="Makassar"/>
    <s v="P02"/>
    <n v="4"/>
    <n v="35000"/>
    <n v="140000"/>
    <s v="Latte"/>
    <s v="Coffee"/>
    <n v="14"/>
    <n v="9"/>
    <n v="2025"/>
    <d v="2025-09-14T00:00:00"/>
  </r>
  <r>
    <x v="26"/>
    <s v="Makassar"/>
    <s v="P03"/>
    <n v="1"/>
    <n v="25000"/>
    <n v="25000"/>
    <s v="Espresso"/>
    <s v="Coffee"/>
    <n v="16"/>
    <n v="9"/>
    <n v="2025"/>
    <d v="2025-09-16T00:00:00"/>
  </r>
  <r>
    <x v="24"/>
    <s v="Makassar"/>
    <s v="P04"/>
    <n v="1"/>
    <n v="35000"/>
    <n v="35000"/>
    <s v="Americano"/>
    <s v="Coffee"/>
    <n v="25"/>
    <n v="9"/>
    <n v="2025"/>
    <d v="2025-09-25T00:00:00"/>
  </r>
  <r>
    <x v="16"/>
    <s v="Makassar"/>
    <s v="P05"/>
    <n v="3"/>
    <n v="20000"/>
    <n v="60000"/>
    <s v="Mocha"/>
    <s v="Chocolate"/>
    <n v="24"/>
    <n v="9"/>
    <n v="2025"/>
    <d v="2025-09-24T00:00:00"/>
  </r>
  <r>
    <x v="28"/>
    <s v="Makassar"/>
    <s v="P01"/>
    <n v="1"/>
    <n v="20000"/>
    <n v="20000"/>
    <s v="Cappuccino"/>
    <s v="Coffee"/>
    <n v="21"/>
    <n v="9"/>
    <n v="2025"/>
    <d v="2025-09-21T00:00:00"/>
  </r>
  <r>
    <x v="3"/>
    <s v="Makassar"/>
    <s v="P02"/>
    <n v="3"/>
    <n v="35000"/>
    <n v="105000"/>
    <s v="Latte"/>
    <s v="Coffee"/>
    <n v="11"/>
    <n v="9"/>
    <n v="2025"/>
    <d v="2025-09-11T00:00:00"/>
  </r>
  <r>
    <x v="21"/>
    <s v="Makassar"/>
    <s v="P03"/>
    <n v="2"/>
    <n v="25000"/>
    <n v="50000"/>
    <s v="Espresso"/>
    <s v="Coffee"/>
    <n v="4"/>
    <n v="9"/>
    <n v="2025"/>
    <d v="2025-09-04T00:00:00"/>
  </r>
  <r>
    <x v="21"/>
    <s v="Makassar"/>
    <s v="P04"/>
    <n v="3"/>
    <n v="25000"/>
    <n v="75000"/>
    <s v="Americano"/>
    <s v="Coffee"/>
    <n v="4"/>
    <n v="9"/>
    <n v="2025"/>
    <d v="2025-09-04T00:00:00"/>
  </r>
  <r>
    <x v="17"/>
    <s v="Makassar"/>
    <s v="P05"/>
    <n v="2"/>
    <n v="30000"/>
    <n v="60000"/>
    <s v="Mocha"/>
    <s v="Chocolate"/>
    <n v="3"/>
    <n v="9"/>
    <n v="2025"/>
    <d v="2025-09-03T00:00:00"/>
  </r>
  <r>
    <x v="3"/>
    <s v="Makassar"/>
    <s v="P03"/>
    <n v="3"/>
    <n v="30000"/>
    <n v="90000"/>
    <s v="Espresso"/>
    <s v="Coffee"/>
    <n v="11"/>
    <n v="9"/>
    <n v="2025"/>
    <d v="2025-09-11T00:00:00"/>
  </r>
  <r>
    <x v="5"/>
    <s v="Makassar"/>
    <s v="P04"/>
    <n v="2"/>
    <n v="20000"/>
    <n v="40000"/>
    <s v="Americano"/>
    <s v="Coffee"/>
    <n v="13"/>
    <n v="9"/>
    <n v="2025"/>
    <d v="2025-09-13T00:00:00"/>
  </r>
  <r>
    <x v="9"/>
    <s v="Makassar"/>
    <s v="P05"/>
    <n v="1"/>
    <n v="20000"/>
    <n v="20000"/>
    <s v="Mocha"/>
    <s v="Chocolate"/>
    <n v="7"/>
    <n v="9"/>
    <n v="2025"/>
    <d v="2025-09-07T00:00:00"/>
  </r>
  <r>
    <x v="24"/>
    <s v="Makassar"/>
    <s v="P04"/>
    <n v="1"/>
    <n v="20000"/>
    <n v="20000"/>
    <s v="Americano"/>
    <s v="Coffee"/>
    <n v="25"/>
    <n v="9"/>
    <n v="2025"/>
    <d v="2025-09-25T00:00:00"/>
  </r>
  <r>
    <x v="7"/>
    <s v="Makassar"/>
    <s v="P05"/>
    <n v="5"/>
    <n v="25000"/>
    <n v="125000"/>
    <s v="Mocha"/>
    <s v="Chocolate"/>
    <n v="27"/>
    <n v="9"/>
    <n v="2025"/>
    <d v="2025-09-27T00:00:00"/>
  </r>
  <r>
    <x v="19"/>
    <s v="Makassar"/>
    <s v="P03"/>
    <n v="4"/>
    <n v="28000"/>
    <n v="112000"/>
    <s v="Espresso"/>
    <s v="Coffee"/>
    <n v="5"/>
    <n v="9"/>
    <n v="2025"/>
    <d v="2025-09-05T00:00:00"/>
  </r>
  <r>
    <x v="5"/>
    <s v="Makassar"/>
    <s v="P04"/>
    <n v="5"/>
    <n v="25000"/>
    <n v="125000"/>
    <s v="Americano"/>
    <s v="Coffee"/>
    <n v="13"/>
    <n v="9"/>
    <n v="2025"/>
    <d v="2025-09-13T00:00:00"/>
  </r>
  <r>
    <x v="27"/>
    <s v="Makassar"/>
    <s v="P05"/>
    <n v="2"/>
    <n v="28000"/>
    <n v="56000"/>
    <s v="Mocha"/>
    <s v="Chocolate"/>
    <n v="9"/>
    <n v="9"/>
    <n v="2025"/>
    <d v="2025-09-09T00:00:00"/>
  </r>
  <r>
    <x v="28"/>
    <s v="Makassar"/>
    <s v="P01"/>
    <n v="1"/>
    <n v="25000"/>
    <n v="25000"/>
    <s v="Cappuccino"/>
    <s v="Coffee"/>
    <n v="21"/>
    <n v="9"/>
    <n v="2025"/>
    <d v="2025-09-21T00:00:00"/>
  </r>
  <r>
    <x v="19"/>
    <s v="Makassar"/>
    <s v="P02"/>
    <n v="2"/>
    <n v="20000"/>
    <n v="40000"/>
    <s v="Latte"/>
    <s v="Coffee"/>
    <n v="5"/>
    <n v="9"/>
    <n v="2025"/>
    <d v="2025-09-05T00:00:00"/>
  </r>
  <r>
    <x v="16"/>
    <s v="Makassar"/>
    <s v="P03"/>
    <n v="1"/>
    <n v="28000"/>
    <n v="28000"/>
    <s v="Espresso"/>
    <s v="Coffee"/>
    <n v="24"/>
    <n v="9"/>
    <n v="2025"/>
    <d v="2025-09-24T00:00:00"/>
  </r>
  <r>
    <x v="27"/>
    <s v="Makassar"/>
    <s v="P04"/>
    <n v="3"/>
    <n v="28000"/>
    <n v="84000"/>
    <s v="Americano"/>
    <s v="Coffee"/>
    <n v="9"/>
    <n v="9"/>
    <n v="2025"/>
    <d v="2025-09-09T00:00:00"/>
  </r>
  <r>
    <x v="16"/>
    <s v="Makassar"/>
    <s v="P05"/>
    <n v="4"/>
    <n v="20000"/>
    <n v="80000"/>
    <s v="Mocha"/>
    <s v="Chocolate"/>
    <n v="24"/>
    <n v="9"/>
    <n v="2025"/>
    <d v="2025-09-24T00:00:00"/>
  </r>
  <r>
    <x v="4"/>
    <s v="Makassar"/>
    <s v="P01"/>
    <n v="2"/>
    <n v="25000"/>
    <n v="50000"/>
    <s v="Cappuccino"/>
    <s v="Coffee"/>
    <n v="2"/>
    <n v="9"/>
    <n v="2025"/>
    <d v="2025-09-02T00:00:00"/>
  </r>
  <r>
    <x v="4"/>
    <s v="Makassar"/>
    <s v="P02"/>
    <n v="1"/>
    <n v="28000"/>
    <n v="28000"/>
    <s v="Latte"/>
    <s v="Coffee"/>
    <n v="2"/>
    <n v="9"/>
    <n v="2025"/>
    <d v="2025-09-02T00:00:00"/>
  </r>
  <r>
    <x v="25"/>
    <s v="Makassar"/>
    <s v="P03"/>
    <n v="4"/>
    <n v="28000"/>
    <n v="112000"/>
    <s v="Espresso"/>
    <s v="Coffee"/>
    <n v="28"/>
    <n v="9"/>
    <n v="2025"/>
    <d v="2025-09-28T00:00:00"/>
  </r>
  <r>
    <x v="10"/>
    <s v="Makassar"/>
    <s v="P04"/>
    <n v="1"/>
    <n v="35000"/>
    <n v="35000"/>
    <s v="Americano"/>
    <s v="Coffee"/>
    <n v="22"/>
    <n v="9"/>
    <n v="2025"/>
    <d v="2025-09-22T00:00:00"/>
  </r>
  <r>
    <x v="27"/>
    <s v="Makassar"/>
    <s v="P05"/>
    <n v="1"/>
    <n v="25000"/>
    <n v="25000"/>
    <s v="Mocha"/>
    <s v="Chocolate"/>
    <n v="9"/>
    <n v="9"/>
    <n v="2025"/>
    <d v="2025-09-09T00:00:00"/>
  </r>
  <r>
    <x v="24"/>
    <s v="Makassar"/>
    <s v="P01"/>
    <n v="4"/>
    <n v="30000"/>
    <n v="120000"/>
    <s v="Cappuccino"/>
    <s v="Coffee"/>
    <n v="25"/>
    <n v="9"/>
    <n v="2025"/>
    <d v="2025-09-25T00:00:00"/>
  </r>
  <r>
    <x v="15"/>
    <s v="Makassar"/>
    <s v="P02"/>
    <n v="3"/>
    <n v="25000"/>
    <n v="75000"/>
    <s v="Latte"/>
    <s v="Coffee"/>
    <n v="30"/>
    <n v="9"/>
    <n v="2025"/>
    <d v="2025-09-30T00:00:00"/>
  </r>
  <r>
    <x v="13"/>
    <s v="Makassar"/>
    <s v="P03"/>
    <n v="1"/>
    <n v="25000"/>
    <n v="25000"/>
    <s v="Espresso"/>
    <s v="Coffee"/>
    <n v="29"/>
    <n v="9"/>
    <n v="2025"/>
    <d v="2025-09-29T00:00:00"/>
  </r>
  <r>
    <x v="1"/>
    <s v="Makassar"/>
    <s v="P04"/>
    <n v="5"/>
    <n v="35000"/>
    <n v="175000"/>
    <s v="Americano"/>
    <s v="Coffee"/>
    <n v="26"/>
    <n v="9"/>
    <n v="2025"/>
    <d v="2025-09-26T00:00:00"/>
  </r>
  <r>
    <x v="27"/>
    <s v="Makassar"/>
    <s v="P05"/>
    <n v="4"/>
    <n v="25000"/>
    <n v="100000"/>
    <s v="Mocha"/>
    <s v="Chocolate"/>
    <n v="9"/>
    <n v="9"/>
    <n v="2025"/>
    <d v="2025-09-09T00:00:00"/>
  </r>
  <r>
    <x v="7"/>
    <s v="Makassar"/>
    <s v="P01"/>
    <n v="3"/>
    <n v="30000"/>
    <n v="90000"/>
    <s v="Cappuccino"/>
    <s v="Coffee"/>
    <n v="27"/>
    <n v="9"/>
    <n v="2025"/>
    <d v="2025-09-27T00:00:00"/>
  </r>
  <r>
    <x v="21"/>
    <s v="Makassar"/>
    <s v="P02"/>
    <n v="1"/>
    <n v="25000"/>
    <n v="25000"/>
    <s v="Latte"/>
    <s v="Coffee"/>
    <n v="4"/>
    <n v="9"/>
    <n v="2025"/>
    <d v="2025-09-04T00:00:00"/>
  </r>
  <r>
    <x v="0"/>
    <s v="Makassar"/>
    <s v="P03"/>
    <n v="1"/>
    <n v="28000"/>
    <n v="28000"/>
    <s v="Espresso"/>
    <s v="Coffee"/>
    <n v="20"/>
    <n v="9"/>
    <n v="2025"/>
    <d v="2025-09-20T00:00:00"/>
  </r>
  <r>
    <x v="25"/>
    <s v="Makassar"/>
    <s v="P04"/>
    <n v="2"/>
    <n v="25000"/>
    <n v="50000"/>
    <s v="Americano"/>
    <s v="Coffee"/>
    <n v="28"/>
    <n v="9"/>
    <n v="2025"/>
    <d v="2025-09-28T00:00:00"/>
  </r>
  <r>
    <x v="10"/>
    <s v="Makassar"/>
    <s v="P05"/>
    <n v="3"/>
    <n v="25000"/>
    <n v="75000"/>
    <s v="Mocha"/>
    <s v="Chocolate"/>
    <n v="22"/>
    <n v="9"/>
    <n v="2025"/>
    <d v="2025-09-22T00:00:00"/>
  </r>
  <r>
    <x v="11"/>
    <s v="Makassar"/>
    <s v="P01"/>
    <n v="5"/>
    <n v="20000"/>
    <n v="100000"/>
    <s v="Cappuccino"/>
    <s v="Coffee"/>
    <n v="17"/>
    <n v="9"/>
    <n v="2025"/>
    <d v="2025-09-17T00:00:00"/>
  </r>
  <r>
    <x v="9"/>
    <s v="Makassar"/>
    <s v="P02"/>
    <n v="4"/>
    <n v="30000"/>
    <n v="120000"/>
    <s v="Latte"/>
    <s v="Coffee"/>
    <n v="7"/>
    <n v="9"/>
    <n v="2025"/>
    <d v="2025-09-07T00:00:00"/>
  </r>
  <r>
    <x v="3"/>
    <s v="Makassar"/>
    <s v="P03"/>
    <n v="1"/>
    <n v="20000"/>
    <n v="20000"/>
    <s v="Espresso"/>
    <s v="Coffee"/>
    <n v="11"/>
    <n v="9"/>
    <n v="2025"/>
    <d v="2025-09-11T00:00:00"/>
  </r>
  <r>
    <x v="8"/>
    <s v="Makassar"/>
    <s v="P04"/>
    <n v="1"/>
    <n v="35000"/>
    <n v="35000"/>
    <s v="Americano"/>
    <s v="Coffee"/>
    <n v="1"/>
    <n v="9"/>
    <n v="2025"/>
    <d v="2025-09-01T00:00:00"/>
  </r>
  <r>
    <x v="14"/>
    <s v="Makassar"/>
    <s v="P05"/>
    <n v="3"/>
    <n v="25000"/>
    <n v="75000"/>
    <s v="Mocha"/>
    <s v="Chocolate"/>
    <n v="10"/>
    <n v="9"/>
    <n v="2025"/>
    <d v="2025-09-10T00:00:00"/>
  </r>
  <r>
    <x v="23"/>
    <s v="Makassar"/>
    <s v="P01"/>
    <n v="2"/>
    <n v="20000"/>
    <n v="40000"/>
    <s v="Cappuccino"/>
    <s v="Coffee"/>
    <n v="15"/>
    <n v="9"/>
    <n v="2025"/>
    <d v="2025-09-15T00:00:00"/>
  </r>
  <r>
    <x v="10"/>
    <s v="Makassar"/>
    <s v="P02"/>
    <n v="3"/>
    <n v="30000"/>
    <n v="90000"/>
    <s v="Latte"/>
    <s v="Coffee"/>
    <n v="22"/>
    <n v="9"/>
    <n v="2025"/>
    <d v="2025-09-22T00:00:00"/>
  </r>
  <r>
    <x v="13"/>
    <s v="Makassar"/>
    <s v="P03"/>
    <n v="1"/>
    <n v="30000"/>
    <n v="30000"/>
    <s v="Espresso"/>
    <s v="Coffee"/>
    <n v="29"/>
    <n v="9"/>
    <n v="2025"/>
    <d v="2025-09-29T00:00:00"/>
  </r>
  <r>
    <x v="3"/>
    <s v="Semarang"/>
    <s v="P01"/>
    <n v="1"/>
    <n v="30000"/>
    <n v="30000"/>
    <s v="Cappuccino"/>
    <s v="Coffee"/>
    <n v="11"/>
    <n v="9"/>
    <n v="2025"/>
    <d v="2025-09-11T00:00:00"/>
  </r>
  <r>
    <x v="0"/>
    <s v="Semarang"/>
    <s v="P02"/>
    <n v="4"/>
    <n v="30000"/>
    <n v="120000"/>
    <s v="Latte"/>
    <s v="Coffee"/>
    <n v="20"/>
    <n v="9"/>
    <n v="2025"/>
    <d v="2025-09-20T00:00:00"/>
  </r>
  <r>
    <x v="19"/>
    <s v="Semarang"/>
    <s v="P03"/>
    <n v="1"/>
    <n v="20000"/>
    <n v="20000"/>
    <s v="Espresso"/>
    <s v="Coffee"/>
    <n v="5"/>
    <n v="9"/>
    <n v="2025"/>
    <d v="2025-09-05T00:00:00"/>
  </r>
  <r>
    <x v="6"/>
    <s v="Semarang"/>
    <s v="P04"/>
    <n v="1"/>
    <n v="20000"/>
    <n v="20000"/>
    <s v="Americano"/>
    <s v="Coffee"/>
    <n v="14"/>
    <n v="9"/>
    <n v="2025"/>
    <d v="2025-09-14T00:00:00"/>
  </r>
  <r>
    <x v="0"/>
    <s v="Semarang"/>
    <s v="P05"/>
    <n v="4"/>
    <n v="30000"/>
    <n v="120000"/>
    <s v="Mocha"/>
    <s v="Chocolate"/>
    <n v="20"/>
    <n v="9"/>
    <n v="2025"/>
    <d v="2025-09-20T00:00:00"/>
  </r>
  <r>
    <x v="7"/>
    <s v="Semarang"/>
    <s v="P05"/>
    <n v="1"/>
    <n v="25000"/>
    <n v="25000"/>
    <s v="Mocha"/>
    <s v="Chocolate"/>
    <n v="27"/>
    <n v="9"/>
    <n v="2025"/>
    <d v="2025-09-27T00:00:00"/>
  </r>
  <r>
    <x v="7"/>
    <s v="Semarang"/>
    <s v="P04"/>
    <n v="5"/>
    <n v="25000"/>
    <n v="125000"/>
    <s v="Americano"/>
    <s v="Coffee"/>
    <n v="27"/>
    <n v="9"/>
    <n v="2025"/>
    <d v="2025-09-27T00:00:00"/>
  </r>
  <r>
    <x v="1"/>
    <s v="Semarang"/>
    <s v="P03"/>
    <n v="1"/>
    <n v="30000"/>
    <n v="30000"/>
    <s v="Espresso"/>
    <s v="Coffee"/>
    <n v="26"/>
    <n v="9"/>
    <n v="2025"/>
    <d v="2025-09-26T00:00:00"/>
  </r>
  <r>
    <x v="14"/>
    <s v="Semarang"/>
    <s v="P02"/>
    <n v="2"/>
    <n v="30000"/>
    <n v="60000"/>
    <s v="Latte"/>
    <s v="Coffee"/>
    <n v="10"/>
    <n v="9"/>
    <n v="2025"/>
    <d v="2025-09-10T00:00:00"/>
  </r>
  <r>
    <x v="11"/>
    <s v="Semarang"/>
    <s v="P01"/>
    <n v="4"/>
    <n v="20000"/>
    <n v="80000"/>
    <s v="Cappuccino"/>
    <s v="Coffee"/>
    <n v="17"/>
    <n v="9"/>
    <n v="2025"/>
    <d v="2025-09-17T00:00:00"/>
  </r>
  <r>
    <x v="29"/>
    <s v="Semarang"/>
    <s v="P01"/>
    <n v="3"/>
    <n v="25000"/>
    <n v="75000"/>
    <s v="Cappuccino"/>
    <s v="Coffee"/>
    <n v="18"/>
    <n v="9"/>
    <n v="2025"/>
    <d v="2025-09-18T00:00:00"/>
  </r>
  <r>
    <x v="26"/>
    <s v="Semarang"/>
    <s v="P02"/>
    <n v="1"/>
    <n v="25000"/>
    <n v="25000"/>
    <s v="Latte"/>
    <s v="Coffee"/>
    <n v="16"/>
    <n v="9"/>
    <n v="2025"/>
    <d v="2025-09-16T00:00:00"/>
  </r>
  <r>
    <x v="8"/>
    <s v="Semarang"/>
    <s v="P03"/>
    <n v="3"/>
    <n v="30000"/>
    <n v="90000"/>
    <s v="Espresso"/>
    <s v="Coffee"/>
    <n v="1"/>
    <n v="9"/>
    <n v="2025"/>
    <d v="2025-09-01T00:00:00"/>
  </r>
  <r>
    <x v="21"/>
    <s v="Semarang"/>
    <s v="P04"/>
    <n v="3"/>
    <n v="28000"/>
    <n v="84000"/>
    <s v="Americano"/>
    <s v="Coffee"/>
    <n v="4"/>
    <n v="9"/>
    <n v="2025"/>
    <d v="2025-09-04T00:00:00"/>
  </r>
  <r>
    <x v="15"/>
    <s v="Semarang"/>
    <s v="P05"/>
    <n v="1"/>
    <n v="35000"/>
    <n v="35000"/>
    <s v="Mocha"/>
    <s v="Chocolate"/>
    <n v="30"/>
    <n v="9"/>
    <n v="2025"/>
    <d v="2025-09-30T00:00:00"/>
  </r>
  <r>
    <x v="26"/>
    <s v="Semarang"/>
    <s v="P05"/>
    <n v="1"/>
    <n v="28000"/>
    <n v="28000"/>
    <s v="Mocha"/>
    <s v="Chocolate"/>
    <n v="16"/>
    <n v="9"/>
    <n v="2025"/>
    <d v="2025-09-16T00:00:00"/>
  </r>
  <r>
    <x v="13"/>
    <s v="Semarang"/>
    <s v="P04"/>
    <n v="2"/>
    <n v="35000"/>
    <n v="70000"/>
    <s v="Americano"/>
    <s v="Coffee"/>
    <n v="29"/>
    <n v="9"/>
    <n v="2025"/>
    <d v="2025-09-29T00:00:00"/>
  </r>
  <r>
    <x v="0"/>
    <s v="Semarang"/>
    <s v="P03"/>
    <n v="1"/>
    <n v="35000"/>
    <n v="35000"/>
    <s v="Espresso"/>
    <s v="Coffee"/>
    <n v="20"/>
    <n v="9"/>
    <n v="2025"/>
    <d v="2025-09-20T00:00:00"/>
  </r>
  <r>
    <x v="21"/>
    <s v="Semarang"/>
    <s v="P02"/>
    <n v="5"/>
    <n v="30000"/>
    <n v="150000"/>
    <s v="Latte"/>
    <s v="Coffee"/>
    <n v="4"/>
    <n v="9"/>
    <n v="2025"/>
    <d v="2025-09-04T00:00:00"/>
  </r>
  <r>
    <x v="7"/>
    <s v="Semarang"/>
    <s v="P01"/>
    <n v="3"/>
    <n v="35000"/>
    <n v="105000"/>
    <s v="Cappuccino"/>
    <s v="Coffee"/>
    <n v="27"/>
    <n v="9"/>
    <n v="2025"/>
    <d v="2025-09-27T00:00:00"/>
  </r>
  <r>
    <x v="5"/>
    <s v="Semarang"/>
    <s v="P01"/>
    <n v="5"/>
    <n v="30000"/>
    <n v="150000"/>
    <s v="Cappuccino"/>
    <s v="Coffee"/>
    <n v="13"/>
    <n v="9"/>
    <n v="2025"/>
    <d v="2025-09-13T00:00:00"/>
  </r>
  <r>
    <x v="5"/>
    <s v="Semarang"/>
    <s v="P02"/>
    <n v="1"/>
    <n v="28000"/>
    <n v="28000"/>
    <s v="Latte"/>
    <s v="Coffee"/>
    <n v="13"/>
    <n v="9"/>
    <n v="2025"/>
    <d v="2025-09-13T00:00:00"/>
  </r>
  <r>
    <x v="7"/>
    <s v="Semarang"/>
    <s v="P03"/>
    <n v="1"/>
    <n v="28000"/>
    <n v="28000"/>
    <s v="Espresso"/>
    <s v="Coffee"/>
    <n v="27"/>
    <n v="9"/>
    <n v="2025"/>
    <d v="2025-09-27T00:00:00"/>
  </r>
  <r>
    <x v="1"/>
    <s v="Semarang"/>
    <s v="P04"/>
    <n v="1"/>
    <n v="25000"/>
    <n v="25000"/>
    <s v="Americano"/>
    <s v="Coffee"/>
    <n v="26"/>
    <n v="9"/>
    <n v="2025"/>
    <d v="2025-09-26T00:00:00"/>
  </r>
  <r>
    <x v="2"/>
    <s v="Semarang"/>
    <s v="P05"/>
    <n v="1"/>
    <n v="20000"/>
    <n v="20000"/>
    <s v="Mocha"/>
    <s v="Chocolate"/>
    <n v="19"/>
    <n v="9"/>
    <n v="2025"/>
    <d v="2025-09-19T00:00:00"/>
  </r>
  <r>
    <x v="14"/>
    <s v="Semarang"/>
    <s v="P05"/>
    <n v="3"/>
    <n v="35000"/>
    <n v="105000"/>
    <s v="Mocha"/>
    <s v="Chocolate"/>
    <n v="10"/>
    <n v="9"/>
    <n v="2025"/>
    <d v="2025-09-10T00:00:00"/>
  </r>
  <r>
    <x v="29"/>
    <s v="Semarang"/>
    <s v="P04"/>
    <n v="2"/>
    <n v="28000"/>
    <n v="56000"/>
    <s v="Americano"/>
    <s v="Coffee"/>
    <n v="18"/>
    <n v="9"/>
    <n v="2025"/>
    <d v="2025-09-18T00:00:00"/>
  </r>
  <r>
    <x v="2"/>
    <s v="Semarang"/>
    <s v="P03"/>
    <n v="2"/>
    <n v="35000"/>
    <n v="70000"/>
    <s v="Espresso"/>
    <s v="Coffee"/>
    <n v="19"/>
    <n v="9"/>
    <n v="2025"/>
    <d v="2025-09-19T00:00:00"/>
  </r>
  <r>
    <x v="12"/>
    <s v="Semarang"/>
    <s v="P02"/>
    <n v="4"/>
    <n v="25000"/>
    <n v="100000"/>
    <s v="Latte"/>
    <s v="Coffee"/>
    <n v="8"/>
    <n v="9"/>
    <n v="2025"/>
    <d v="2025-09-08T00:00:00"/>
  </r>
  <r>
    <x v="0"/>
    <s v="Semarang"/>
    <s v="P01"/>
    <n v="1"/>
    <n v="30000"/>
    <n v="30000"/>
    <s v="Cappuccino"/>
    <s v="Coffee"/>
    <n v="20"/>
    <n v="9"/>
    <n v="2025"/>
    <d v="2025-09-20T00:00:00"/>
  </r>
  <r>
    <x v="16"/>
    <s v="Semarang"/>
    <s v="P01"/>
    <n v="4"/>
    <n v="20000"/>
    <n v="80000"/>
    <s v="Cappuccino"/>
    <s v="Coffee"/>
    <n v="24"/>
    <n v="9"/>
    <n v="2025"/>
    <d v="2025-09-24T00:00:00"/>
  </r>
  <r>
    <x v="0"/>
    <s v="Semarang"/>
    <s v="P02"/>
    <n v="3"/>
    <n v="30000"/>
    <n v="90000"/>
    <s v="Latte"/>
    <s v="Coffee"/>
    <n v="20"/>
    <n v="9"/>
    <n v="2025"/>
    <d v="2025-09-20T00:00:00"/>
  </r>
  <r>
    <x v="22"/>
    <s v="Semarang"/>
    <s v="P03"/>
    <n v="3"/>
    <n v="30000"/>
    <n v="90000"/>
    <s v="Espresso"/>
    <s v="Coffee"/>
    <n v="23"/>
    <n v="9"/>
    <n v="2025"/>
    <d v="2025-09-23T00:00:00"/>
  </r>
  <r>
    <x v="2"/>
    <s v="Semarang"/>
    <s v="P04"/>
    <n v="1"/>
    <n v="20000"/>
    <n v="20000"/>
    <s v="Americano"/>
    <s v="Coffee"/>
    <n v="19"/>
    <n v="9"/>
    <n v="2025"/>
    <d v="2025-09-19T00:00:00"/>
  </r>
  <r>
    <x v="26"/>
    <s v="Semarang"/>
    <s v="P05"/>
    <n v="1"/>
    <n v="35000"/>
    <n v="35000"/>
    <s v="Mocha"/>
    <s v="Chocolate"/>
    <n v="16"/>
    <n v="9"/>
    <n v="2025"/>
    <d v="2025-09-16T00:00:00"/>
  </r>
  <r>
    <x v="19"/>
    <s v="Semarang"/>
    <s v="P05"/>
    <n v="5"/>
    <n v="20000"/>
    <n v="100000"/>
    <s v="Mocha"/>
    <s v="Chocolate"/>
    <n v="5"/>
    <n v="9"/>
    <n v="2025"/>
    <d v="2025-09-05T00:00:00"/>
  </r>
  <r>
    <x v="15"/>
    <s v="Semarang"/>
    <s v="P04"/>
    <n v="2"/>
    <n v="35000"/>
    <n v="70000"/>
    <s v="Americano"/>
    <s v="Coffee"/>
    <n v="30"/>
    <n v="9"/>
    <n v="2025"/>
    <d v="2025-09-30T00:00:00"/>
  </r>
  <r>
    <x v="17"/>
    <s v="Semarang"/>
    <s v="P03"/>
    <n v="3"/>
    <n v="30000"/>
    <n v="90000"/>
    <s v="Espresso"/>
    <s v="Coffee"/>
    <n v="3"/>
    <n v="9"/>
    <n v="2025"/>
    <d v="2025-09-03T00:00:00"/>
  </r>
  <r>
    <x v="4"/>
    <s v="Semarang"/>
    <s v="P02"/>
    <n v="4"/>
    <n v="25000"/>
    <n v="100000"/>
    <s v="Latte"/>
    <s v="Coffee"/>
    <n v="2"/>
    <n v="9"/>
    <n v="2025"/>
    <d v="2025-09-02T00:00:00"/>
  </r>
  <r>
    <x v="22"/>
    <s v="Semarang"/>
    <s v="P01"/>
    <n v="1"/>
    <n v="35000"/>
    <n v="35000"/>
    <s v="Cappuccino"/>
    <s v="Coffee"/>
    <n v="23"/>
    <n v="9"/>
    <n v="2025"/>
    <d v="2025-09-23T00:00:00"/>
  </r>
  <r>
    <x v="18"/>
    <s v="Semarang"/>
    <s v="P01"/>
    <n v="2"/>
    <n v="25000"/>
    <n v="50000"/>
    <s v="Cappuccino"/>
    <s v="Coffee"/>
    <n v="6"/>
    <n v="9"/>
    <n v="2025"/>
    <d v="2025-09-06T00:00:00"/>
  </r>
  <r>
    <x v="18"/>
    <s v="Semarang"/>
    <s v="P02"/>
    <n v="1"/>
    <n v="25000"/>
    <n v="25000"/>
    <s v="Latte"/>
    <s v="Coffee"/>
    <n v="6"/>
    <n v="9"/>
    <n v="2025"/>
    <d v="2025-09-06T00:00:00"/>
  </r>
  <r>
    <x v="7"/>
    <s v="Semarang"/>
    <s v="P03"/>
    <n v="1"/>
    <n v="25000"/>
    <n v="25000"/>
    <s v="Espresso"/>
    <s v="Coffee"/>
    <n v="27"/>
    <n v="9"/>
    <n v="2025"/>
    <d v="2025-09-27T00:00:00"/>
  </r>
  <r>
    <x v="18"/>
    <s v="Semarang"/>
    <s v="P04"/>
    <n v="3"/>
    <n v="25000"/>
    <n v="75000"/>
    <s v="Americano"/>
    <s v="Coffee"/>
    <n v="6"/>
    <n v="9"/>
    <n v="2025"/>
    <d v="2025-09-06T00:00:00"/>
  </r>
  <r>
    <x v="10"/>
    <s v="Semarang"/>
    <s v="P05"/>
    <n v="4"/>
    <n v="28000"/>
    <n v="112000"/>
    <s v="Mocha"/>
    <s v="Chocolate"/>
    <n v="22"/>
    <n v="9"/>
    <n v="2025"/>
    <d v="2025-09-22T00:00:00"/>
  </r>
  <r>
    <x v="10"/>
    <s v="Semarang"/>
    <s v="P05"/>
    <n v="5"/>
    <n v="30000"/>
    <n v="150000"/>
    <s v="Mocha"/>
    <s v="Chocolate"/>
    <n v="22"/>
    <n v="9"/>
    <n v="2025"/>
    <d v="2025-09-22T00:00:00"/>
  </r>
  <r>
    <x v="19"/>
    <s v="Semarang"/>
    <s v="P04"/>
    <n v="5"/>
    <n v="28000"/>
    <n v="140000"/>
    <s v="Americano"/>
    <s v="Coffee"/>
    <n v="5"/>
    <n v="9"/>
    <n v="2025"/>
    <d v="2025-09-05T00:00:00"/>
  </r>
  <r>
    <x v="13"/>
    <s v="Semarang"/>
    <s v="P03"/>
    <n v="1"/>
    <n v="30000"/>
    <n v="30000"/>
    <s v="Espresso"/>
    <s v="Coffee"/>
    <n v="29"/>
    <n v="9"/>
    <n v="2025"/>
    <d v="2025-09-29T00:00:00"/>
  </r>
  <r>
    <x v="21"/>
    <s v="Semarang"/>
    <s v="P02"/>
    <n v="1"/>
    <n v="25000"/>
    <n v="25000"/>
    <s v="Latte"/>
    <s v="Coffee"/>
    <n v="4"/>
    <n v="9"/>
    <n v="2025"/>
    <d v="2025-09-04T00:00:00"/>
  </r>
  <r>
    <x v="25"/>
    <s v="Semarang"/>
    <s v="P01"/>
    <n v="5"/>
    <n v="35000"/>
    <n v="175000"/>
    <s v="Cappuccino"/>
    <s v="Coffee"/>
    <n v="28"/>
    <n v="9"/>
    <n v="2025"/>
    <d v="2025-09-28T00:00:00"/>
  </r>
  <r>
    <x v="0"/>
    <s v="Semarang"/>
    <s v="P01"/>
    <n v="5"/>
    <n v="35000"/>
    <n v="175000"/>
    <s v="Cappuccino"/>
    <s v="Coffee"/>
    <n v="20"/>
    <n v="9"/>
    <n v="2025"/>
    <d v="2025-09-20T00:00:00"/>
  </r>
  <r>
    <x v="12"/>
    <s v="Semarang"/>
    <s v="P02"/>
    <n v="1"/>
    <n v="25000"/>
    <n v="25000"/>
    <s v="Latte"/>
    <s v="Coffee"/>
    <n v="8"/>
    <n v="9"/>
    <n v="2025"/>
    <d v="2025-09-08T00:00:00"/>
  </r>
  <r>
    <x v="3"/>
    <s v="Semarang"/>
    <s v="P03"/>
    <n v="3"/>
    <n v="25000"/>
    <n v="75000"/>
    <s v="Espresso"/>
    <s v="Coffee"/>
    <n v="11"/>
    <n v="9"/>
    <n v="2025"/>
    <d v="2025-09-11T00:00:00"/>
  </r>
  <r>
    <x v="4"/>
    <s v="Semarang"/>
    <s v="P04"/>
    <n v="1"/>
    <n v="35000"/>
    <n v="35000"/>
    <s v="Americano"/>
    <s v="Coffee"/>
    <n v="2"/>
    <n v="9"/>
    <n v="2025"/>
    <d v="2025-09-02T00:00:00"/>
  </r>
  <r>
    <x v="25"/>
    <s v="Semarang"/>
    <s v="P05"/>
    <n v="1"/>
    <n v="28000"/>
    <n v="28000"/>
    <s v="Mocha"/>
    <s v="Chocolate"/>
    <n v="28"/>
    <n v="9"/>
    <n v="2025"/>
    <d v="2025-09-28T00:00:00"/>
  </r>
  <r>
    <x v="20"/>
    <s v="Semarang"/>
    <s v="P05"/>
    <n v="1"/>
    <n v="35000"/>
    <n v="35000"/>
    <s v="Mocha"/>
    <s v="Chocolate"/>
    <n v="12"/>
    <n v="9"/>
    <n v="2025"/>
    <d v="2025-09-12T00:00:00"/>
  </r>
  <r>
    <x v="4"/>
    <s v="Semarang"/>
    <s v="P04"/>
    <n v="5"/>
    <n v="30000"/>
    <n v="150000"/>
    <s v="Americano"/>
    <s v="Coffee"/>
    <n v="2"/>
    <n v="9"/>
    <n v="2025"/>
    <d v="2025-09-02T00:00:00"/>
  </r>
  <r>
    <x v="22"/>
    <s v="Semarang"/>
    <s v="P03"/>
    <n v="4"/>
    <n v="28000"/>
    <n v="112000"/>
    <s v="Espresso"/>
    <s v="Coffee"/>
    <n v="23"/>
    <n v="9"/>
    <n v="2025"/>
    <d v="2025-09-23T00:00:00"/>
  </r>
  <r>
    <x v="11"/>
    <s v="Semarang"/>
    <s v="P02"/>
    <n v="1"/>
    <n v="28000"/>
    <n v="28000"/>
    <s v="Latte"/>
    <s v="Coffee"/>
    <n v="17"/>
    <n v="9"/>
    <n v="2025"/>
    <d v="2025-09-17T00:00:00"/>
  </r>
  <r>
    <x v="20"/>
    <s v="Semarang"/>
    <s v="P01"/>
    <n v="3"/>
    <n v="30000"/>
    <n v="90000"/>
    <s v="Cappuccino"/>
    <s v="Coffee"/>
    <n v="12"/>
    <n v="9"/>
    <n v="2025"/>
    <d v="2025-09-12T00:00:00"/>
  </r>
  <r>
    <x v="26"/>
    <s v="Semarang"/>
    <s v="P01"/>
    <n v="5"/>
    <n v="20000"/>
    <n v="100000"/>
    <s v="Cappuccino"/>
    <s v="Coffee"/>
    <n v="16"/>
    <n v="9"/>
    <n v="2025"/>
    <d v="2025-09-16T00:00:00"/>
  </r>
  <r>
    <x v="29"/>
    <s v="Semarang"/>
    <s v="P02"/>
    <n v="2"/>
    <n v="28000"/>
    <n v="56000"/>
    <s v="Latte"/>
    <s v="Coffee"/>
    <n v="18"/>
    <n v="9"/>
    <n v="2025"/>
    <d v="2025-09-18T00:00:00"/>
  </r>
  <r>
    <x v="25"/>
    <s v="Semarang"/>
    <s v="P03"/>
    <n v="4"/>
    <n v="28000"/>
    <n v="112000"/>
    <s v="Espresso"/>
    <s v="Coffee"/>
    <n v="28"/>
    <n v="9"/>
    <n v="2025"/>
    <d v="2025-09-28T00:00:00"/>
  </r>
  <r>
    <x v="22"/>
    <s v="Semarang"/>
    <s v="P04"/>
    <n v="4"/>
    <n v="25000"/>
    <n v="100000"/>
    <s v="Americano"/>
    <s v="Coffee"/>
    <n v="23"/>
    <n v="9"/>
    <n v="2025"/>
    <d v="2025-09-23T00:00:00"/>
  </r>
  <r>
    <x v="19"/>
    <s v="Semarang"/>
    <s v="P05"/>
    <n v="4"/>
    <n v="28000"/>
    <n v="112000"/>
    <s v="Mocha"/>
    <s v="Chocolate"/>
    <n v="5"/>
    <n v="9"/>
    <n v="2025"/>
    <d v="2025-09-05T00:00:00"/>
  </r>
  <r>
    <x v="22"/>
    <s v="Semarang"/>
    <s v="P01"/>
    <n v="4"/>
    <n v="28000"/>
    <n v="112000"/>
    <s v="Cappuccino"/>
    <s v="Coffee"/>
    <n v="23"/>
    <n v="9"/>
    <n v="2025"/>
    <d v="2025-09-23T00:00:00"/>
  </r>
  <r>
    <x v="10"/>
    <s v="Semarang"/>
    <s v="P02"/>
    <n v="1"/>
    <n v="25000"/>
    <n v="25000"/>
    <s v="Latte"/>
    <s v="Coffee"/>
    <n v="22"/>
    <n v="9"/>
    <n v="2025"/>
    <d v="2025-09-22T00:00:00"/>
  </r>
  <r>
    <x v="6"/>
    <s v="Semarang"/>
    <s v="P03"/>
    <n v="1"/>
    <n v="35000"/>
    <n v="35000"/>
    <s v="Espresso"/>
    <s v="Coffee"/>
    <n v="14"/>
    <n v="9"/>
    <n v="2025"/>
    <d v="2025-09-14T00:00:00"/>
  </r>
  <r>
    <x v="27"/>
    <s v="Semarang"/>
    <s v="P04"/>
    <n v="3"/>
    <n v="25000"/>
    <n v="75000"/>
    <s v="Americano"/>
    <s v="Coffee"/>
    <n v="9"/>
    <n v="9"/>
    <n v="2025"/>
    <d v="2025-09-09T00:00:00"/>
  </r>
  <r>
    <x v="1"/>
    <s v="Semarang"/>
    <s v="P05"/>
    <n v="1"/>
    <n v="28000"/>
    <n v="28000"/>
    <s v="Mocha"/>
    <s v="Chocolate"/>
    <n v="26"/>
    <n v="9"/>
    <n v="2025"/>
    <d v="2025-09-26T00:00:00"/>
  </r>
  <r>
    <x v="1"/>
    <s v="Semarang"/>
    <s v="P01"/>
    <n v="3"/>
    <n v="30000"/>
    <n v="90000"/>
    <s v="Cappuccino"/>
    <s v="Coffee"/>
    <n v="26"/>
    <n v="9"/>
    <n v="2025"/>
    <d v="2025-09-26T00:00:00"/>
  </r>
  <r>
    <x v="1"/>
    <s v="Semarang"/>
    <s v="P02"/>
    <n v="1"/>
    <n v="20000"/>
    <n v="20000"/>
    <s v="Latte"/>
    <s v="Coffee"/>
    <n v="26"/>
    <n v="9"/>
    <n v="2025"/>
    <d v="2025-09-26T00:00:00"/>
  </r>
  <r>
    <x v="9"/>
    <s v="Semarang"/>
    <s v="P03"/>
    <n v="5"/>
    <n v="20000"/>
    <n v="100000"/>
    <s v="Espresso"/>
    <s v="Coffee"/>
    <n v="7"/>
    <n v="9"/>
    <n v="2025"/>
    <d v="2025-09-07T00:00:00"/>
  </r>
  <r>
    <x v="25"/>
    <s v="Semarang"/>
    <s v="P04"/>
    <n v="4"/>
    <n v="25000"/>
    <n v="100000"/>
    <s v="Americano"/>
    <s v="Coffee"/>
    <n v="28"/>
    <n v="9"/>
    <n v="2025"/>
    <d v="2025-09-28T00:00:00"/>
  </r>
  <r>
    <x v="18"/>
    <s v="Semarang"/>
    <s v="P05"/>
    <n v="1"/>
    <n v="20000"/>
    <n v="20000"/>
    <s v="Mocha"/>
    <s v="Chocolate"/>
    <n v="6"/>
    <n v="9"/>
    <n v="2025"/>
    <d v="2025-09-06T00:00:00"/>
  </r>
  <r>
    <x v="17"/>
    <s v="Semarang"/>
    <s v="P01"/>
    <n v="4"/>
    <n v="25000"/>
    <n v="100000"/>
    <s v="Cappuccino"/>
    <s v="Coffee"/>
    <n v="3"/>
    <n v="9"/>
    <n v="2025"/>
    <d v="2025-09-03T00:00:00"/>
  </r>
  <r>
    <x v="16"/>
    <s v="Semarang"/>
    <s v="P02"/>
    <n v="1"/>
    <n v="30000"/>
    <n v="30000"/>
    <s v="Latte"/>
    <s v="Coffee"/>
    <n v="24"/>
    <n v="9"/>
    <n v="2025"/>
    <d v="2025-09-24T00:00:00"/>
  </r>
  <r>
    <x v="1"/>
    <s v="Semarang"/>
    <s v="P03"/>
    <n v="1"/>
    <n v="35000"/>
    <n v="35000"/>
    <s v="Espresso"/>
    <s v="Coffee"/>
    <n v="26"/>
    <n v="9"/>
    <n v="2025"/>
    <d v="2025-09-26T00:00:00"/>
  </r>
  <r>
    <x v="8"/>
    <s v="Semarang"/>
    <s v="P04"/>
    <n v="5"/>
    <n v="20000"/>
    <n v="100000"/>
    <s v="Americano"/>
    <s v="Coffee"/>
    <n v="1"/>
    <n v="9"/>
    <n v="2025"/>
    <d v="2025-09-01T00:00:00"/>
  </r>
  <r>
    <x v="19"/>
    <s v="Semarang"/>
    <s v="P05"/>
    <n v="5"/>
    <n v="30000"/>
    <n v="150000"/>
    <s v="Mocha"/>
    <s v="Chocolate"/>
    <n v="5"/>
    <n v="9"/>
    <n v="2025"/>
    <d v="2025-09-05T00:00:00"/>
  </r>
  <r>
    <x v="22"/>
    <s v="Semarang"/>
    <s v="P03"/>
    <n v="2"/>
    <n v="35000"/>
    <n v="70000"/>
    <s v="Espresso"/>
    <s v="Coffee"/>
    <n v="23"/>
    <n v="9"/>
    <n v="2025"/>
    <d v="2025-09-23T00:00:00"/>
  </r>
  <r>
    <x v="9"/>
    <s v="Semarang"/>
    <s v="P04"/>
    <n v="2"/>
    <n v="28000"/>
    <n v="56000"/>
    <s v="Americano"/>
    <s v="Coffee"/>
    <n v="7"/>
    <n v="9"/>
    <n v="2025"/>
    <d v="2025-09-07T00:00:00"/>
  </r>
  <r>
    <x v="15"/>
    <s v="Semarang"/>
    <s v="P05"/>
    <n v="3"/>
    <n v="28000"/>
    <n v="84000"/>
    <s v="Mocha"/>
    <s v="Chocolate"/>
    <n v="30"/>
    <n v="9"/>
    <n v="2025"/>
    <d v="2025-09-30T00:00:00"/>
  </r>
  <r>
    <x v="15"/>
    <s v="Semarang"/>
    <s v="P01"/>
    <n v="2"/>
    <n v="30000"/>
    <n v="60000"/>
    <s v="Cappuccino"/>
    <s v="Coffee"/>
    <n v="30"/>
    <n v="9"/>
    <n v="2025"/>
    <d v="2025-09-30T00:00:00"/>
  </r>
  <r>
    <x v="15"/>
    <s v="Semarang"/>
    <s v="P02"/>
    <n v="4"/>
    <n v="28000"/>
    <n v="112000"/>
    <s v="Latte"/>
    <s v="Coffee"/>
    <n v="30"/>
    <n v="9"/>
    <n v="2025"/>
    <d v="2025-09-30T00:00:00"/>
  </r>
  <r>
    <x v="21"/>
    <s v="Semarang"/>
    <s v="P03"/>
    <n v="1"/>
    <n v="25000"/>
    <n v="25000"/>
    <s v="Espresso"/>
    <s v="Coffee"/>
    <n v="4"/>
    <n v="9"/>
    <n v="2025"/>
    <d v="2025-09-04T00:00:00"/>
  </r>
  <r>
    <x v="26"/>
    <s v="Semarang"/>
    <s v="P04"/>
    <n v="3"/>
    <n v="20000"/>
    <n v="60000"/>
    <s v="Americano"/>
    <s v="Coffee"/>
    <n v="16"/>
    <n v="9"/>
    <n v="2025"/>
    <d v="2025-09-16T00:00:00"/>
  </r>
  <r>
    <x v="1"/>
    <s v="Semarang"/>
    <s v="P05"/>
    <n v="2"/>
    <n v="20000"/>
    <n v="40000"/>
    <s v="Mocha"/>
    <s v="Chocolate"/>
    <n v="26"/>
    <n v="9"/>
    <n v="2025"/>
    <d v="2025-09-26T00:00:00"/>
  </r>
  <r>
    <x v="2"/>
    <s v="Semarang"/>
    <s v="P01"/>
    <n v="4"/>
    <n v="35000"/>
    <n v="140000"/>
    <s v="Cappuccino"/>
    <s v="Coffee"/>
    <n v="19"/>
    <n v="9"/>
    <n v="2025"/>
    <d v="2025-09-19T00:00:00"/>
  </r>
  <r>
    <x v="9"/>
    <s v="Semarang"/>
    <s v="P02"/>
    <n v="1"/>
    <n v="35000"/>
    <n v="35000"/>
    <s v="Latte"/>
    <s v="Coffee"/>
    <n v="7"/>
    <n v="9"/>
    <n v="2025"/>
    <d v="2025-09-07T00:00:00"/>
  </r>
  <r>
    <x v="13"/>
    <s v="Semarang"/>
    <s v="P03"/>
    <n v="5"/>
    <n v="20000"/>
    <n v="100000"/>
    <s v="Espresso"/>
    <s v="Coffee"/>
    <n v="29"/>
    <n v="9"/>
    <n v="2025"/>
    <d v="2025-09-29T00:00:00"/>
  </r>
  <r>
    <x v="4"/>
    <s v="Semarang"/>
    <s v="P04"/>
    <n v="1"/>
    <n v="28000"/>
    <n v="28000"/>
    <s v="Americano"/>
    <s v="Coffee"/>
    <n v="2"/>
    <n v="9"/>
    <n v="2025"/>
    <d v="2025-09-02T00:00:00"/>
  </r>
  <r>
    <x v="3"/>
    <s v="Semarang"/>
    <s v="P05"/>
    <n v="3"/>
    <n v="30000"/>
    <n v="90000"/>
    <s v="Mocha"/>
    <s v="Chocolate"/>
    <n v="11"/>
    <n v="9"/>
    <n v="2025"/>
    <d v="2025-09-11T00:00:00"/>
  </r>
  <r>
    <x v="9"/>
    <s v="Semarang"/>
    <s v="P04"/>
    <n v="3"/>
    <n v="28000"/>
    <n v="84000"/>
    <s v="Americano"/>
    <s v="Coffee"/>
    <n v="7"/>
    <n v="9"/>
    <n v="2025"/>
    <d v="2025-09-07T00:00:00"/>
  </r>
  <r>
    <x v="12"/>
    <s v="Semarang"/>
    <s v="P05"/>
    <n v="4"/>
    <n v="28000"/>
    <n v="112000"/>
    <s v="Mocha"/>
    <s v="Chocolate"/>
    <n v="8"/>
    <n v="9"/>
    <n v="2025"/>
    <d v="2025-09-08T00:00:00"/>
  </r>
  <r>
    <x v="24"/>
    <s v="Semarang"/>
    <s v="P01"/>
    <n v="1"/>
    <n v="35000"/>
    <n v="35000"/>
    <s v="Cappuccino"/>
    <s v="Coffee"/>
    <n v="25"/>
    <n v="9"/>
    <n v="2025"/>
    <d v="2025-09-25T00:00:00"/>
  </r>
  <r>
    <x v="3"/>
    <s v="Semarang"/>
    <s v="P02"/>
    <n v="1"/>
    <n v="20000"/>
    <n v="20000"/>
    <s v="Latte"/>
    <s v="Coffee"/>
    <n v="11"/>
    <n v="9"/>
    <n v="2025"/>
    <d v="2025-09-11T00:00:00"/>
  </r>
  <r>
    <x v="24"/>
    <s v="Semarang"/>
    <s v="P03"/>
    <n v="4"/>
    <n v="30000"/>
    <n v="120000"/>
    <s v="Espresso"/>
    <s v="Coffee"/>
    <n v="25"/>
    <n v="9"/>
    <n v="2025"/>
    <d v="2025-09-25T00:00:00"/>
  </r>
  <r>
    <x v="13"/>
    <s v="Semarang"/>
    <s v="P04"/>
    <n v="2"/>
    <n v="20000"/>
    <n v="40000"/>
    <s v="Americano"/>
    <s v="Coffee"/>
    <n v="29"/>
    <n v="9"/>
    <n v="2025"/>
    <d v="2025-09-29T00:00:00"/>
  </r>
  <r>
    <x v="10"/>
    <s v="Semarang"/>
    <s v="P05"/>
    <n v="1"/>
    <n v="30000"/>
    <n v="30000"/>
    <s v="Mocha"/>
    <s v="Chocolate"/>
    <n v="22"/>
    <n v="9"/>
    <n v="2025"/>
    <d v="2025-09-22T00:00:00"/>
  </r>
  <r>
    <x v="26"/>
    <s v="Semarang"/>
    <s v="P03"/>
    <n v="1"/>
    <n v="30000"/>
    <n v="30000"/>
    <s v="Espresso"/>
    <s v="Coffee"/>
    <n v="16"/>
    <n v="9"/>
    <n v="2025"/>
    <d v="2025-09-16T00:00:00"/>
  </r>
  <r>
    <x v="2"/>
    <s v="Semarang"/>
    <s v="P04"/>
    <n v="3"/>
    <n v="35000"/>
    <n v="105000"/>
    <s v="Americano"/>
    <s v="Coffee"/>
    <n v="19"/>
    <n v="9"/>
    <n v="2025"/>
    <d v="2025-09-19T00:00:00"/>
  </r>
  <r>
    <x v="21"/>
    <s v="Semarang"/>
    <s v="P05"/>
    <n v="5"/>
    <n v="35000"/>
    <n v="175000"/>
    <s v="Mocha"/>
    <s v="Chocolate"/>
    <n v="4"/>
    <n v="9"/>
    <n v="2025"/>
    <d v="2025-09-04T00:00:00"/>
  </r>
  <r>
    <x v="22"/>
    <s v="Semarang"/>
    <s v="P01"/>
    <n v="5"/>
    <n v="35000"/>
    <n v="175000"/>
    <s v="Cappuccino"/>
    <s v="Coffee"/>
    <n v="23"/>
    <n v="9"/>
    <n v="2025"/>
    <d v="2025-09-23T00:00:00"/>
  </r>
  <r>
    <x v="12"/>
    <s v="Semarang"/>
    <s v="P02"/>
    <n v="3"/>
    <n v="35000"/>
    <n v="105000"/>
    <s v="Latte"/>
    <s v="Coffee"/>
    <n v="8"/>
    <n v="9"/>
    <n v="2025"/>
    <d v="2025-09-08T00:00:00"/>
  </r>
  <r>
    <x v="7"/>
    <s v="Semarang"/>
    <s v="P03"/>
    <n v="5"/>
    <n v="35000"/>
    <n v="175000"/>
    <s v="Espresso"/>
    <s v="Coffee"/>
    <n v="27"/>
    <n v="9"/>
    <n v="2025"/>
    <d v="2025-09-27T00:00:00"/>
  </r>
  <r>
    <x v="14"/>
    <s v="Semarang"/>
    <s v="P04"/>
    <n v="1"/>
    <n v="30000"/>
    <n v="30000"/>
    <s v="Americano"/>
    <s v="Coffee"/>
    <n v="10"/>
    <n v="9"/>
    <n v="2025"/>
    <d v="2025-09-10T00:00:00"/>
  </r>
  <r>
    <x v="13"/>
    <s v="Semarang"/>
    <s v="P05"/>
    <n v="1"/>
    <n v="35000"/>
    <n v="35000"/>
    <s v="Mocha"/>
    <s v="Chocolate"/>
    <n v="29"/>
    <n v="9"/>
    <n v="2025"/>
    <d v="2025-09-29T00:00:00"/>
  </r>
  <r>
    <x v="12"/>
    <s v="Semarang"/>
    <s v="P01"/>
    <n v="4"/>
    <n v="30000"/>
    <n v="120000"/>
    <s v="Cappuccino"/>
    <s v="Coffee"/>
    <n v="8"/>
    <n v="9"/>
    <n v="2025"/>
    <d v="2025-09-08T00:00:00"/>
  </r>
  <r>
    <x v="3"/>
    <s v="Semarang"/>
    <s v="P02"/>
    <n v="3"/>
    <n v="25000"/>
    <n v="75000"/>
    <s v="Latte"/>
    <s v="Coffee"/>
    <n v="11"/>
    <n v="9"/>
    <n v="2025"/>
    <d v="2025-09-11T00:00:00"/>
  </r>
  <r>
    <x v="18"/>
    <s v="Semarang"/>
    <s v="P03"/>
    <n v="4"/>
    <n v="20000"/>
    <n v="80000"/>
    <s v="Espresso"/>
    <s v="Coffee"/>
    <n v="6"/>
    <n v="9"/>
    <n v="2025"/>
    <d v="2025-09-06T00:00:00"/>
  </r>
  <r>
    <x v="11"/>
    <s v="Semarang"/>
    <s v="P04"/>
    <n v="1"/>
    <n v="28000"/>
    <n v="28000"/>
    <s v="Americano"/>
    <s v="Coffee"/>
    <n v="17"/>
    <n v="9"/>
    <n v="2025"/>
    <d v="2025-09-17T00:00:00"/>
  </r>
  <r>
    <x v="19"/>
    <s v="Semarang"/>
    <s v="P05"/>
    <n v="4"/>
    <n v="30000"/>
    <n v="120000"/>
    <s v="Mocha"/>
    <s v="Chocolate"/>
    <n v="5"/>
    <n v="9"/>
    <n v="2025"/>
    <d v="2025-09-05T00:00:00"/>
  </r>
  <r>
    <x v="10"/>
    <s v="Semarang"/>
    <s v="P01"/>
    <n v="3"/>
    <n v="28000"/>
    <n v="84000"/>
    <s v="Cappuccino"/>
    <s v="Coffee"/>
    <n v="22"/>
    <n v="9"/>
    <n v="2025"/>
    <d v="2025-09-22T00:00:00"/>
  </r>
  <r>
    <x v="29"/>
    <s v="Semarang"/>
    <s v="P02"/>
    <n v="1"/>
    <n v="25000"/>
    <n v="25000"/>
    <s v="Latte"/>
    <s v="Coffee"/>
    <n v="18"/>
    <n v="9"/>
    <n v="2025"/>
    <d v="2025-09-18T00:00:00"/>
  </r>
  <r>
    <x v="29"/>
    <s v="Semarang"/>
    <s v="P03"/>
    <n v="4"/>
    <n v="25000"/>
    <n v="100000"/>
    <s v="Espresso"/>
    <s v="Coffee"/>
    <n v="18"/>
    <n v="9"/>
    <n v="2025"/>
    <d v="2025-09-18T00:00:00"/>
  </r>
  <r>
    <x v="24"/>
    <s v="Semarang"/>
    <s v="P04"/>
    <n v="3"/>
    <n v="35000"/>
    <n v="105000"/>
    <s v="Americano"/>
    <s v="Coffee"/>
    <n v="25"/>
    <n v="9"/>
    <n v="2025"/>
    <d v="2025-09-25T00:00:00"/>
  </r>
  <r>
    <x v="2"/>
    <s v="Semarang"/>
    <s v="P05"/>
    <n v="1"/>
    <n v="20000"/>
    <n v="20000"/>
    <s v="Mocha"/>
    <s v="Chocolate"/>
    <n v="19"/>
    <n v="9"/>
    <n v="2025"/>
    <d v="2025-09-19T00:00:00"/>
  </r>
  <r>
    <x v="28"/>
    <s v="Semarang"/>
    <s v="P01"/>
    <n v="1"/>
    <n v="30000"/>
    <n v="30000"/>
    <s v="Cappuccino"/>
    <s v="Coffee"/>
    <n v="21"/>
    <n v="9"/>
    <n v="2025"/>
    <d v="2025-09-21T00:00:00"/>
  </r>
  <r>
    <x v="1"/>
    <s v="Semarang"/>
    <s v="P02"/>
    <n v="1"/>
    <n v="25000"/>
    <n v="25000"/>
    <s v="Latte"/>
    <s v="Coffee"/>
    <n v="26"/>
    <n v="9"/>
    <n v="2025"/>
    <d v="2025-09-26T00:00:00"/>
  </r>
  <r>
    <x v="17"/>
    <s v="Medan"/>
    <s v="P05"/>
    <n v="5"/>
    <n v="28000"/>
    <n v="140000"/>
    <s v="Mocha"/>
    <s v="Chocolate"/>
    <n v="3"/>
    <n v="9"/>
    <n v="2025"/>
    <d v="2025-09-03T00:00:00"/>
  </r>
  <r>
    <x v="6"/>
    <s v="Medan"/>
    <s v="P05"/>
    <n v="3"/>
    <n v="20000"/>
    <n v="60000"/>
    <s v="Mocha"/>
    <s v="Chocolate"/>
    <n v="14"/>
    <n v="9"/>
    <n v="2025"/>
    <d v="2025-09-14T00:00:00"/>
  </r>
  <r>
    <x v="20"/>
    <s v="Medan"/>
    <s v="P01"/>
    <n v="2"/>
    <n v="35000"/>
    <n v="70000"/>
    <s v="Cappuccino"/>
    <s v="Coffee"/>
    <n v="12"/>
    <n v="9"/>
    <n v="2025"/>
    <d v="2025-09-12T00:00:00"/>
  </r>
  <r>
    <x v="21"/>
    <s v="Medan"/>
    <s v="P02"/>
    <n v="1"/>
    <n v="25000"/>
    <n v="25000"/>
    <s v="Latte"/>
    <s v="Coffee"/>
    <n v="4"/>
    <n v="9"/>
    <n v="2025"/>
    <d v="2025-09-04T00:00:00"/>
  </r>
  <r>
    <x v="0"/>
    <s v="Medan"/>
    <s v="P03"/>
    <n v="1"/>
    <n v="28000"/>
    <n v="28000"/>
    <s v="Espresso"/>
    <s v="Coffee"/>
    <n v="20"/>
    <n v="9"/>
    <n v="2025"/>
    <d v="2025-09-20T00:00:00"/>
  </r>
  <r>
    <x v="12"/>
    <s v="Medan"/>
    <s v="P04"/>
    <n v="2"/>
    <n v="28000"/>
    <n v="56000"/>
    <s v="Americano"/>
    <s v="Coffee"/>
    <n v="8"/>
    <n v="9"/>
    <n v="2025"/>
    <d v="2025-09-08T00:00:00"/>
  </r>
  <r>
    <x v="7"/>
    <s v="Medan"/>
    <s v="P05"/>
    <n v="2"/>
    <n v="28000"/>
    <n v="56000"/>
    <s v="Mocha"/>
    <s v="Chocolate"/>
    <n v="27"/>
    <n v="9"/>
    <n v="2025"/>
    <d v="2025-09-27T00:00:00"/>
  </r>
  <r>
    <x v="16"/>
    <s v="Medan"/>
    <s v="P05"/>
    <n v="2"/>
    <n v="28000"/>
    <n v="56000"/>
    <s v="Mocha"/>
    <s v="Chocolate"/>
    <n v="24"/>
    <n v="9"/>
    <n v="2025"/>
    <d v="2025-09-24T00:00:00"/>
  </r>
  <r>
    <x v="13"/>
    <s v="Medan"/>
    <s v="P05"/>
    <n v="5"/>
    <n v="28000"/>
    <n v="140000"/>
    <s v="Mocha"/>
    <s v="Chocolate"/>
    <n v="29"/>
    <n v="9"/>
    <n v="2025"/>
    <d v="2025-09-29T00:00:00"/>
  </r>
  <r>
    <x v="23"/>
    <s v="Medan"/>
    <s v="P05"/>
    <n v="2"/>
    <n v="20000"/>
    <n v="40000"/>
    <s v="Mocha"/>
    <s v="Chocolate"/>
    <n v="15"/>
    <n v="9"/>
    <n v="2025"/>
    <d v="2025-09-15T00:00:00"/>
  </r>
  <r>
    <x v="9"/>
    <s v="Medan"/>
    <s v="P05"/>
    <n v="1"/>
    <n v="30000"/>
    <n v="30000"/>
    <s v="Mocha"/>
    <s v="Chocolate"/>
    <n v="7"/>
    <n v="9"/>
    <n v="2025"/>
    <d v="2025-09-07T00:00:00"/>
  </r>
  <r>
    <x v="4"/>
    <s v="Medan"/>
    <s v="P05"/>
    <n v="2"/>
    <n v="28000"/>
    <n v="56000"/>
    <s v="Mocha"/>
    <s v="Chocolate"/>
    <n v="2"/>
    <n v="9"/>
    <n v="2025"/>
    <d v="2025-09-02T00:00:00"/>
  </r>
  <r>
    <x v="9"/>
    <s v="Medan"/>
    <s v="P05"/>
    <n v="2"/>
    <n v="35000"/>
    <n v="70000"/>
    <s v="Mocha"/>
    <s v="Chocolate"/>
    <n v="7"/>
    <n v="9"/>
    <n v="2025"/>
    <d v="2025-09-07T00:00:00"/>
  </r>
  <r>
    <x v="19"/>
    <s v="Medan"/>
    <s v="P05"/>
    <n v="3"/>
    <n v="28000"/>
    <n v="84000"/>
    <s v="Mocha"/>
    <s v="Chocolate"/>
    <n v="5"/>
    <n v="9"/>
    <n v="2025"/>
    <d v="2025-09-05T00:00:00"/>
  </r>
  <r>
    <x v="12"/>
    <s v="Medan"/>
    <s v="P05"/>
    <n v="4"/>
    <n v="25000"/>
    <n v="100000"/>
    <s v="Mocha"/>
    <s v="Chocolate"/>
    <n v="8"/>
    <n v="9"/>
    <n v="2025"/>
    <d v="2025-09-08T00:00:00"/>
  </r>
  <r>
    <x v="11"/>
    <s v="Medan"/>
    <s v="P05"/>
    <n v="4"/>
    <n v="25000"/>
    <n v="100000"/>
    <s v="Mocha"/>
    <s v="Chocolate"/>
    <n v="17"/>
    <n v="9"/>
    <n v="2025"/>
    <d v="2025-09-17T00:00:00"/>
  </r>
  <r>
    <x v="17"/>
    <s v="Medan"/>
    <s v="P05"/>
    <n v="5"/>
    <n v="20000"/>
    <n v="100000"/>
    <s v="Mocha"/>
    <s v="Chocolate"/>
    <n v="3"/>
    <n v="9"/>
    <n v="2025"/>
    <d v="2025-09-03T00:00:00"/>
  </r>
  <r>
    <x v="0"/>
    <s v="Medan"/>
    <s v="P05"/>
    <n v="1"/>
    <n v="30000"/>
    <n v="30000"/>
    <s v="Mocha"/>
    <s v="Chocolate"/>
    <n v="20"/>
    <n v="9"/>
    <n v="2025"/>
    <d v="2025-09-20T00:00:00"/>
  </r>
  <r>
    <x v="10"/>
    <s v="Medan"/>
    <s v="P05"/>
    <n v="4"/>
    <n v="28000"/>
    <n v="112000"/>
    <s v="Mocha"/>
    <s v="Chocolate"/>
    <n v="22"/>
    <n v="9"/>
    <n v="2025"/>
    <d v="2025-09-22T00:00:00"/>
  </r>
  <r>
    <x v="28"/>
    <s v="Medan"/>
    <s v="P05"/>
    <n v="1"/>
    <n v="30000"/>
    <n v="30000"/>
    <s v="Mocha"/>
    <s v="Chocolate"/>
    <n v="21"/>
    <n v="9"/>
    <n v="2025"/>
    <d v="2025-09-21T00:00:00"/>
  </r>
  <r>
    <x v="23"/>
    <s v="Medan"/>
    <s v="P04"/>
    <n v="5"/>
    <n v="30000"/>
    <n v="150000"/>
    <s v="Americano"/>
    <s v="Coffee"/>
    <n v="15"/>
    <n v="9"/>
    <n v="2025"/>
    <d v="2025-09-15T00:00:00"/>
  </r>
  <r>
    <x v="27"/>
    <s v="Medan"/>
    <s v="P05"/>
    <n v="5"/>
    <n v="35000"/>
    <n v="175000"/>
    <s v="Mocha"/>
    <s v="Chocolate"/>
    <n v="9"/>
    <n v="9"/>
    <n v="2025"/>
    <d v="2025-09-09T00:00:00"/>
  </r>
  <r>
    <x v="7"/>
    <s v="Medan"/>
    <s v="P03"/>
    <n v="5"/>
    <n v="20000"/>
    <n v="100000"/>
    <s v="Espresso"/>
    <s v="Coffee"/>
    <n v="27"/>
    <n v="9"/>
    <n v="2025"/>
    <d v="2025-09-27T00:00:00"/>
  </r>
  <r>
    <x v="4"/>
    <s v="Medan"/>
    <s v="P04"/>
    <n v="2"/>
    <n v="30000"/>
    <n v="60000"/>
    <s v="Americano"/>
    <s v="Coffee"/>
    <n v="2"/>
    <n v="9"/>
    <n v="2025"/>
    <d v="2025-09-02T00:00:00"/>
  </r>
  <r>
    <x v="13"/>
    <s v="Medan"/>
    <s v="P05"/>
    <n v="2"/>
    <n v="30000"/>
    <n v="60000"/>
    <s v="Mocha"/>
    <s v="Chocolate"/>
    <n v="29"/>
    <n v="9"/>
    <n v="2025"/>
    <d v="2025-09-29T00:00:00"/>
  </r>
  <r>
    <x v="0"/>
    <s v="Medan"/>
    <s v="P01"/>
    <n v="1"/>
    <n v="20000"/>
    <n v="20000"/>
    <s v="Cappuccino"/>
    <s v="Coffee"/>
    <n v="20"/>
    <n v="9"/>
    <n v="2025"/>
    <d v="2025-09-20T00:00:00"/>
  </r>
  <r>
    <x v="9"/>
    <s v="Medan"/>
    <s v="P02"/>
    <n v="4"/>
    <n v="30000"/>
    <n v="120000"/>
    <s v="Latte"/>
    <s v="Coffee"/>
    <n v="7"/>
    <n v="9"/>
    <n v="2025"/>
    <d v="2025-09-07T00:00:00"/>
  </r>
  <r>
    <x v="10"/>
    <s v="Medan"/>
    <s v="P03"/>
    <n v="1"/>
    <n v="28000"/>
    <n v="28000"/>
    <s v="Espresso"/>
    <s v="Coffee"/>
    <n v="22"/>
    <n v="9"/>
    <n v="2025"/>
    <d v="2025-09-22T00:00:00"/>
  </r>
  <r>
    <x v="7"/>
    <s v="Medan"/>
    <s v="P04"/>
    <n v="5"/>
    <n v="35000"/>
    <n v="175000"/>
    <s v="Americano"/>
    <s v="Coffee"/>
    <n v="27"/>
    <n v="9"/>
    <n v="2025"/>
    <d v="2025-09-27T00:00:00"/>
  </r>
  <r>
    <x v="25"/>
    <s v="Medan"/>
    <s v="P05"/>
    <n v="5"/>
    <n v="28000"/>
    <n v="140000"/>
    <s v="Mocha"/>
    <s v="Chocolate"/>
    <n v="28"/>
    <n v="9"/>
    <n v="2025"/>
    <d v="2025-09-28T00:00:00"/>
  </r>
  <r>
    <x v="2"/>
    <s v="Medan"/>
    <s v="P01"/>
    <n v="3"/>
    <n v="25000"/>
    <n v="75000"/>
    <s v="Cappuccino"/>
    <s v="Coffee"/>
    <n v="19"/>
    <n v="9"/>
    <n v="2025"/>
    <d v="2025-09-19T00:00:00"/>
  </r>
  <r>
    <x v="29"/>
    <s v="Medan"/>
    <s v="P02"/>
    <n v="2"/>
    <n v="28000"/>
    <n v="56000"/>
    <s v="Latte"/>
    <s v="Coffee"/>
    <n v="18"/>
    <n v="9"/>
    <n v="2025"/>
    <d v="2025-09-18T00:00:00"/>
  </r>
  <r>
    <x v="23"/>
    <s v="Medan"/>
    <s v="P03"/>
    <n v="4"/>
    <n v="25000"/>
    <n v="100000"/>
    <s v="Espresso"/>
    <s v="Coffee"/>
    <n v="15"/>
    <n v="9"/>
    <n v="2025"/>
    <d v="2025-09-15T00:00:00"/>
  </r>
  <r>
    <x v="23"/>
    <s v="Medan"/>
    <s v="P04"/>
    <n v="3"/>
    <n v="28000"/>
    <n v="84000"/>
    <s v="Americano"/>
    <s v="Coffee"/>
    <n v="15"/>
    <n v="9"/>
    <n v="2025"/>
    <d v="2025-09-15T00:00:00"/>
  </r>
  <r>
    <x v="10"/>
    <s v="Medan"/>
    <s v="P05"/>
    <n v="1"/>
    <n v="30000"/>
    <n v="30000"/>
    <s v="Mocha"/>
    <s v="Chocolate"/>
    <n v="22"/>
    <n v="9"/>
    <n v="2025"/>
    <d v="2025-09-22T00:00:00"/>
  </r>
  <r>
    <x v="3"/>
    <s v="Medan"/>
    <s v="P01"/>
    <n v="1"/>
    <n v="25000"/>
    <n v="25000"/>
    <s v="Cappuccino"/>
    <s v="Coffee"/>
    <n v="11"/>
    <n v="9"/>
    <n v="2025"/>
    <d v="2025-09-11T00:00:00"/>
  </r>
  <r>
    <x v="24"/>
    <s v="Medan"/>
    <s v="P02"/>
    <n v="5"/>
    <n v="20000"/>
    <n v="100000"/>
    <s v="Latte"/>
    <s v="Coffee"/>
    <n v="25"/>
    <n v="9"/>
    <n v="2025"/>
    <d v="2025-09-25T00:00:00"/>
  </r>
  <r>
    <x v="27"/>
    <s v="Medan"/>
    <s v="P03"/>
    <n v="3"/>
    <n v="35000"/>
    <n v="105000"/>
    <s v="Espresso"/>
    <s v="Coffee"/>
    <n v="9"/>
    <n v="9"/>
    <n v="2025"/>
    <d v="2025-09-09T00:00:00"/>
  </r>
  <r>
    <x v="29"/>
    <s v="Medan"/>
    <s v="P04"/>
    <n v="2"/>
    <n v="30000"/>
    <n v="60000"/>
    <s v="Americano"/>
    <s v="Coffee"/>
    <n v="18"/>
    <n v="9"/>
    <n v="2025"/>
    <d v="2025-09-18T00:00:00"/>
  </r>
  <r>
    <x v="2"/>
    <s v="Medan"/>
    <s v="P05"/>
    <n v="1"/>
    <n v="30000"/>
    <n v="30000"/>
    <s v="Mocha"/>
    <s v="Chocolate"/>
    <n v="19"/>
    <n v="9"/>
    <n v="2025"/>
    <d v="2025-09-19T00:00:00"/>
  </r>
  <r>
    <x v="20"/>
    <s v="Medan"/>
    <s v="P01"/>
    <n v="5"/>
    <n v="35000"/>
    <n v="175000"/>
    <s v="Cappuccino"/>
    <s v="Coffee"/>
    <n v="12"/>
    <n v="9"/>
    <n v="2025"/>
    <d v="2025-09-12T00:00:00"/>
  </r>
  <r>
    <x v="2"/>
    <s v="Medan"/>
    <s v="P02"/>
    <n v="5"/>
    <n v="28000"/>
    <n v="140000"/>
    <s v="Latte"/>
    <s v="Coffee"/>
    <n v="19"/>
    <n v="9"/>
    <n v="2025"/>
    <d v="2025-09-19T00:00:00"/>
  </r>
  <r>
    <x v="5"/>
    <s v="Medan"/>
    <s v="P03"/>
    <n v="1"/>
    <n v="25000"/>
    <n v="25000"/>
    <s v="Espresso"/>
    <s v="Coffee"/>
    <n v="13"/>
    <n v="9"/>
    <n v="2025"/>
    <d v="2025-09-13T00:00:00"/>
  </r>
  <r>
    <x v="17"/>
    <s v="Medan"/>
    <s v="P04"/>
    <n v="2"/>
    <n v="25000"/>
    <n v="50000"/>
    <s v="Americano"/>
    <s v="Coffee"/>
    <n v="3"/>
    <n v="9"/>
    <n v="2025"/>
    <d v="2025-09-03T00:00:00"/>
  </r>
  <r>
    <x v="28"/>
    <s v="Medan"/>
    <s v="P05"/>
    <n v="4"/>
    <n v="28000"/>
    <n v="112000"/>
    <s v="Mocha"/>
    <s v="Chocolate"/>
    <n v="21"/>
    <n v="9"/>
    <n v="2025"/>
    <d v="2025-09-21T00:00:00"/>
  </r>
  <r>
    <x v="27"/>
    <s v="Medan"/>
    <s v="P01"/>
    <n v="4"/>
    <n v="25000"/>
    <n v="100000"/>
    <s v="Cappuccino"/>
    <s v="Coffee"/>
    <n v="9"/>
    <n v="9"/>
    <n v="2025"/>
    <d v="2025-09-09T00:00:00"/>
  </r>
  <r>
    <x v="16"/>
    <s v="Medan"/>
    <s v="P02"/>
    <n v="5"/>
    <n v="30000"/>
    <n v="150000"/>
    <s v="Latte"/>
    <s v="Coffee"/>
    <n v="24"/>
    <n v="9"/>
    <n v="2025"/>
    <d v="2025-09-24T00:00:00"/>
  </r>
  <r>
    <x v="19"/>
    <s v="Medan"/>
    <s v="P03"/>
    <n v="2"/>
    <n v="20000"/>
    <n v="40000"/>
    <s v="Espresso"/>
    <s v="Coffee"/>
    <n v="5"/>
    <n v="9"/>
    <n v="2025"/>
    <d v="2025-09-05T00:00:00"/>
  </r>
  <r>
    <x v="18"/>
    <s v="Medan"/>
    <s v="P04"/>
    <n v="1"/>
    <n v="20000"/>
    <n v="20000"/>
    <s v="Americano"/>
    <s v="Coffee"/>
    <n v="6"/>
    <n v="9"/>
    <n v="2025"/>
    <d v="2025-09-06T00:00:00"/>
  </r>
  <r>
    <x v="18"/>
    <s v="Medan"/>
    <s v="P05"/>
    <n v="3"/>
    <n v="20000"/>
    <n v="60000"/>
    <s v="Mocha"/>
    <s v="Chocolate"/>
    <n v="6"/>
    <n v="9"/>
    <n v="2025"/>
    <d v="2025-09-06T00:00:00"/>
  </r>
  <r>
    <x v="11"/>
    <s v="Medan"/>
    <s v="P01"/>
    <n v="3"/>
    <n v="25000"/>
    <n v="75000"/>
    <s v="Cappuccino"/>
    <s v="Coffee"/>
    <n v="17"/>
    <n v="9"/>
    <n v="2025"/>
    <d v="2025-09-17T00:00:00"/>
  </r>
  <r>
    <x v="19"/>
    <s v="Medan"/>
    <s v="P02"/>
    <n v="2"/>
    <n v="25000"/>
    <n v="50000"/>
    <s v="Latte"/>
    <s v="Coffee"/>
    <n v="5"/>
    <n v="9"/>
    <n v="2025"/>
    <d v="2025-09-05T00:00:00"/>
  </r>
  <r>
    <x v="4"/>
    <s v="Medan"/>
    <s v="P03"/>
    <n v="2"/>
    <n v="28000"/>
    <n v="56000"/>
    <s v="Espresso"/>
    <s v="Coffee"/>
    <n v="2"/>
    <n v="9"/>
    <n v="2025"/>
    <d v="2025-09-02T00:00:00"/>
  </r>
  <r>
    <x v="1"/>
    <s v="Medan"/>
    <s v="P04"/>
    <n v="2"/>
    <n v="35000"/>
    <n v="70000"/>
    <s v="Americano"/>
    <s v="Coffee"/>
    <n v="26"/>
    <n v="9"/>
    <n v="2025"/>
    <d v="2025-09-26T00:00:00"/>
  </r>
  <r>
    <x v="25"/>
    <s v="Medan"/>
    <s v="P05"/>
    <n v="3"/>
    <n v="25000"/>
    <n v="75000"/>
    <s v="Mocha"/>
    <s v="Chocolate"/>
    <n v="28"/>
    <n v="9"/>
    <n v="2025"/>
    <d v="2025-09-28T00:00:00"/>
  </r>
  <r>
    <x v="18"/>
    <s v="Medan"/>
    <s v="P03"/>
    <n v="5"/>
    <n v="20000"/>
    <n v="100000"/>
    <s v="Espresso"/>
    <s v="Coffee"/>
    <n v="6"/>
    <n v="9"/>
    <n v="2025"/>
    <d v="2025-09-06T00:00:00"/>
  </r>
  <r>
    <x v="10"/>
    <s v="Medan"/>
    <s v="P04"/>
    <n v="5"/>
    <n v="20000"/>
    <n v="100000"/>
    <s v="Americano"/>
    <s v="Coffee"/>
    <n v="22"/>
    <n v="9"/>
    <n v="2025"/>
    <d v="2025-09-22T00:00:00"/>
  </r>
  <r>
    <x v="26"/>
    <s v="Medan"/>
    <s v="P05"/>
    <n v="3"/>
    <n v="20000"/>
    <n v="60000"/>
    <s v="Mocha"/>
    <s v="Chocolate"/>
    <n v="16"/>
    <n v="9"/>
    <n v="2025"/>
    <d v="2025-09-16T00:00:00"/>
  </r>
  <r>
    <x v="21"/>
    <s v="Medan"/>
    <s v="P04"/>
    <n v="1"/>
    <n v="20000"/>
    <n v="20000"/>
    <s v="Americano"/>
    <s v="Coffee"/>
    <n v="4"/>
    <n v="9"/>
    <n v="2025"/>
    <d v="2025-09-04T00:00:00"/>
  </r>
  <r>
    <x v="14"/>
    <s v="Medan"/>
    <s v="P05"/>
    <n v="4"/>
    <n v="25000"/>
    <n v="100000"/>
    <s v="Mocha"/>
    <s v="Chocolate"/>
    <n v="10"/>
    <n v="9"/>
    <n v="2025"/>
    <d v="2025-09-10T00:00:00"/>
  </r>
  <r>
    <x v="11"/>
    <s v="Medan"/>
    <s v="P01"/>
    <n v="3"/>
    <n v="25000"/>
    <n v="75000"/>
    <s v="Cappuccino"/>
    <s v="Coffee"/>
    <n v="17"/>
    <n v="9"/>
    <n v="2025"/>
    <d v="2025-09-17T00:00:00"/>
  </r>
  <r>
    <x v="29"/>
    <s v="Medan"/>
    <s v="P02"/>
    <n v="1"/>
    <n v="28000"/>
    <n v="28000"/>
    <s v="Latte"/>
    <s v="Coffee"/>
    <n v="18"/>
    <n v="9"/>
    <n v="2025"/>
    <d v="2025-09-18T00:00:00"/>
  </r>
  <r>
    <x v="7"/>
    <s v="Medan"/>
    <s v="P03"/>
    <n v="1"/>
    <n v="28000"/>
    <n v="28000"/>
    <s v="Espresso"/>
    <s v="Coffee"/>
    <n v="27"/>
    <n v="9"/>
    <n v="2025"/>
    <d v="2025-09-27T00:00:00"/>
  </r>
  <r>
    <x v="28"/>
    <s v="Medan"/>
    <s v="P04"/>
    <n v="3"/>
    <n v="20000"/>
    <n v="60000"/>
    <s v="Americano"/>
    <s v="Coffee"/>
    <n v="21"/>
    <n v="9"/>
    <n v="2025"/>
    <d v="2025-09-21T00:00:00"/>
  </r>
  <r>
    <x v="16"/>
    <s v="Medan"/>
    <s v="P05"/>
    <n v="5"/>
    <n v="25000"/>
    <n v="125000"/>
    <s v="Mocha"/>
    <s v="Chocolate"/>
    <n v="24"/>
    <n v="9"/>
    <n v="2025"/>
    <d v="2025-09-24T00:00:00"/>
  </r>
  <r>
    <x v="3"/>
    <s v="Medan"/>
    <s v="P03"/>
    <n v="2"/>
    <n v="30000"/>
    <n v="60000"/>
    <s v="Espresso"/>
    <s v="Coffee"/>
    <n v="11"/>
    <n v="9"/>
    <n v="2025"/>
    <d v="2025-09-11T00:00:00"/>
  </r>
  <r>
    <x v="17"/>
    <s v="Medan"/>
    <s v="P04"/>
    <n v="4"/>
    <n v="30000"/>
    <n v="120000"/>
    <s v="Americano"/>
    <s v="Coffee"/>
    <n v="3"/>
    <n v="9"/>
    <n v="2025"/>
    <d v="2025-09-03T00:00:00"/>
  </r>
  <r>
    <x v="2"/>
    <s v="Medan"/>
    <s v="P05"/>
    <n v="5"/>
    <n v="30000"/>
    <n v="150000"/>
    <s v="Mocha"/>
    <s v="Chocolate"/>
    <n v="19"/>
    <n v="9"/>
    <n v="2025"/>
    <d v="2025-09-19T00:00:00"/>
  </r>
  <r>
    <x v="9"/>
    <s v="Medan"/>
    <s v="P01"/>
    <n v="1"/>
    <n v="25000"/>
    <n v="25000"/>
    <s v="Cappuccino"/>
    <s v="Coffee"/>
    <n v="7"/>
    <n v="9"/>
    <n v="2025"/>
    <d v="2025-09-07T00:00:00"/>
  </r>
  <r>
    <x v="21"/>
    <s v="Medan"/>
    <s v="P02"/>
    <n v="2"/>
    <n v="30000"/>
    <n v="60000"/>
    <s v="Latte"/>
    <s v="Coffee"/>
    <n v="4"/>
    <n v="9"/>
    <n v="2025"/>
    <d v="2025-09-04T00:00:00"/>
  </r>
  <r>
    <x v="29"/>
    <s v="Medan"/>
    <s v="P03"/>
    <n v="1"/>
    <n v="28000"/>
    <n v="28000"/>
    <s v="Espresso"/>
    <s v="Coffee"/>
    <n v="18"/>
    <n v="9"/>
    <n v="2025"/>
    <d v="2025-09-18T00:00:00"/>
  </r>
  <r>
    <x v="2"/>
    <s v="Medan"/>
    <s v="P04"/>
    <n v="2"/>
    <n v="25000"/>
    <n v="50000"/>
    <s v="Americano"/>
    <s v="Coffee"/>
    <n v="19"/>
    <n v="9"/>
    <n v="2025"/>
    <d v="2025-09-19T00:00:00"/>
  </r>
  <r>
    <x v="5"/>
    <s v="Medan"/>
    <s v="P05"/>
    <n v="1"/>
    <n v="35000"/>
    <n v="35000"/>
    <s v="Mocha"/>
    <s v="Chocolate"/>
    <n v="13"/>
    <n v="9"/>
    <n v="2025"/>
    <d v="2025-09-13T00:00:00"/>
  </r>
  <r>
    <x v="25"/>
    <s v="Medan"/>
    <s v="P01"/>
    <n v="2"/>
    <n v="20000"/>
    <n v="40000"/>
    <s v="Cappuccino"/>
    <s v="Coffee"/>
    <n v="28"/>
    <n v="9"/>
    <n v="2025"/>
    <d v="2025-09-28T00:00:00"/>
  </r>
  <r>
    <x v="24"/>
    <s v="Medan"/>
    <s v="P02"/>
    <n v="1"/>
    <n v="35000"/>
    <n v="35000"/>
    <s v="Latte"/>
    <s v="Coffee"/>
    <n v="25"/>
    <n v="9"/>
    <n v="2025"/>
    <d v="2025-09-25T00:00:00"/>
  </r>
  <r>
    <x v="1"/>
    <s v="Medan"/>
    <s v="P03"/>
    <n v="4"/>
    <n v="25000"/>
    <n v="100000"/>
    <s v="Espresso"/>
    <s v="Coffee"/>
    <n v="26"/>
    <n v="9"/>
    <n v="2025"/>
    <d v="2025-09-26T00:00:00"/>
  </r>
  <r>
    <x v="27"/>
    <s v="Medan"/>
    <s v="P04"/>
    <n v="2"/>
    <n v="28000"/>
    <n v="56000"/>
    <s v="Americano"/>
    <s v="Coffee"/>
    <n v="9"/>
    <n v="9"/>
    <n v="2025"/>
    <d v="2025-09-09T00:00:00"/>
  </r>
  <r>
    <x v="3"/>
    <s v="Medan"/>
    <s v="P05"/>
    <n v="3"/>
    <n v="35000"/>
    <n v="105000"/>
    <s v="Mocha"/>
    <s v="Chocolate"/>
    <n v="11"/>
    <n v="9"/>
    <n v="2025"/>
    <d v="2025-09-11T00:00:00"/>
  </r>
  <r>
    <x v="11"/>
    <s v="Medan"/>
    <s v="P01"/>
    <n v="4"/>
    <n v="20000"/>
    <n v="80000"/>
    <s v="Cappuccino"/>
    <s v="Coffee"/>
    <n v="17"/>
    <n v="9"/>
    <n v="2025"/>
    <d v="2025-09-17T00:00:00"/>
  </r>
  <r>
    <x v="16"/>
    <s v="Medan"/>
    <s v="P02"/>
    <n v="3"/>
    <n v="20000"/>
    <n v="60000"/>
    <s v="Latte"/>
    <s v="Coffee"/>
    <n v="24"/>
    <n v="9"/>
    <n v="2025"/>
    <d v="2025-09-24T00:00:00"/>
  </r>
  <r>
    <x v="19"/>
    <s v="Medan"/>
    <s v="P03"/>
    <n v="1"/>
    <n v="30000"/>
    <n v="30000"/>
    <s v="Espresso"/>
    <s v="Coffee"/>
    <n v="5"/>
    <n v="9"/>
    <n v="2025"/>
    <d v="2025-09-05T00:00:00"/>
  </r>
  <r>
    <x v="29"/>
    <s v="Medan"/>
    <s v="P04"/>
    <n v="4"/>
    <n v="28000"/>
    <n v="112000"/>
    <s v="Americano"/>
    <s v="Coffee"/>
    <n v="18"/>
    <n v="9"/>
    <n v="2025"/>
    <d v="2025-09-18T00:00:00"/>
  </r>
  <r>
    <x v="17"/>
    <s v="Medan"/>
    <s v="P05"/>
    <n v="1"/>
    <n v="35000"/>
    <n v="35000"/>
    <s v="Mocha"/>
    <s v="Chocolate"/>
    <n v="3"/>
    <n v="9"/>
    <n v="2025"/>
    <d v="2025-09-03T00:00:00"/>
  </r>
  <r>
    <x v="5"/>
    <s v="Medan"/>
    <s v="P01"/>
    <n v="1"/>
    <n v="20000"/>
    <n v="20000"/>
    <s v="Cappuccino"/>
    <s v="Coffee"/>
    <n v="13"/>
    <n v="9"/>
    <n v="2025"/>
    <d v="2025-09-13T00:00:00"/>
  </r>
  <r>
    <x v="9"/>
    <s v="Medan"/>
    <s v="P02"/>
    <n v="1"/>
    <n v="25000"/>
    <n v="25000"/>
    <s v="Latte"/>
    <s v="Coffee"/>
    <n v="7"/>
    <n v="9"/>
    <n v="2025"/>
    <d v="2025-09-07T00:00:00"/>
  </r>
  <r>
    <x v="6"/>
    <s v="Medan"/>
    <s v="P03"/>
    <n v="1"/>
    <n v="20000"/>
    <n v="20000"/>
    <s v="Espresso"/>
    <s v="Coffee"/>
    <n v="14"/>
    <n v="9"/>
    <n v="2025"/>
    <d v="2025-09-14T00:00:00"/>
  </r>
  <r>
    <x v="15"/>
    <s v="Medan"/>
    <s v="P04"/>
    <n v="5"/>
    <n v="28000"/>
    <n v="140000"/>
    <s v="Americano"/>
    <s v="Coffee"/>
    <n v="30"/>
    <n v="9"/>
    <n v="2025"/>
    <d v="2025-09-30T00:00:00"/>
  </r>
  <r>
    <x v="2"/>
    <s v="Medan"/>
    <s v="P05"/>
    <n v="3"/>
    <n v="20000"/>
    <n v="60000"/>
    <s v="Mocha"/>
    <s v="Chocolate"/>
    <n v="19"/>
    <n v="9"/>
    <n v="2025"/>
    <d v="2025-09-19T00:00:00"/>
  </r>
  <r>
    <x v="6"/>
    <s v="Medan"/>
    <s v="P01"/>
    <n v="1"/>
    <n v="20000"/>
    <n v="20000"/>
    <s v="Cappuccino"/>
    <s v="Coffee"/>
    <n v="14"/>
    <n v="9"/>
    <n v="2025"/>
    <d v="2025-09-14T00:00:00"/>
  </r>
  <r>
    <x v="21"/>
    <s v="Medan"/>
    <s v="P02"/>
    <n v="2"/>
    <n v="30000"/>
    <n v="60000"/>
    <s v="Latte"/>
    <s v="Coffee"/>
    <n v="4"/>
    <n v="9"/>
    <n v="2025"/>
    <d v="2025-09-04T00:00:00"/>
  </r>
  <r>
    <x v="3"/>
    <s v="Medan"/>
    <s v="P03"/>
    <n v="4"/>
    <n v="28000"/>
    <n v="112000"/>
    <s v="Espresso"/>
    <s v="Coffee"/>
    <n v="11"/>
    <n v="9"/>
    <n v="2025"/>
    <d v="2025-09-11T00:00:00"/>
  </r>
  <r>
    <x v="24"/>
    <s v="Medan"/>
    <s v="P04"/>
    <n v="3"/>
    <n v="25000"/>
    <n v="75000"/>
    <s v="Americano"/>
    <s v="Coffee"/>
    <n v="25"/>
    <n v="9"/>
    <n v="2025"/>
    <d v="2025-09-25T00:00:00"/>
  </r>
  <r>
    <x v="25"/>
    <s v="Medan"/>
    <s v="P05"/>
    <n v="2"/>
    <n v="28000"/>
    <n v="56000"/>
    <s v="Mocha"/>
    <s v="Chocolate"/>
    <n v="28"/>
    <n v="9"/>
    <n v="2025"/>
    <d v="2025-09-28T00:00:00"/>
  </r>
  <r>
    <x v="4"/>
    <s v="Medan"/>
    <s v="P01"/>
    <n v="3"/>
    <n v="28000"/>
    <n v="84000"/>
    <s v="Cappuccino"/>
    <s v="Coffee"/>
    <n v="2"/>
    <n v="9"/>
    <n v="2025"/>
    <d v="2025-09-02T00:00:00"/>
  </r>
  <r>
    <x v="23"/>
    <s v="Medan"/>
    <s v="P02"/>
    <n v="1"/>
    <n v="20000"/>
    <n v="20000"/>
    <s v="Latte"/>
    <s v="Coffee"/>
    <n v="15"/>
    <n v="9"/>
    <n v="2025"/>
    <d v="2025-09-15T00:00:00"/>
  </r>
  <r>
    <x v="17"/>
    <s v="Medan"/>
    <s v="P03"/>
    <n v="1"/>
    <n v="25000"/>
    <n v="25000"/>
    <s v="Espresso"/>
    <s v="Coffee"/>
    <n v="3"/>
    <n v="9"/>
    <n v="2025"/>
    <d v="2025-09-03T00:00:00"/>
  </r>
  <r>
    <x v="8"/>
    <s v="Medan"/>
    <s v="P04"/>
    <n v="4"/>
    <n v="20000"/>
    <n v="80000"/>
    <s v="Americano"/>
    <s v="Coffee"/>
    <n v="1"/>
    <n v="9"/>
    <n v="2025"/>
    <d v="2025-09-01T00:00:00"/>
  </r>
  <r>
    <x v="11"/>
    <s v="Medan"/>
    <s v="P05"/>
    <n v="1"/>
    <n v="35000"/>
    <n v="35000"/>
    <s v="Mocha"/>
    <s v="Chocolate"/>
    <n v="17"/>
    <n v="9"/>
    <n v="2025"/>
    <d v="2025-09-17T00:00:00"/>
  </r>
  <r>
    <x v="14"/>
    <s v="Medan"/>
    <s v="P03"/>
    <n v="3"/>
    <n v="25000"/>
    <n v="75000"/>
    <s v="Espresso"/>
    <s v="Coffee"/>
    <n v="10"/>
    <n v="9"/>
    <n v="2025"/>
    <d v="2025-09-10T00:00:00"/>
  </r>
  <r>
    <x v="10"/>
    <s v="Medan"/>
    <s v="P04"/>
    <n v="5"/>
    <n v="25000"/>
    <n v="125000"/>
    <s v="Americano"/>
    <s v="Coffee"/>
    <n v="22"/>
    <n v="9"/>
    <n v="2025"/>
    <d v="2025-09-22T00:00:00"/>
  </r>
  <r>
    <x v="12"/>
    <s v="Medan"/>
    <s v="P05"/>
    <n v="2"/>
    <n v="35000"/>
    <n v="70000"/>
    <s v="Mocha"/>
    <s v="Chocolate"/>
    <n v="8"/>
    <n v="9"/>
    <n v="2025"/>
    <d v="2025-09-08T00:00:00"/>
  </r>
  <r>
    <x v="17"/>
    <s v="Medan"/>
    <s v="P01"/>
    <n v="1"/>
    <n v="30000"/>
    <n v="30000"/>
    <s v="Cappuccino"/>
    <s v="Coffee"/>
    <n v="3"/>
    <n v="9"/>
    <n v="2025"/>
    <d v="2025-09-03T00:00:00"/>
  </r>
  <r>
    <x v="20"/>
    <s v="Medan"/>
    <s v="P02"/>
    <n v="1"/>
    <n v="25000"/>
    <n v="25000"/>
    <s v="Latte"/>
    <s v="Coffee"/>
    <n v="12"/>
    <n v="9"/>
    <n v="2025"/>
    <d v="2025-09-12T00:00:00"/>
  </r>
  <r>
    <x v="24"/>
    <s v="Medan"/>
    <s v="P03"/>
    <n v="4"/>
    <n v="35000"/>
    <n v="140000"/>
    <s v="Espresso"/>
    <s v="Coffee"/>
    <n v="25"/>
    <n v="9"/>
    <n v="2025"/>
    <d v="2025-09-25T00:00:00"/>
  </r>
  <r>
    <x v="9"/>
    <s v="Medan"/>
    <s v="P04"/>
    <n v="1"/>
    <n v="30000"/>
    <n v="30000"/>
    <s v="Americano"/>
    <s v="Coffee"/>
    <n v="7"/>
    <n v="9"/>
    <n v="2025"/>
    <d v="2025-09-07T00:00:00"/>
  </r>
  <r>
    <x v="26"/>
    <s v="Medan"/>
    <s v="P05"/>
    <n v="3"/>
    <n v="28000"/>
    <n v="84000"/>
    <s v="Mocha"/>
    <s v="Chocolate"/>
    <n v="16"/>
    <n v="9"/>
    <n v="2025"/>
    <d v="2025-09-16T00:00:00"/>
  </r>
  <r>
    <x v="18"/>
    <s v="Medan"/>
    <s v="P01"/>
    <n v="2"/>
    <n v="20000"/>
    <n v="40000"/>
    <s v="Cappuccino"/>
    <s v="Coffee"/>
    <n v="6"/>
    <n v="9"/>
    <n v="2025"/>
    <d v="2025-09-06T00:00:00"/>
  </r>
  <r>
    <x v="14"/>
    <s v="Medan"/>
    <s v="P01"/>
    <n v="2"/>
    <n v="28000"/>
    <n v="56000"/>
    <s v="Cappuccino"/>
    <s v="Coffee"/>
    <n v="10"/>
    <n v="9"/>
    <n v="2025"/>
    <d v="2025-09-10T00:00:00"/>
  </r>
  <r>
    <x v="7"/>
    <s v="Medan"/>
    <s v="P02"/>
    <n v="1"/>
    <n v="28000"/>
    <n v="28000"/>
    <s v="Latte"/>
    <s v="Coffee"/>
    <n v="27"/>
    <n v="9"/>
    <n v="2025"/>
    <d v="2025-09-27T00:00:00"/>
  </r>
  <r>
    <x v="8"/>
    <s v="Medan"/>
    <s v="P03"/>
    <n v="1"/>
    <n v="20000"/>
    <n v="20000"/>
    <s v="Espresso"/>
    <s v="Coffee"/>
    <n v="1"/>
    <n v="9"/>
    <n v="2025"/>
    <d v="2025-09-01T00:00:00"/>
  </r>
  <r>
    <x v="10"/>
    <s v="Medan"/>
    <s v="P04"/>
    <n v="3"/>
    <n v="20000"/>
    <n v="60000"/>
    <s v="Americano"/>
    <s v="Coffee"/>
    <n v="22"/>
    <n v="9"/>
    <n v="2025"/>
    <d v="2025-09-22T00:00:00"/>
  </r>
  <r>
    <x v="7"/>
    <s v="Medan"/>
    <s v="P05"/>
    <n v="3"/>
    <n v="28000"/>
    <n v="84000"/>
    <s v="Mocha"/>
    <s v="Chocolate"/>
    <n v="27"/>
    <n v="9"/>
    <n v="2025"/>
    <d v="2025-09-27T00:00:00"/>
  </r>
  <r>
    <x v="28"/>
    <s v="Medan"/>
    <s v="P03"/>
    <n v="3"/>
    <n v="25000"/>
    <n v="75000"/>
    <s v="Espresso"/>
    <s v="Coffee"/>
    <n v="21"/>
    <n v="9"/>
    <n v="2025"/>
    <d v="2025-09-21T00:00:00"/>
  </r>
  <r>
    <x v="16"/>
    <s v="Medan"/>
    <s v="P04"/>
    <n v="2"/>
    <n v="28000"/>
    <n v="56000"/>
    <s v="Americano"/>
    <s v="Coffee"/>
    <n v="24"/>
    <n v="9"/>
    <n v="2025"/>
    <d v="2025-09-24T00:00:00"/>
  </r>
  <r>
    <x v="11"/>
    <s v="Medan"/>
    <s v="P05"/>
    <n v="1"/>
    <n v="28000"/>
    <n v="28000"/>
    <s v="Mocha"/>
    <s v="Chocolate"/>
    <n v="17"/>
    <n v="9"/>
    <n v="2025"/>
    <d v="2025-09-17T00:00:00"/>
  </r>
  <r>
    <x v="18"/>
    <s v="Medan"/>
    <s v="P01"/>
    <n v="5"/>
    <m/>
    <n v="100000"/>
    <s v="Cappuccino"/>
    <s v="Coffee"/>
    <n v="6"/>
    <n v="9"/>
    <n v="2025"/>
    <d v="2025-09-06T00:00:00"/>
  </r>
  <r>
    <x v="6"/>
    <s v="Medan"/>
    <s v="P02"/>
    <n v="1"/>
    <n v="35000"/>
    <n v="35000"/>
    <s v="Latte"/>
    <s v="Coffee"/>
    <n v="14"/>
    <n v="9"/>
    <n v="2025"/>
    <d v="2025-09-14T00:00:00"/>
  </r>
  <r>
    <x v="17"/>
    <s v="Medan"/>
    <s v="P03"/>
    <n v="3"/>
    <n v="20000"/>
    <n v="60000"/>
    <s v="Espresso"/>
    <s v="Coffee"/>
    <n v="3"/>
    <n v="9"/>
    <n v="2025"/>
    <d v="2025-09-03T00:00:00"/>
  </r>
  <r>
    <x v="8"/>
    <s v="Medan"/>
    <s v="P04"/>
    <n v="3"/>
    <n v="20000"/>
    <n v="60000"/>
    <s v="Americano"/>
    <s v="Coffee"/>
    <n v="1"/>
    <n v="9"/>
    <n v="2025"/>
    <d v="2025-09-01T00:00:00"/>
  </r>
  <r>
    <x v="5"/>
    <s v="Medan"/>
    <s v="P05"/>
    <n v="1"/>
    <n v="30000"/>
    <n v="30000"/>
    <s v="Mocha"/>
    <s v="Chocolate"/>
    <n v="13"/>
    <n v="9"/>
    <n v="2025"/>
    <d v="2025-09-13T00:00:00"/>
  </r>
  <r>
    <x v="11"/>
    <s v="Bandung"/>
    <s v="P03"/>
    <n v="3"/>
    <n v="20000"/>
    <n v="60000"/>
    <s v="Espresso"/>
    <s v="Coffee"/>
    <n v="17"/>
    <n v="9"/>
    <n v="2025"/>
    <d v="2025-09-17T00:00:00"/>
  </r>
  <r>
    <x v="3"/>
    <s v="Bandung"/>
    <s v="P01"/>
    <n v="5"/>
    <n v="30000"/>
    <n v="150000"/>
    <s v="Cappuccino"/>
    <s v="Coffee"/>
    <n v="11"/>
    <n v="9"/>
    <n v="2025"/>
    <d v="2025-09-11T00:00:00"/>
  </r>
  <r>
    <x v="13"/>
    <s v="Bandung"/>
    <s v="P05"/>
    <n v="1"/>
    <n v="28000"/>
    <n v="28000"/>
    <s v="Mocha"/>
    <s v="Chocolate"/>
    <n v="29"/>
    <n v="9"/>
    <n v="2025"/>
    <d v="2025-09-29T00:00:00"/>
  </r>
  <r>
    <x v="13"/>
    <s v="Bandung"/>
    <s v="P01"/>
    <n v="2"/>
    <n v="30000"/>
    <n v="60000"/>
    <s v="Cappuccino"/>
    <s v="Coffee"/>
    <n v="29"/>
    <n v="9"/>
    <n v="2025"/>
    <d v="2025-09-29T00:00:00"/>
  </r>
  <r>
    <x v="9"/>
    <s v="Bandung"/>
    <s v="P02"/>
    <n v="2"/>
    <n v="35000"/>
    <n v="70000"/>
    <s v="Latte"/>
    <s v="Coffee"/>
    <n v="7"/>
    <n v="9"/>
    <n v="2025"/>
    <d v="2025-09-07T00:00:00"/>
  </r>
  <r>
    <x v="13"/>
    <s v="Bandung"/>
    <s v="P03"/>
    <n v="3"/>
    <n v="25000"/>
    <n v="75000"/>
    <s v="Espresso"/>
    <s v="Coffee"/>
    <n v="29"/>
    <n v="9"/>
    <n v="2025"/>
    <d v="2025-09-29T00:00:00"/>
  </r>
  <r>
    <x v="26"/>
    <s v="Bandung"/>
    <s v="P04"/>
    <n v="1"/>
    <n v="20000"/>
    <n v="20000"/>
    <s v="Americano"/>
    <s v="Coffee"/>
    <n v="16"/>
    <n v="9"/>
    <n v="2025"/>
    <d v="2025-09-16T00:00:00"/>
  </r>
  <r>
    <x v="5"/>
    <s v="Bandung"/>
    <s v="P05"/>
    <n v="1"/>
    <n v="35000"/>
    <n v="35000"/>
    <s v="Mocha"/>
    <s v="Chocolate"/>
    <n v="13"/>
    <n v="9"/>
    <n v="2025"/>
    <d v="2025-09-13T00:00:00"/>
  </r>
  <r>
    <x v="28"/>
    <s v="Bandung"/>
    <s v="P01"/>
    <n v="5"/>
    <n v="30000"/>
    <n v="150000"/>
    <s v="Cappuccino"/>
    <s v="Coffee"/>
    <n v="21"/>
    <n v="9"/>
    <n v="2025"/>
    <d v="2025-09-21T00:00:00"/>
  </r>
  <r>
    <x v="13"/>
    <s v="Bandung"/>
    <s v="P02"/>
    <n v="1"/>
    <n v="28000"/>
    <n v="28000"/>
    <s v="Latte"/>
    <s v="Coffee"/>
    <n v="29"/>
    <n v="9"/>
    <n v="2025"/>
    <d v="2025-09-29T00:00:00"/>
  </r>
  <r>
    <x v="21"/>
    <s v="Bandung"/>
    <s v="P03"/>
    <n v="1"/>
    <n v="30000"/>
    <n v="30000"/>
    <s v="Espresso"/>
    <s v="Coffee"/>
    <n v="4"/>
    <n v="9"/>
    <n v="2025"/>
    <d v="2025-09-04T00:00:00"/>
  </r>
  <r>
    <x v="0"/>
    <s v="Bandung"/>
    <s v="P03"/>
    <n v="4"/>
    <n v="25000"/>
    <n v="100000"/>
    <s v="Espresso"/>
    <s v="Coffee"/>
    <n v="20"/>
    <n v="9"/>
    <n v="2025"/>
    <d v="2025-09-20T00:00:00"/>
  </r>
  <r>
    <x v="3"/>
    <s v="Bandung"/>
    <s v="P01"/>
    <n v="3"/>
    <n v="28000"/>
    <n v="84000"/>
    <s v="Cappuccino"/>
    <s v="Coffee"/>
    <n v="11"/>
    <n v="9"/>
    <n v="2025"/>
    <d v="2025-09-11T00:00:00"/>
  </r>
  <r>
    <x v="0"/>
    <s v="Bandung"/>
    <s v="P05"/>
    <n v="5"/>
    <n v="20000"/>
    <n v="100000"/>
    <s v="Mocha"/>
    <s v="Chocolate"/>
    <n v="20"/>
    <n v="9"/>
    <n v="2025"/>
    <d v="2025-09-20T00:00:00"/>
  </r>
  <r>
    <x v="15"/>
    <s v="Bandung"/>
    <s v="P01"/>
    <n v="3"/>
    <n v="30000"/>
    <n v="90000"/>
    <s v="Cappuccino"/>
    <s v="Coffee"/>
    <n v="30"/>
    <n v="9"/>
    <n v="2025"/>
    <d v="2025-09-30T00:00:00"/>
  </r>
  <r>
    <x v="24"/>
    <s v="Bandung"/>
    <s v="P02"/>
    <n v="5"/>
    <n v="30000"/>
    <n v="150000"/>
    <s v="Latte"/>
    <s v="Coffee"/>
    <n v="25"/>
    <n v="9"/>
    <n v="2025"/>
    <d v="2025-09-25T00:00:00"/>
  </r>
  <r>
    <x v="7"/>
    <s v="Bandung"/>
    <s v="P03"/>
    <n v="5"/>
    <n v="35000"/>
    <n v="175000"/>
    <s v="Espresso"/>
    <s v="Coffee"/>
    <n v="27"/>
    <n v="9"/>
    <n v="2025"/>
    <d v="2025-09-27T00:00:00"/>
  </r>
  <r>
    <x v="2"/>
    <s v="Bandung"/>
    <s v="P04"/>
    <n v="3"/>
    <n v="30000"/>
    <n v="90000"/>
    <s v="Americano"/>
    <s v="Coffee"/>
    <n v="19"/>
    <n v="9"/>
    <n v="2025"/>
    <d v="2025-09-19T00:00:00"/>
  </r>
  <r>
    <x v="22"/>
    <s v="Bandung"/>
    <s v="P05"/>
    <n v="2"/>
    <n v="30000"/>
    <n v="60000"/>
    <s v="Mocha"/>
    <s v="Chocolate"/>
    <n v="23"/>
    <n v="9"/>
    <n v="2025"/>
    <d v="2025-09-23T00:00:00"/>
  </r>
  <r>
    <x v="26"/>
    <s v="Bandung"/>
    <s v="P01"/>
    <n v="1"/>
    <n v="25000"/>
    <n v="25000"/>
    <s v="Cappuccino"/>
    <s v="Coffee"/>
    <n v="16"/>
    <n v="9"/>
    <n v="2025"/>
    <d v="2025-09-16T00:00:00"/>
  </r>
  <r>
    <x v="0"/>
    <s v="Bandung"/>
    <s v="P02"/>
    <n v="3"/>
    <n v="28000"/>
    <n v="84000"/>
    <s v="Latte"/>
    <s v="Coffee"/>
    <n v="20"/>
    <n v="9"/>
    <n v="2025"/>
    <d v="2025-09-20T00:00:00"/>
  </r>
  <r>
    <x v="28"/>
    <s v="Bandung"/>
    <s v="P03"/>
    <n v="1"/>
    <n v="28000"/>
    <n v="28000"/>
    <s v="Espresso"/>
    <s v="Coffee"/>
    <n v="21"/>
    <n v="9"/>
    <n v="2025"/>
    <d v="2025-09-21T00:00:00"/>
  </r>
  <r>
    <x v="24"/>
    <s v="Bandung"/>
    <s v="P03"/>
    <n v="5"/>
    <n v="30000"/>
    <n v="150000"/>
    <s v="Espresso"/>
    <s v="Coffee"/>
    <n v="25"/>
    <n v="9"/>
    <n v="2025"/>
    <d v="2025-09-25T00:00:00"/>
  </r>
  <r>
    <x v="12"/>
    <s v="Bandung"/>
    <s v="P01"/>
    <n v="2"/>
    <n v="30000"/>
    <n v="60000"/>
    <s v="Cappuccino"/>
    <s v="Coffee"/>
    <n v="8"/>
    <n v="9"/>
    <n v="2025"/>
    <d v="2025-09-08T00:00:00"/>
  </r>
  <r>
    <x v="27"/>
    <s v="Bandung"/>
    <s v="P05"/>
    <n v="5"/>
    <n v="20000"/>
    <n v="100000"/>
    <s v="Mocha"/>
    <s v="Chocolate"/>
    <n v="9"/>
    <n v="9"/>
    <n v="2025"/>
    <d v="2025-09-09T00:00:00"/>
  </r>
  <r>
    <x v="8"/>
    <s v="Bandung"/>
    <s v="P01"/>
    <n v="4"/>
    <n v="20000"/>
    <n v="80000"/>
    <s v="Cappuccino"/>
    <s v="Coffee"/>
    <n v="1"/>
    <n v="9"/>
    <n v="2025"/>
    <d v="2025-09-01T00:00:00"/>
  </r>
  <r>
    <x v="6"/>
    <s v="Bandung"/>
    <s v="P02"/>
    <n v="2"/>
    <n v="28000"/>
    <n v="56000"/>
    <s v="Latte"/>
    <s v="Coffee"/>
    <n v="14"/>
    <n v="9"/>
    <n v="2025"/>
    <d v="2025-09-14T00:00:00"/>
  </r>
  <r>
    <x v="17"/>
    <s v="Bandung"/>
    <s v="P03"/>
    <n v="3"/>
    <n v="28000"/>
    <n v="84000"/>
    <s v="Espresso"/>
    <s v="Coffee"/>
    <n v="3"/>
    <n v="9"/>
    <n v="2025"/>
    <d v="2025-09-03T00:00:00"/>
  </r>
  <r>
    <x v="2"/>
    <s v="Bandung"/>
    <s v="P04"/>
    <n v="5"/>
    <n v="35000"/>
    <n v="175000"/>
    <s v="Americano"/>
    <s v="Coffee"/>
    <n v="19"/>
    <n v="9"/>
    <n v="2025"/>
    <d v="2025-09-19T00:00:00"/>
  </r>
  <r>
    <x v="15"/>
    <s v="Bandung"/>
    <s v="P05"/>
    <n v="5"/>
    <n v="35000"/>
    <n v="175000"/>
    <s v="Mocha"/>
    <s v="Chocolate"/>
    <n v="30"/>
    <n v="9"/>
    <n v="2025"/>
    <d v="2025-09-30T00:00:00"/>
  </r>
  <r>
    <x v="18"/>
    <s v="Bandung"/>
    <s v="P01"/>
    <n v="1"/>
    <n v="35000"/>
    <n v="35000"/>
    <s v="Cappuccino"/>
    <s v="Coffee"/>
    <n v="6"/>
    <n v="9"/>
    <n v="2025"/>
    <d v="2025-09-06T00:00:00"/>
  </r>
  <r>
    <x v="25"/>
    <s v="Bandung"/>
    <s v="P02"/>
    <n v="4"/>
    <n v="35000"/>
    <n v="140000"/>
    <s v="Latte"/>
    <s v="Coffee"/>
    <n v="28"/>
    <n v="9"/>
    <n v="2025"/>
    <d v="2025-09-28T00:00:00"/>
  </r>
  <r>
    <x v="8"/>
    <s v="Bandung"/>
    <s v="P03"/>
    <n v="1"/>
    <n v="20000"/>
    <n v="20000"/>
    <s v="Espresso"/>
    <s v="Coffee"/>
    <n v="1"/>
    <n v="9"/>
    <n v="2025"/>
    <d v="2025-09-01T00:00:00"/>
  </r>
  <r>
    <x v="23"/>
    <s v="Bandung"/>
    <s v="P03"/>
    <n v="5"/>
    <n v="30000"/>
    <n v="150000"/>
    <s v="Espresso"/>
    <s v="Coffee"/>
    <n v="15"/>
    <n v="9"/>
    <n v="2025"/>
    <d v="2025-09-15T00:00:00"/>
  </r>
  <r>
    <x v="27"/>
    <s v="Bandung"/>
    <s v="P01"/>
    <n v="1"/>
    <n v="35000"/>
    <n v="35000"/>
    <s v="Cappuccino"/>
    <s v="Coffee"/>
    <n v="9"/>
    <n v="9"/>
    <n v="2025"/>
    <d v="2025-09-09T00:00:00"/>
  </r>
  <r>
    <x v="12"/>
    <s v="Bandung"/>
    <s v="P05"/>
    <n v="3"/>
    <n v="30000"/>
    <n v="90000"/>
    <s v="Mocha"/>
    <s v="Chocolate"/>
    <n v="8"/>
    <n v="9"/>
    <n v="2025"/>
    <d v="2025-09-08T00:00:00"/>
  </r>
  <r>
    <x v="27"/>
    <s v="Bandung"/>
    <s v="P01"/>
    <n v="1"/>
    <n v="25000"/>
    <n v="25000"/>
    <s v="Cappuccino"/>
    <s v="Coffee"/>
    <n v="9"/>
    <n v="9"/>
    <n v="2025"/>
    <d v="2025-09-09T00:00:00"/>
  </r>
  <r>
    <x v="20"/>
    <s v="Bandung"/>
    <s v="P02"/>
    <n v="1"/>
    <n v="35000"/>
    <n v="35000"/>
    <s v="Latte"/>
    <s v="Coffee"/>
    <n v="12"/>
    <n v="9"/>
    <n v="2025"/>
    <d v="2025-09-12T00:00:00"/>
  </r>
  <r>
    <x v="14"/>
    <s v="Bandung"/>
    <s v="P03"/>
    <n v="2"/>
    <n v="20000"/>
    <n v="40000"/>
    <s v="Espresso"/>
    <s v="Coffee"/>
    <n v="10"/>
    <n v="9"/>
    <n v="2025"/>
    <d v="2025-09-10T00:00:00"/>
  </r>
  <r>
    <x v="1"/>
    <s v="Bandung"/>
    <s v="P04"/>
    <n v="5"/>
    <n v="35000"/>
    <n v="175000"/>
    <s v="Americano"/>
    <s v="Coffee"/>
    <n v="26"/>
    <n v="9"/>
    <n v="2025"/>
    <d v="2025-09-26T00:00:00"/>
  </r>
  <r>
    <x v="21"/>
    <s v="Bandung"/>
    <s v="P05"/>
    <n v="1"/>
    <n v="28000"/>
    <n v="28000"/>
    <s v="Mocha"/>
    <s v="Chocolate"/>
    <n v="4"/>
    <n v="9"/>
    <n v="2025"/>
    <d v="2025-09-04T00:00:00"/>
  </r>
  <r>
    <x v="14"/>
    <s v="Bandung"/>
    <s v="P01"/>
    <n v="1"/>
    <n v="30000"/>
    <n v="30000"/>
    <s v="Cappuccino"/>
    <s v="Coffee"/>
    <n v="10"/>
    <n v="9"/>
    <n v="2025"/>
    <d v="2025-09-10T00:00:00"/>
  </r>
  <r>
    <x v="7"/>
    <s v="Bandung"/>
    <s v="P02"/>
    <n v="4"/>
    <n v="35000"/>
    <n v="140000"/>
    <s v="Latte"/>
    <s v="Coffee"/>
    <n v="27"/>
    <n v="9"/>
    <n v="2025"/>
    <d v="2025-09-27T00:00:00"/>
  </r>
  <r>
    <x v="7"/>
    <s v="Bandung"/>
    <s v="P03"/>
    <n v="3"/>
    <n v="20000"/>
    <n v="60000"/>
    <s v="Espresso"/>
    <s v="Coffee"/>
    <n v="27"/>
    <n v="9"/>
    <n v="2025"/>
    <d v="2025-09-27T00:00:00"/>
  </r>
  <r>
    <x v="27"/>
    <s v="Bandung"/>
    <s v="P01"/>
    <n v="3"/>
    <n v="20000"/>
    <n v="60000"/>
    <s v="Cappuccino"/>
    <s v="Coffee"/>
    <n v="9"/>
    <n v="9"/>
    <n v="2025"/>
    <d v="2025-09-09T00:00:00"/>
  </r>
  <r>
    <x v="14"/>
    <s v="Bandung"/>
    <s v="P02"/>
    <n v="2"/>
    <n v="30000"/>
    <n v="60000"/>
    <s v="Latte"/>
    <s v="Coffee"/>
    <n v="10"/>
    <n v="9"/>
    <n v="2025"/>
    <d v="2025-09-10T00:00:00"/>
  </r>
  <r>
    <x v="20"/>
    <s v="Bandung"/>
    <s v="P03"/>
    <n v="5"/>
    <n v="20000"/>
    <n v="100000"/>
    <s v="Espresso"/>
    <s v="Coffee"/>
    <n v="12"/>
    <n v="9"/>
    <n v="2025"/>
    <d v="2025-09-12T00:00:00"/>
  </r>
  <r>
    <x v="15"/>
    <s v="Bandung"/>
    <s v="P04"/>
    <n v="5"/>
    <n v="30000"/>
    <n v="150000"/>
    <s v="Americano"/>
    <s v="Coffee"/>
    <n v="30"/>
    <n v="9"/>
    <n v="2025"/>
    <d v="2025-09-30T00:00:00"/>
  </r>
  <r>
    <x v="6"/>
    <s v="Bandung"/>
    <s v="P05"/>
    <n v="1"/>
    <n v="30000"/>
    <n v="30000"/>
    <s v="Mocha"/>
    <s v="Chocolate"/>
    <n v="14"/>
    <n v="9"/>
    <n v="2025"/>
    <d v="2025-09-14T00:00:00"/>
  </r>
  <r>
    <x v="28"/>
    <s v="Bandung"/>
    <s v="P01"/>
    <n v="1"/>
    <n v="28000"/>
    <n v="28000"/>
    <s v="Cappuccino"/>
    <s v="Coffee"/>
    <n v="21"/>
    <n v="9"/>
    <n v="2025"/>
    <d v="2025-09-21T00:00:00"/>
  </r>
  <r>
    <x v="11"/>
    <s v="Bandung"/>
    <s v="P02"/>
    <n v="2"/>
    <n v="28000"/>
    <n v="56000"/>
    <s v="Latte"/>
    <s v="Coffee"/>
    <n v="17"/>
    <n v="9"/>
    <n v="2025"/>
    <d v="2025-09-17T00:00:00"/>
  </r>
  <r>
    <x v="3"/>
    <s v="Bandung"/>
    <s v="P03"/>
    <n v="4"/>
    <n v="35000"/>
    <n v="140000"/>
    <s v="Espresso"/>
    <s v="Coffee"/>
    <n v="11"/>
    <n v="9"/>
    <n v="2025"/>
    <d v="2025-09-11T00:00:00"/>
  </r>
  <r>
    <x v="27"/>
    <s v="Bandung"/>
    <s v="P04"/>
    <n v="1"/>
    <n v="28000"/>
    <n v="28000"/>
    <s v="Americano"/>
    <s v="Coffee"/>
    <n v="9"/>
    <n v="9"/>
    <n v="2025"/>
    <d v="2025-09-09T00:00:00"/>
  </r>
  <r>
    <x v="22"/>
    <s v="Bandung"/>
    <s v="P05"/>
    <n v="4"/>
    <n v="20000"/>
    <n v="80000"/>
    <s v="Mocha"/>
    <s v="Chocolate"/>
    <n v="23"/>
    <n v="9"/>
    <n v="2025"/>
    <d v="2025-09-23T00:00:00"/>
  </r>
  <r>
    <x v="11"/>
    <s v="Bandung"/>
    <s v="P01"/>
    <n v="3"/>
    <n v="35000"/>
    <n v="105000"/>
    <s v="Cappuccino"/>
    <s v="Coffee"/>
    <n v="17"/>
    <n v="9"/>
    <n v="2025"/>
    <d v="2025-09-17T00:00:00"/>
  </r>
  <r>
    <x v="20"/>
    <s v="Bandung"/>
    <s v="P02"/>
    <n v="4"/>
    <n v="35000"/>
    <n v="140000"/>
    <s v="Latte"/>
    <s v="Coffee"/>
    <n v="12"/>
    <n v="9"/>
    <n v="2025"/>
    <d v="2025-09-12T00:00:00"/>
  </r>
  <r>
    <x v="24"/>
    <s v="Bandung"/>
    <s v="P03"/>
    <n v="5"/>
    <n v="28000"/>
    <n v="140000"/>
    <s v="Espresso"/>
    <s v="Coffee"/>
    <n v="25"/>
    <n v="9"/>
    <n v="2025"/>
    <d v="2025-09-25T00:00:00"/>
  </r>
  <r>
    <x v="17"/>
    <s v="Bandung"/>
    <s v="P04"/>
    <n v="1"/>
    <n v="35000"/>
    <n v="35000"/>
    <s v="Americano"/>
    <s v="Coffee"/>
    <n v="3"/>
    <n v="9"/>
    <n v="2025"/>
    <d v="2025-09-03T00:00:00"/>
  </r>
  <r>
    <x v="3"/>
    <s v="Bandung"/>
    <s v="P05"/>
    <n v="2"/>
    <n v="20000"/>
    <n v="40000"/>
    <s v="Mocha"/>
    <s v="Chocolate"/>
    <n v="11"/>
    <n v="9"/>
    <n v="2025"/>
    <d v="2025-09-11T00:00:00"/>
  </r>
  <r>
    <x v="18"/>
    <s v="Bandung"/>
    <s v="P01"/>
    <n v="5"/>
    <n v="30000"/>
    <n v="150000"/>
    <s v="Cappuccino"/>
    <s v="Coffee"/>
    <n v="6"/>
    <n v="9"/>
    <n v="2025"/>
    <d v="2025-09-06T00:00:00"/>
  </r>
  <r>
    <x v="6"/>
    <s v="Bandung"/>
    <s v="P02"/>
    <n v="1"/>
    <n v="30000"/>
    <n v="30000"/>
    <s v="Latte"/>
    <s v="Coffee"/>
    <n v="14"/>
    <n v="9"/>
    <n v="2025"/>
    <d v="2025-09-14T00:00:00"/>
  </r>
  <r>
    <x v="28"/>
    <s v="Bandung"/>
    <s v="P03"/>
    <n v="1"/>
    <n v="28000"/>
    <n v="28000"/>
    <s v="Espresso"/>
    <s v="Coffee"/>
    <n v="21"/>
    <n v="9"/>
    <n v="2025"/>
    <d v="2025-09-21T00:00:00"/>
  </r>
  <r>
    <x v="9"/>
    <s v="Bandung"/>
    <s v="P04"/>
    <n v="3"/>
    <n v="30000"/>
    <n v="90000"/>
    <s v="Americano"/>
    <s v="Coffee"/>
    <n v="7"/>
    <n v="9"/>
    <n v="2025"/>
    <d v="2025-09-07T00:00:00"/>
  </r>
  <r>
    <x v="28"/>
    <s v="Bandung"/>
    <s v="P05"/>
    <n v="1"/>
    <n v="25000"/>
    <n v="25000"/>
    <s v="Mocha"/>
    <s v="Chocolate"/>
    <n v="21"/>
    <n v="9"/>
    <n v="2025"/>
    <d v="2025-09-21T00:00:00"/>
  </r>
  <r>
    <x v="15"/>
    <s v="Bandung"/>
    <s v="P03"/>
    <n v="1"/>
    <n v="35000"/>
    <n v="35000"/>
    <s v="Espresso"/>
    <s v="Coffee"/>
    <n v="30"/>
    <n v="9"/>
    <n v="2025"/>
    <d v="2025-09-30T00:00:00"/>
  </r>
  <r>
    <x v="19"/>
    <s v="Bandung"/>
    <s v="P04"/>
    <n v="1"/>
    <n v="20000"/>
    <n v="20000"/>
    <s v="Americano"/>
    <s v="Coffee"/>
    <n v="5"/>
    <n v="9"/>
    <n v="2025"/>
    <d v="2025-09-05T00:00:00"/>
  </r>
  <r>
    <x v="1"/>
    <s v="Bandung"/>
    <s v="P05"/>
    <n v="1"/>
    <n v="35000"/>
    <n v="35000"/>
    <s v="Mocha"/>
    <s v="Chocolate"/>
    <n v="26"/>
    <n v="9"/>
    <n v="2025"/>
    <d v="2025-09-26T00:00:00"/>
  </r>
  <r>
    <x v="2"/>
    <s v="Bandung"/>
    <s v="P01"/>
    <n v="1"/>
    <n v="28000"/>
    <n v="28000"/>
    <s v="Cappuccino"/>
    <s v="Coffee"/>
    <n v="19"/>
    <n v="9"/>
    <n v="2025"/>
    <d v="2025-09-19T00:00:00"/>
  </r>
  <r>
    <x v="0"/>
    <s v="Bandung"/>
    <s v="P02"/>
    <n v="1"/>
    <n v="25000"/>
    <n v="25000"/>
    <s v="Latte"/>
    <s v="Coffee"/>
    <n v="20"/>
    <n v="9"/>
    <n v="2025"/>
    <d v="2025-09-20T00:00:00"/>
  </r>
  <r>
    <x v="4"/>
    <s v="Bandung"/>
    <s v="P03"/>
    <n v="1"/>
    <n v="35000"/>
    <n v="35000"/>
    <s v="Espresso"/>
    <s v="Coffee"/>
    <n v="2"/>
    <n v="9"/>
    <n v="2025"/>
    <d v="2025-09-02T00:00:00"/>
  </r>
  <r>
    <x v="22"/>
    <s v="Bandung"/>
    <s v="P04"/>
    <n v="4"/>
    <n v="28000"/>
    <n v="112000"/>
    <s v="Americano"/>
    <s v="Coffee"/>
    <n v="23"/>
    <n v="9"/>
    <n v="2025"/>
    <d v="2025-09-23T00:00:00"/>
  </r>
  <r>
    <x v="22"/>
    <s v="Bandung"/>
    <s v="P05"/>
    <n v="1"/>
    <n v="28000"/>
    <n v="28000"/>
    <s v="Mocha"/>
    <s v="Chocolate"/>
    <n v="23"/>
    <n v="9"/>
    <n v="2025"/>
    <d v="2025-09-23T00:00:00"/>
  </r>
  <r>
    <x v="16"/>
    <s v="Bandung"/>
    <s v="P01"/>
    <n v="5"/>
    <n v="25000"/>
    <n v="125000"/>
    <s v="Cappuccino"/>
    <s v="Coffee"/>
    <n v="24"/>
    <n v="9"/>
    <n v="2025"/>
    <d v="2025-09-24T00:00:00"/>
  </r>
  <r>
    <x v="15"/>
    <s v="Bandung"/>
    <s v="P02"/>
    <n v="5"/>
    <n v="28000"/>
    <n v="140000"/>
    <s v="Latte"/>
    <s v="Coffee"/>
    <n v="30"/>
    <n v="9"/>
    <n v="2025"/>
    <d v="2025-09-30T00:00:00"/>
  </r>
  <r>
    <x v="27"/>
    <s v="Bandung"/>
    <s v="P03"/>
    <n v="5"/>
    <n v="35000"/>
    <n v="175000"/>
    <s v="Espresso"/>
    <s v="Coffee"/>
    <n v="9"/>
    <n v="9"/>
    <n v="2025"/>
    <d v="2025-09-09T00:00:00"/>
  </r>
  <r>
    <x v="24"/>
    <s v="Bandung"/>
    <s v="P04"/>
    <n v="5"/>
    <n v="25000"/>
    <n v="125000"/>
    <s v="Americano"/>
    <s v="Coffee"/>
    <n v="25"/>
    <n v="9"/>
    <n v="2025"/>
    <d v="2025-09-25T00:00:00"/>
  </r>
  <r>
    <x v="25"/>
    <s v="Bandung"/>
    <s v="P05"/>
    <n v="1"/>
    <n v="28000"/>
    <n v="28000"/>
    <s v="Mocha"/>
    <s v="Chocolate"/>
    <n v="28"/>
    <n v="9"/>
    <n v="2025"/>
    <d v="2025-09-28T00:00:00"/>
  </r>
  <r>
    <x v="29"/>
    <s v="Bandung"/>
    <s v="P04"/>
    <n v="3"/>
    <n v="25000"/>
    <n v="75000"/>
    <s v="Americano"/>
    <s v="Coffee"/>
    <n v="18"/>
    <n v="9"/>
    <n v="2025"/>
    <d v="2025-09-18T00:00:00"/>
  </r>
  <r>
    <x v="19"/>
    <s v="Bandung"/>
    <s v="P05"/>
    <n v="1"/>
    <n v="25000"/>
    <n v="25000"/>
    <s v="Mocha"/>
    <s v="Chocolate"/>
    <n v="5"/>
    <n v="9"/>
    <n v="2025"/>
    <d v="2025-09-05T00:00:00"/>
  </r>
  <r>
    <x v="2"/>
    <s v="Bandung"/>
    <s v="P01"/>
    <n v="2"/>
    <n v="25000"/>
    <n v="50000"/>
    <s v="Cappuccino"/>
    <s v="Coffee"/>
    <n v="19"/>
    <n v="9"/>
    <n v="2025"/>
    <d v="2025-09-19T00:00:00"/>
  </r>
  <r>
    <x v="16"/>
    <s v="Bandung"/>
    <s v="P02"/>
    <n v="1"/>
    <n v="35000"/>
    <n v="35000"/>
    <s v="Latte"/>
    <s v="Coffee"/>
    <n v="24"/>
    <n v="9"/>
    <n v="2025"/>
    <d v="2025-09-24T00:00:00"/>
  </r>
  <r>
    <x v="26"/>
    <s v="Bandung"/>
    <s v="P03"/>
    <n v="5"/>
    <n v="28000"/>
    <n v="140000"/>
    <s v="Espresso"/>
    <s v="Coffee"/>
    <n v="16"/>
    <n v="9"/>
    <n v="2025"/>
    <d v="2025-09-16T00:00:00"/>
  </r>
  <r>
    <x v="23"/>
    <s v="Bandung"/>
    <s v="P04"/>
    <n v="2"/>
    <n v="35000"/>
    <n v="70000"/>
    <s v="Americano"/>
    <s v="Coffee"/>
    <n v="15"/>
    <n v="9"/>
    <n v="2025"/>
    <d v="2025-09-15T00:00:00"/>
  </r>
  <r>
    <x v="28"/>
    <s v="Bandung"/>
    <s v="P05"/>
    <n v="2"/>
    <n v="30000"/>
    <n v="60000"/>
    <s v="Mocha"/>
    <s v="Chocolate"/>
    <n v="21"/>
    <n v="9"/>
    <n v="2025"/>
    <d v="2025-09-21T00:00:00"/>
  </r>
  <r>
    <x v="6"/>
    <s v="Bandung"/>
    <s v="P03"/>
    <n v="1"/>
    <n v="35000"/>
    <n v="35000"/>
    <s v="Espresso"/>
    <s v="Coffee"/>
    <n v="14"/>
    <n v="9"/>
    <n v="2025"/>
    <d v="2025-09-14T00:00:00"/>
  </r>
  <r>
    <x v="26"/>
    <s v="Bandung"/>
    <s v="P04"/>
    <n v="3"/>
    <n v="28000"/>
    <n v="84000"/>
    <s v="Americano"/>
    <s v="Coffee"/>
    <n v="16"/>
    <n v="9"/>
    <n v="2025"/>
    <d v="2025-09-16T00:00:00"/>
  </r>
  <r>
    <x v="16"/>
    <s v="Bandung"/>
    <s v="P05"/>
    <n v="2"/>
    <n v="25000"/>
    <n v="50000"/>
    <s v="Mocha"/>
    <s v="Chocolate"/>
    <n v="24"/>
    <n v="9"/>
    <n v="2025"/>
    <d v="2025-09-24T00:00:00"/>
  </r>
  <r>
    <x v="7"/>
    <s v="Bandung"/>
    <s v="P01"/>
    <n v="1"/>
    <n v="30000"/>
    <n v="30000"/>
    <s v="Cappuccino"/>
    <s v="Coffee"/>
    <n v="27"/>
    <n v="9"/>
    <n v="2025"/>
    <d v="2025-09-27T00:00:00"/>
  </r>
  <r>
    <x v="22"/>
    <s v="Bandung"/>
    <s v="P02"/>
    <n v="3"/>
    <n v="30000"/>
    <n v="90000"/>
    <s v="Latte"/>
    <s v="Coffee"/>
    <n v="23"/>
    <n v="9"/>
    <n v="2025"/>
    <d v="2025-09-23T00:00:00"/>
  </r>
  <r>
    <x v="6"/>
    <s v="Bandung"/>
    <s v="P03"/>
    <n v="1"/>
    <n v="20000"/>
    <n v="20000"/>
    <s v="Espresso"/>
    <s v="Coffee"/>
    <n v="14"/>
    <n v="9"/>
    <n v="2025"/>
    <d v="2025-09-14T00:00:00"/>
  </r>
  <r>
    <x v="3"/>
    <s v="Bandung"/>
    <s v="P04"/>
    <n v="5"/>
    <n v="28000"/>
    <n v="140000"/>
    <s v="Americano"/>
    <s v="Coffee"/>
    <n v="11"/>
    <n v="9"/>
    <n v="2025"/>
    <d v="2025-09-11T00:00:00"/>
  </r>
  <r>
    <x v="8"/>
    <s v="Bandung"/>
    <s v="P05"/>
    <n v="3"/>
    <n v="20000"/>
    <n v="60000"/>
    <s v="Mocha"/>
    <s v="Chocolate"/>
    <n v="1"/>
    <n v="9"/>
    <n v="2025"/>
    <d v="2025-09-01T00:00:00"/>
  </r>
  <r>
    <x v="7"/>
    <s v="Bandung"/>
    <s v="P01"/>
    <n v="2"/>
    <n v="35000"/>
    <n v="70000"/>
    <s v="Cappuccino"/>
    <s v="Coffee"/>
    <n v="27"/>
    <n v="9"/>
    <n v="2025"/>
    <d v="2025-09-27T00:00:00"/>
  </r>
  <r>
    <x v="4"/>
    <s v="Bandung"/>
    <s v="P02"/>
    <n v="3"/>
    <n v="30000"/>
    <n v="90000"/>
    <s v="Latte"/>
    <s v="Coffee"/>
    <n v="2"/>
    <n v="9"/>
    <n v="2025"/>
    <d v="2025-09-02T00:00:00"/>
  </r>
  <r>
    <x v="26"/>
    <s v="Bandung"/>
    <s v="P03"/>
    <n v="4"/>
    <n v="30000"/>
    <n v="120000"/>
    <s v="Espresso"/>
    <s v="Coffee"/>
    <n v="16"/>
    <n v="9"/>
    <n v="2025"/>
    <d v="2025-09-16T00:00:00"/>
  </r>
  <r>
    <x v="18"/>
    <s v="Bandung"/>
    <s v="P04"/>
    <n v="3"/>
    <n v="30000"/>
    <n v="90000"/>
    <s v="Americano"/>
    <s v="Coffee"/>
    <n v="6"/>
    <n v="9"/>
    <n v="2025"/>
    <d v="2025-09-06T00:00:00"/>
  </r>
  <r>
    <x v="26"/>
    <s v="Bandung"/>
    <s v="P05"/>
    <n v="3"/>
    <n v="28000"/>
    <n v="84000"/>
    <s v="Mocha"/>
    <s v="Chocolate"/>
    <n v="16"/>
    <n v="9"/>
    <n v="2025"/>
    <d v="2025-09-16T00:00:00"/>
  </r>
  <r>
    <x v="15"/>
    <s v="Bandung"/>
    <s v="P01"/>
    <n v="2"/>
    <n v="30000"/>
    <n v="60000"/>
    <s v="Cappuccino"/>
    <s v="Coffee"/>
    <n v="30"/>
    <n v="9"/>
    <n v="2025"/>
    <d v="2025-09-30T00:00:00"/>
  </r>
  <r>
    <x v="24"/>
    <s v="Bandung"/>
    <s v="P02"/>
    <n v="3"/>
    <n v="20000"/>
    <n v="60000"/>
    <s v="Latte"/>
    <s v="Coffee"/>
    <n v="25"/>
    <n v="9"/>
    <n v="2025"/>
    <d v="2025-09-25T00:00:00"/>
  </r>
  <r>
    <x v="4"/>
    <s v="Bandung"/>
    <s v="P03"/>
    <n v="1"/>
    <n v="35000"/>
    <n v="35000"/>
    <s v="Espresso"/>
    <s v="Coffee"/>
    <n v="2"/>
    <n v="9"/>
    <n v="2025"/>
    <d v="2025-09-02T00:00:00"/>
  </r>
  <r>
    <x v="26"/>
    <s v="Bandung"/>
    <s v="P04"/>
    <n v="1"/>
    <n v="30000"/>
    <n v="30000"/>
    <s v="Americano"/>
    <s v="Coffee"/>
    <n v="16"/>
    <n v="9"/>
    <n v="2025"/>
    <d v="2025-09-16T00:00:00"/>
  </r>
  <r>
    <x v="17"/>
    <s v="Bandung"/>
    <s v="P05"/>
    <n v="1"/>
    <n v="35000"/>
    <n v="35000"/>
    <s v="Mocha"/>
    <s v="Chocolate"/>
    <n v="3"/>
    <n v="9"/>
    <n v="2025"/>
    <d v="2025-09-03T00:00:00"/>
  </r>
  <r>
    <x v="26"/>
    <s v="Bandung"/>
    <s v="P01"/>
    <n v="3"/>
    <n v="25000"/>
    <n v="75000"/>
    <s v="Cappuccino"/>
    <s v="Coffee"/>
    <n v="16"/>
    <n v="9"/>
    <n v="2025"/>
    <d v="2025-09-16T00:00:00"/>
  </r>
  <r>
    <x v="20"/>
    <s v="Bandung"/>
    <s v="P02"/>
    <n v="4"/>
    <n v="30000"/>
    <n v="120000"/>
    <s v="Latte"/>
    <s v="Coffee"/>
    <n v="12"/>
    <n v="9"/>
    <n v="2025"/>
    <d v="2025-09-12T00:00:00"/>
  </r>
  <r>
    <x v="1"/>
    <s v="Bandung"/>
    <s v="P03"/>
    <n v="1"/>
    <n v="25000"/>
    <n v="25000"/>
    <s v="Espresso"/>
    <s v="Coffee"/>
    <n v="26"/>
    <n v="9"/>
    <n v="2025"/>
    <d v="2025-09-26T00:00:00"/>
  </r>
  <r>
    <x v="21"/>
    <s v="Bandung"/>
    <s v="P04"/>
    <n v="3"/>
    <n v="25000"/>
    <n v="75000"/>
    <s v="Americano"/>
    <s v="Coffee"/>
    <n v="4"/>
    <n v="9"/>
    <n v="2025"/>
    <d v="2025-09-04T00:00:00"/>
  </r>
  <r>
    <x v="29"/>
    <s v="Bandung"/>
    <s v="P05"/>
    <n v="4"/>
    <n v="28000"/>
    <n v="112000"/>
    <s v="Mocha"/>
    <s v="Chocolate"/>
    <n v="18"/>
    <n v="9"/>
    <n v="2025"/>
    <d v="2025-09-18T00:00:00"/>
  </r>
  <r>
    <x v="22"/>
    <s v="Bandung"/>
    <s v="P01"/>
    <n v="1"/>
    <n v="20000"/>
    <n v="20000"/>
    <s v="Cappuccino"/>
    <s v="Coffee"/>
    <n v="23"/>
    <n v="9"/>
    <n v="2025"/>
    <d v="2025-09-23T00:00:00"/>
  </r>
  <r>
    <x v="20"/>
    <s v="Bandung"/>
    <s v="P02"/>
    <n v="5"/>
    <n v="30000"/>
    <n v="150000"/>
    <s v="Latte"/>
    <s v="Coffee"/>
    <n v="12"/>
    <n v="9"/>
    <n v="2025"/>
    <d v="2025-09-12T00:00:00"/>
  </r>
  <r>
    <x v="29"/>
    <s v="Bandung"/>
    <s v="P03"/>
    <n v="3"/>
    <n v="20000"/>
    <n v="60000"/>
    <s v="Espresso"/>
    <s v="Coffee"/>
    <n v="18"/>
    <n v="9"/>
    <n v="2025"/>
    <d v="2025-09-18T00:00:00"/>
  </r>
  <r>
    <x v="23"/>
    <s v="Bandung"/>
    <s v="P04"/>
    <n v="1"/>
    <n v="28000"/>
    <n v="28000"/>
    <s v="Americano"/>
    <s v="Coffee"/>
    <n v="15"/>
    <n v="9"/>
    <n v="2025"/>
    <d v="2025-09-15T00:00:00"/>
  </r>
  <r>
    <x v="6"/>
    <s v="Bandung"/>
    <s v="P05"/>
    <n v="1"/>
    <n v="35000"/>
    <n v="35000"/>
    <s v="Mocha"/>
    <s v="Chocolate"/>
    <n v="14"/>
    <n v="9"/>
    <n v="2025"/>
    <d v="2025-09-14T00:00:00"/>
  </r>
  <r>
    <x v="6"/>
    <s v="Bandung"/>
    <s v="P01"/>
    <n v="3"/>
    <n v="28000"/>
    <n v="84000"/>
    <s v="Cappuccino"/>
    <s v="Coffee"/>
    <n v="14"/>
    <n v="9"/>
    <n v="2025"/>
    <d v="2025-09-14T00:00:00"/>
  </r>
  <r>
    <x v="22"/>
    <s v="Bandung"/>
    <s v="P02"/>
    <n v="4"/>
    <n v="20000"/>
    <n v="80000"/>
    <s v="Latte"/>
    <s v="Coffee"/>
    <n v="23"/>
    <n v="9"/>
    <n v="2025"/>
    <d v="2025-09-23T00:00:00"/>
  </r>
  <r>
    <x v="9"/>
    <s v="Bandung"/>
    <s v="P03"/>
    <n v="1"/>
    <n v="20000"/>
    <n v="20000"/>
    <s v="Espresso"/>
    <s v="Coffee"/>
    <n v="7"/>
    <n v="9"/>
    <n v="2025"/>
    <d v="2025-09-07T00:00:00"/>
  </r>
  <r>
    <x v="20"/>
    <s v="Bandung"/>
    <s v="P04"/>
    <n v="3"/>
    <n v="20000"/>
    <n v="60000"/>
    <s v="Americano"/>
    <s v="Coffee"/>
    <n v="12"/>
    <n v="9"/>
    <n v="2025"/>
    <d v="2025-09-12T00:00:00"/>
  </r>
  <r>
    <x v="14"/>
    <s v="Bandung"/>
    <s v="P05"/>
    <n v="4"/>
    <n v="28000"/>
    <n v="112000"/>
    <s v="Mocha"/>
    <s v="Chocolate"/>
    <n v="10"/>
    <n v="9"/>
    <n v="2025"/>
    <d v="2025-09-10T00:00:00"/>
  </r>
  <r>
    <x v="11"/>
    <s v="Bandung"/>
    <s v="P03"/>
    <n v="1"/>
    <n v="20000"/>
    <n v="20000"/>
    <s v="Espresso"/>
    <s v="Coffee"/>
    <n v="17"/>
    <n v="9"/>
    <n v="2025"/>
    <d v="2025-09-17T00:00:00"/>
  </r>
  <r>
    <x v="23"/>
    <s v="Bandung"/>
    <s v="P04"/>
    <n v="1"/>
    <n v="20000"/>
    <n v="20000"/>
    <s v="Americano"/>
    <s v="Coffee"/>
    <n v="15"/>
    <n v="9"/>
    <n v="2025"/>
    <d v="2025-09-15T00:00:00"/>
  </r>
  <r>
    <x v="29"/>
    <s v="Bandung"/>
    <s v="P05"/>
    <n v="4"/>
    <n v="28000"/>
    <n v="112000"/>
    <s v="Mocha"/>
    <s v="Chocolate"/>
    <n v="18"/>
    <n v="9"/>
    <n v="2025"/>
    <d v="2025-09-18T00:00:00"/>
  </r>
  <r>
    <x v="1"/>
    <s v="Surabaya"/>
    <s v="P01"/>
    <n v="3"/>
    <n v="28000"/>
    <n v="84000"/>
    <s v="Cappuccino"/>
    <s v="Coffee"/>
    <n v="26"/>
    <n v="9"/>
    <n v="2025"/>
    <d v="2025-09-26T00:00:00"/>
  </r>
  <r>
    <x v="24"/>
    <s v="Surabaya"/>
    <s v="P02"/>
    <n v="2"/>
    <n v="30000"/>
    <n v="60000"/>
    <s v="Latte"/>
    <s v="Coffee"/>
    <n v="25"/>
    <n v="9"/>
    <n v="2025"/>
    <d v="2025-09-25T00:00:00"/>
  </r>
  <r>
    <x v="18"/>
    <s v="Surabaya"/>
    <s v="P03"/>
    <n v="2"/>
    <n v="30000"/>
    <n v="60000"/>
    <s v="Espresso"/>
    <s v="Coffee"/>
    <n v="6"/>
    <n v="9"/>
    <n v="2025"/>
    <d v="2025-09-06T00:00:00"/>
  </r>
  <r>
    <x v="6"/>
    <s v="Surabaya"/>
    <s v="P04"/>
    <n v="1"/>
    <n v="20000"/>
    <n v="20000"/>
    <s v="Americano"/>
    <s v="Coffee"/>
    <n v="14"/>
    <n v="9"/>
    <n v="2025"/>
    <d v="2025-09-14T00:00:00"/>
  </r>
  <r>
    <x v="22"/>
    <s v="Surabaya"/>
    <s v="P05"/>
    <n v="2"/>
    <n v="35000"/>
    <n v="70000"/>
    <s v="Mocha"/>
    <s v="Chocolate"/>
    <n v="23"/>
    <n v="9"/>
    <n v="2025"/>
    <d v="2025-09-23T00:00:00"/>
  </r>
  <r>
    <x v="16"/>
    <s v="Surabaya"/>
    <s v="P01"/>
    <n v="5"/>
    <n v="25000"/>
    <n v="125000"/>
    <s v="Cappuccino"/>
    <s v="Coffee"/>
    <n v="24"/>
    <n v="9"/>
    <n v="2025"/>
    <d v="2025-09-24T00:00:00"/>
  </r>
  <r>
    <x v="1"/>
    <s v="Surabaya"/>
    <s v="P02"/>
    <n v="3"/>
    <n v="20000"/>
    <n v="60000"/>
    <s v="Latte"/>
    <s v="Coffee"/>
    <n v="26"/>
    <n v="9"/>
    <n v="2025"/>
    <d v="2025-09-26T00:00:00"/>
  </r>
  <r>
    <x v="27"/>
    <s v="Surabaya"/>
    <s v="P03"/>
    <n v="4"/>
    <n v="35000"/>
    <n v="140000"/>
    <s v="Espresso"/>
    <s v="Coffee"/>
    <n v="9"/>
    <n v="9"/>
    <n v="2025"/>
    <d v="2025-09-09T00:00:00"/>
  </r>
  <r>
    <x v="17"/>
    <s v="Surabaya"/>
    <s v="P04"/>
    <n v="3"/>
    <n v="30000"/>
    <n v="90000"/>
    <s v="Americano"/>
    <s v="Coffee"/>
    <n v="3"/>
    <n v="9"/>
    <n v="2025"/>
    <d v="2025-09-03T00:00:00"/>
  </r>
  <r>
    <x v="28"/>
    <s v="Surabaya"/>
    <s v="P05"/>
    <n v="5"/>
    <n v="25000"/>
    <n v="125000"/>
    <s v="Mocha"/>
    <s v="Chocolate"/>
    <n v="21"/>
    <n v="9"/>
    <n v="2025"/>
    <d v="2025-09-21T00:00:00"/>
  </r>
  <r>
    <x v="24"/>
    <s v="Surabaya"/>
    <s v="P01"/>
    <n v="4"/>
    <n v="25000"/>
    <n v="100000"/>
    <s v="Cappuccino"/>
    <s v="Coffee"/>
    <n v="25"/>
    <n v="9"/>
    <n v="2025"/>
    <d v="2025-09-25T00:00:00"/>
  </r>
  <r>
    <x v="1"/>
    <s v="Surabaya"/>
    <s v="P02"/>
    <n v="2"/>
    <n v="35000"/>
    <n v="70000"/>
    <s v="Latte"/>
    <s v="Coffee"/>
    <n v="26"/>
    <n v="9"/>
    <n v="2025"/>
    <d v="2025-09-26T00:00:00"/>
  </r>
  <r>
    <x v="29"/>
    <s v="Surabaya"/>
    <s v="P03"/>
    <n v="3"/>
    <n v="30000"/>
    <n v="90000"/>
    <s v="Espresso"/>
    <s v="Coffee"/>
    <n v="18"/>
    <n v="9"/>
    <n v="2025"/>
    <d v="2025-09-18T00:00:00"/>
  </r>
  <r>
    <x v="1"/>
    <s v="Surabaya"/>
    <s v="P04"/>
    <n v="1"/>
    <n v="25000"/>
    <n v="25000"/>
    <s v="Americano"/>
    <s v="Coffee"/>
    <n v="26"/>
    <n v="9"/>
    <n v="2025"/>
    <d v="2025-09-26T00:00:00"/>
  </r>
  <r>
    <x v="29"/>
    <s v="Surabaya"/>
    <s v="P05"/>
    <n v="3"/>
    <n v="30000"/>
    <n v="90000"/>
    <s v="Mocha"/>
    <s v="Chocolate"/>
    <n v="18"/>
    <n v="9"/>
    <n v="2025"/>
    <d v="2025-09-18T00:00:00"/>
  </r>
  <r>
    <x v="29"/>
    <s v="Surabaya"/>
    <s v="P01"/>
    <n v="1"/>
    <n v="20000"/>
    <n v="20000"/>
    <s v="Cappuccino"/>
    <s v="Coffee"/>
    <n v="18"/>
    <n v="9"/>
    <n v="2025"/>
    <d v="2025-09-18T00:00:00"/>
  </r>
  <r>
    <x v="8"/>
    <s v="Surabaya"/>
    <s v="P02"/>
    <n v="2"/>
    <n v="30000"/>
    <n v="60000"/>
    <s v="Latte"/>
    <s v="Coffee"/>
    <n v="1"/>
    <n v="9"/>
    <n v="2025"/>
    <d v="2025-09-01T00:00:00"/>
  </r>
  <r>
    <x v="12"/>
    <s v="Surabaya"/>
    <s v="P03"/>
    <n v="1"/>
    <n v="25000"/>
    <n v="25000"/>
    <s v="Espresso"/>
    <s v="Coffee"/>
    <n v="8"/>
    <n v="9"/>
    <n v="2025"/>
    <d v="2025-09-08T00:00:00"/>
  </r>
  <r>
    <x v="4"/>
    <s v="Surabaya"/>
    <s v="P04"/>
    <n v="2"/>
    <n v="20000"/>
    <n v="40000"/>
    <s v="Americano"/>
    <s v="Coffee"/>
    <n v="2"/>
    <n v="9"/>
    <n v="2025"/>
    <d v="2025-09-02T00:00:00"/>
  </r>
  <r>
    <x v="16"/>
    <s v="Surabaya"/>
    <s v="P05"/>
    <n v="5"/>
    <n v="28000"/>
    <n v="140000"/>
    <s v="Mocha"/>
    <s v="Chocolate"/>
    <n v="24"/>
    <n v="9"/>
    <n v="2025"/>
    <d v="2025-09-24T00:00:00"/>
  </r>
  <r>
    <x v="23"/>
    <s v="Surabaya"/>
    <s v="P03"/>
    <n v="1"/>
    <n v="35000"/>
    <n v="35000"/>
    <s v="Espresso"/>
    <s v="Coffee"/>
    <n v="15"/>
    <n v="9"/>
    <n v="2025"/>
    <d v="2025-09-15T00:00:00"/>
  </r>
  <r>
    <x v="1"/>
    <s v="Surabaya"/>
    <s v="P04"/>
    <n v="5"/>
    <n v="30000"/>
    <n v="150000"/>
    <s v="Americano"/>
    <s v="Coffee"/>
    <n v="26"/>
    <n v="9"/>
    <n v="2025"/>
    <d v="2025-09-26T00:00:00"/>
  </r>
  <r>
    <x v="14"/>
    <s v="Surabaya"/>
    <s v="P05"/>
    <n v="3"/>
    <n v="30000"/>
    <n v="90000"/>
    <s v="Mocha"/>
    <s v="Chocolate"/>
    <n v="10"/>
    <n v="9"/>
    <n v="2025"/>
    <d v="2025-09-10T00:00:00"/>
  </r>
  <r>
    <x v="10"/>
    <s v="Surabaya"/>
    <s v="P01"/>
    <n v="4"/>
    <n v="20000"/>
    <n v="80000"/>
    <s v="Cappuccino"/>
    <s v="Coffee"/>
    <n v="22"/>
    <n v="9"/>
    <n v="2025"/>
    <d v="2025-09-22T00:00:00"/>
  </r>
  <r>
    <x v="27"/>
    <s v="Surabaya"/>
    <s v="P02"/>
    <n v="3"/>
    <n v="35000"/>
    <n v="105000"/>
    <s v="Latte"/>
    <s v="Coffee"/>
    <n v="9"/>
    <n v="9"/>
    <n v="2025"/>
    <d v="2025-09-09T00:00:00"/>
  </r>
  <r>
    <x v="25"/>
    <s v="Surabaya"/>
    <s v="P03"/>
    <n v="2"/>
    <n v="20000"/>
    <n v="40000"/>
    <s v="Espresso"/>
    <s v="Coffee"/>
    <n v="28"/>
    <n v="9"/>
    <n v="2025"/>
    <d v="2025-09-28T00:00:00"/>
  </r>
  <r>
    <x v="2"/>
    <s v="Surabaya"/>
    <s v="P04"/>
    <n v="5"/>
    <n v="20000"/>
    <n v="100000"/>
    <s v="Americano"/>
    <s v="Coffee"/>
    <n v="19"/>
    <n v="9"/>
    <n v="2025"/>
    <d v="2025-09-19T00:00:00"/>
  </r>
  <r>
    <x v="29"/>
    <s v="Surabaya"/>
    <s v="P05"/>
    <n v="4"/>
    <n v="35000"/>
    <n v="140000"/>
    <s v="Mocha"/>
    <s v="Chocolate"/>
    <n v="18"/>
    <n v="9"/>
    <n v="2025"/>
    <d v="2025-09-18T00:00:00"/>
  </r>
  <r>
    <x v="8"/>
    <s v="Surabaya"/>
    <s v="P01"/>
    <n v="2"/>
    <n v="20000"/>
    <n v="40000"/>
    <s v="Cappuccino"/>
    <s v="Coffee"/>
    <n v="1"/>
    <n v="9"/>
    <n v="2025"/>
    <d v="2025-09-01T00:00:00"/>
  </r>
  <r>
    <x v="5"/>
    <s v="Surabaya"/>
    <s v="P02"/>
    <n v="1"/>
    <n v="28000"/>
    <n v="28000"/>
    <s v="Latte"/>
    <s v="Coffee"/>
    <n v="13"/>
    <n v="9"/>
    <n v="2025"/>
    <d v="2025-09-13T00:00:00"/>
  </r>
  <r>
    <x v="6"/>
    <s v="Surabaya"/>
    <s v="P03"/>
    <n v="1"/>
    <n v="28000"/>
    <n v="28000"/>
    <s v="Espresso"/>
    <s v="Coffee"/>
    <n v="14"/>
    <n v="9"/>
    <n v="2025"/>
    <d v="2025-09-14T00:00:00"/>
  </r>
  <r>
    <x v="6"/>
    <s v="Surabaya"/>
    <s v="P04"/>
    <n v="5"/>
    <n v="20000"/>
    <n v="100000"/>
    <s v="Americano"/>
    <s v="Coffee"/>
    <n v="14"/>
    <n v="9"/>
    <n v="2025"/>
    <d v="2025-09-14T00:00:00"/>
  </r>
  <r>
    <x v="7"/>
    <s v="Surabaya"/>
    <s v="P05"/>
    <n v="5"/>
    <n v="20000"/>
    <n v="100000"/>
    <s v="Mocha"/>
    <s v="Chocolate"/>
    <n v="27"/>
    <n v="9"/>
    <n v="2025"/>
    <d v="2025-09-27T00:00:00"/>
  </r>
  <r>
    <x v="19"/>
    <s v="Surabaya"/>
    <s v="P04"/>
    <n v="1"/>
    <n v="28000"/>
    <n v="28000"/>
    <s v="Americano"/>
    <s v="Coffee"/>
    <n v="5"/>
    <n v="9"/>
    <n v="2025"/>
    <d v="2025-09-05T00:00:00"/>
  </r>
  <r>
    <x v="3"/>
    <s v="Surabaya"/>
    <s v="P05"/>
    <n v="1"/>
    <n v="30000"/>
    <n v="30000"/>
    <s v="Mocha"/>
    <s v="Chocolate"/>
    <n v="11"/>
    <n v="9"/>
    <n v="2025"/>
    <d v="2025-09-11T00:00:00"/>
  </r>
  <r>
    <x v="21"/>
    <s v="Surabaya"/>
    <s v="P01"/>
    <n v="3"/>
    <n v="20000"/>
    <n v="60000"/>
    <s v="Cappuccino"/>
    <s v="Coffee"/>
    <n v="4"/>
    <n v="9"/>
    <n v="2025"/>
    <d v="2025-09-04T00:00:00"/>
  </r>
  <r>
    <x v="11"/>
    <s v="Surabaya"/>
    <s v="P02"/>
    <n v="2"/>
    <n v="20000"/>
    <n v="40000"/>
    <s v="Latte"/>
    <s v="Coffee"/>
    <n v="17"/>
    <n v="9"/>
    <n v="2025"/>
    <d v="2025-09-17T00:00:00"/>
  </r>
  <r>
    <x v="25"/>
    <s v="Surabaya"/>
    <s v="P03"/>
    <n v="4"/>
    <n v="25000"/>
    <n v="100000"/>
    <s v="Espresso"/>
    <s v="Coffee"/>
    <n v="28"/>
    <n v="9"/>
    <n v="2025"/>
    <d v="2025-09-28T00:00:00"/>
  </r>
  <r>
    <x v="21"/>
    <s v="Surabaya"/>
    <s v="P04"/>
    <n v="4"/>
    <n v="25000"/>
    <n v="100000"/>
    <s v="Americano"/>
    <s v="Coffee"/>
    <n v="4"/>
    <n v="9"/>
    <n v="2025"/>
    <d v="2025-09-04T00:00:00"/>
  </r>
  <r>
    <x v="0"/>
    <s v="Surabaya"/>
    <s v="P05"/>
    <n v="3"/>
    <n v="25000"/>
    <n v="75000"/>
    <s v="Mocha"/>
    <s v="Chocolate"/>
    <n v="20"/>
    <n v="9"/>
    <n v="2025"/>
    <d v="2025-09-20T00:00:00"/>
  </r>
  <r>
    <x v="12"/>
    <s v="Surabaya"/>
    <s v="P03"/>
    <n v="1"/>
    <n v="20000"/>
    <n v="20000"/>
    <s v="Espresso"/>
    <s v="Coffee"/>
    <n v="8"/>
    <n v="9"/>
    <n v="2025"/>
    <d v="2025-09-08T00:00:00"/>
  </r>
  <r>
    <x v="8"/>
    <s v="Surabaya"/>
    <s v="P04"/>
    <n v="3"/>
    <n v="25000"/>
    <n v="75000"/>
    <s v="Americano"/>
    <s v="Coffee"/>
    <n v="1"/>
    <n v="9"/>
    <n v="2025"/>
    <d v="2025-09-01T00:00:00"/>
  </r>
  <r>
    <x v="20"/>
    <s v="Surabaya"/>
    <s v="P05"/>
    <n v="1"/>
    <n v="30000"/>
    <n v="30000"/>
    <s v="Mocha"/>
    <s v="Chocolate"/>
    <n v="12"/>
    <n v="9"/>
    <n v="2025"/>
    <d v="2025-09-12T00:00:00"/>
  </r>
  <r>
    <x v="21"/>
    <s v="Surabaya"/>
    <s v="P01"/>
    <n v="3"/>
    <n v="25000"/>
    <n v="75000"/>
    <s v="Cappuccino"/>
    <s v="Coffee"/>
    <n v="4"/>
    <n v="9"/>
    <n v="2025"/>
    <d v="2025-09-04T00:00:00"/>
  </r>
  <r>
    <x v="9"/>
    <s v="Surabaya"/>
    <s v="P02"/>
    <n v="5"/>
    <n v="28000"/>
    <n v="140000"/>
    <s v="Latte"/>
    <s v="Coffee"/>
    <n v="7"/>
    <n v="9"/>
    <n v="2025"/>
    <d v="2025-09-07T00:00:00"/>
  </r>
  <r>
    <x v="2"/>
    <s v="Surabaya"/>
    <s v="P03"/>
    <n v="4"/>
    <n v="20000"/>
    <n v="80000"/>
    <s v="Espresso"/>
    <s v="Coffee"/>
    <n v="19"/>
    <n v="9"/>
    <n v="2025"/>
    <d v="2025-09-19T00:00:00"/>
  </r>
  <r>
    <x v="27"/>
    <s v="Surabaya"/>
    <s v="P04"/>
    <n v="4"/>
    <n v="20000"/>
    <n v="80000"/>
    <s v="Americano"/>
    <s v="Coffee"/>
    <n v="9"/>
    <n v="9"/>
    <n v="2025"/>
    <d v="2025-09-09T00:00:00"/>
  </r>
  <r>
    <x v="1"/>
    <s v="Surabaya"/>
    <s v="P05"/>
    <n v="4"/>
    <n v="25000"/>
    <n v="100000"/>
    <s v="Mocha"/>
    <s v="Chocolate"/>
    <n v="26"/>
    <n v="9"/>
    <n v="2025"/>
    <d v="2025-09-26T00:00:00"/>
  </r>
  <r>
    <x v="25"/>
    <s v="Surabaya"/>
    <s v="P01"/>
    <n v="4"/>
    <n v="28000"/>
    <n v="112000"/>
    <s v="Cappuccino"/>
    <s v="Coffee"/>
    <n v="28"/>
    <n v="9"/>
    <n v="2025"/>
    <d v="2025-09-28T00:00:00"/>
  </r>
  <r>
    <x v="24"/>
    <s v="Surabaya"/>
    <s v="P02"/>
    <n v="1"/>
    <n v="25000"/>
    <n v="25000"/>
    <s v="Latte"/>
    <s v="Coffee"/>
    <n v="25"/>
    <n v="9"/>
    <n v="2025"/>
    <d v="2025-09-25T00:00:00"/>
  </r>
  <r>
    <x v="10"/>
    <s v="Surabaya"/>
    <s v="P03"/>
    <n v="1"/>
    <n v="25000"/>
    <n v="25000"/>
    <s v="Espresso"/>
    <s v="Coffee"/>
    <n v="22"/>
    <n v="9"/>
    <n v="2025"/>
    <d v="2025-09-22T00:00:00"/>
  </r>
  <r>
    <x v="11"/>
    <s v="Surabaya"/>
    <s v="P04"/>
    <n v="3"/>
    <n v="20000"/>
    <n v="60000"/>
    <s v="Americano"/>
    <s v="Coffee"/>
    <n v="17"/>
    <n v="9"/>
    <n v="2025"/>
    <d v="2025-09-17T00:00:00"/>
  </r>
  <r>
    <x v="1"/>
    <s v="Surabaya"/>
    <s v="P05"/>
    <n v="1"/>
    <n v="20000"/>
    <n v="20000"/>
    <s v="Mocha"/>
    <s v="Chocolate"/>
    <n v="26"/>
    <n v="9"/>
    <n v="2025"/>
    <d v="2025-09-26T00:00:00"/>
  </r>
  <r>
    <x v="6"/>
    <s v="Surabaya"/>
    <s v="P01"/>
    <n v="2"/>
    <n v="28000"/>
    <n v="56000"/>
    <s v="Cappuccino"/>
    <s v="Coffee"/>
    <n v="14"/>
    <n v="9"/>
    <n v="2025"/>
    <d v="2025-09-14T00:00:00"/>
  </r>
  <r>
    <x v="8"/>
    <s v="Surabaya"/>
    <s v="P02"/>
    <n v="1"/>
    <n v="28000"/>
    <n v="28000"/>
    <s v="Latte"/>
    <s v="Coffee"/>
    <n v="1"/>
    <n v="9"/>
    <n v="2025"/>
    <d v="2025-09-01T00:00:00"/>
  </r>
  <r>
    <x v="16"/>
    <s v="Surabaya"/>
    <s v="P03"/>
    <n v="2"/>
    <n v="35000"/>
    <n v="70000"/>
    <s v="Espresso"/>
    <s v="Coffee"/>
    <n v="24"/>
    <n v="9"/>
    <n v="2025"/>
    <d v="2025-09-24T00:00:00"/>
  </r>
  <r>
    <x v="7"/>
    <s v="Surabaya"/>
    <s v="P04"/>
    <n v="1"/>
    <n v="28000"/>
    <n v="28000"/>
    <s v="Americano"/>
    <s v="Coffee"/>
    <n v="27"/>
    <n v="9"/>
    <n v="2025"/>
    <d v="2025-09-27T00:00:00"/>
  </r>
  <r>
    <x v="28"/>
    <s v="Surabaya"/>
    <s v="P05"/>
    <n v="1"/>
    <n v="28000"/>
    <n v="28000"/>
    <s v="Mocha"/>
    <s v="Chocolate"/>
    <n v="21"/>
    <n v="9"/>
    <n v="2025"/>
    <d v="2025-09-21T00:00:00"/>
  </r>
  <r>
    <x v="25"/>
    <s v="Surabaya"/>
    <s v="P01"/>
    <n v="1"/>
    <n v="30000"/>
    <n v="30000"/>
    <s v="Cappuccino"/>
    <s v="Coffee"/>
    <n v="28"/>
    <n v="9"/>
    <n v="2025"/>
    <d v="2025-09-28T00:00:00"/>
  </r>
  <r>
    <x v="11"/>
    <s v="Surabaya"/>
    <s v="P02"/>
    <n v="3"/>
    <n v="25000"/>
    <n v="75000"/>
    <s v="Latte"/>
    <s v="Coffee"/>
    <n v="17"/>
    <n v="9"/>
    <n v="2025"/>
    <d v="2025-09-17T00:00:00"/>
  </r>
  <r>
    <x v="26"/>
    <s v="Surabaya"/>
    <s v="P03"/>
    <n v="2"/>
    <n v="25000"/>
    <n v="50000"/>
    <s v="Espresso"/>
    <s v="Coffee"/>
    <n v="16"/>
    <n v="9"/>
    <n v="2025"/>
    <d v="2025-09-16T00:00:00"/>
  </r>
  <r>
    <x v="26"/>
    <s v="Surabaya"/>
    <s v="P04"/>
    <n v="4"/>
    <n v="28000"/>
    <n v="112000"/>
    <s v="Americano"/>
    <s v="Coffee"/>
    <n v="16"/>
    <n v="9"/>
    <n v="2025"/>
    <d v="2025-09-16T00:00:00"/>
  </r>
  <r>
    <x v="29"/>
    <s v="Surabaya"/>
    <s v="P05"/>
    <n v="2"/>
    <n v="30000"/>
    <n v="60000"/>
    <s v="Mocha"/>
    <s v="Chocolate"/>
    <n v="18"/>
    <n v="9"/>
    <n v="2025"/>
    <d v="2025-09-18T00:00:00"/>
  </r>
  <r>
    <x v="29"/>
    <s v="Surabaya"/>
    <s v="P01"/>
    <n v="5"/>
    <n v="20000"/>
    <n v="100000"/>
    <s v="Cappuccino"/>
    <s v="Coffee"/>
    <n v="18"/>
    <n v="9"/>
    <n v="2025"/>
    <d v="2025-09-18T00:00:00"/>
  </r>
  <r>
    <x v="28"/>
    <s v="Surabaya"/>
    <s v="P02"/>
    <n v="2"/>
    <n v="20000"/>
    <n v="40000"/>
    <s v="Latte"/>
    <s v="Coffee"/>
    <n v="21"/>
    <n v="9"/>
    <n v="2025"/>
    <d v="2025-09-21T00:00:00"/>
  </r>
  <r>
    <x v="1"/>
    <s v="Surabaya"/>
    <s v="P03"/>
    <n v="5"/>
    <n v="30000"/>
    <n v="150000"/>
    <s v="Espresso"/>
    <s v="Coffee"/>
    <n v="26"/>
    <n v="9"/>
    <n v="2025"/>
    <d v="2025-09-26T00:00:00"/>
  </r>
  <r>
    <x v="26"/>
    <s v="Surabaya"/>
    <s v="P04"/>
    <n v="4"/>
    <n v="25000"/>
    <n v="100000"/>
    <s v="Americano"/>
    <s v="Coffee"/>
    <n v="16"/>
    <n v="9"/>
    <n v="2025"/>
    <d v="2025-09-16T00:00:00"/>
  </r>
  <r>
    <x v="26"/>
    <s v="Surabaya"/>
    <s v="P05"/>
    <n v="2"/>
    <n v="20000"/>
    <n v="40000"/>
    <s v="Mocha"/>
    <s v="Chocolate"/>
    <n v="16"/>
    <n v="9"/>
    <n v="2025"/>
    <d v="2025-09-16T00:00:00"/>
  </r>
  <r>
    <x v="16"/>
    <s v="Surabaya"/>
    <s v="P01"/>
    <n v="2"/>
    <n v="30000"/>
    <n v="60000"/>
    <s v="Cappuccino"/>
    <s v="Coffee"/>
    <n v="24"/>
    <n v="9"/>
    <n v="2025"/>
    <d v="2025-09-24T00:00:00"/>
  </r>
  <r>
    <x v="11"/>
    <s v="Surabaya"/>
    <s v="P02"/>
    <n v="4"/>
    <n v="25000"/>
    <n v="100000"/>
    <s v="Latte"/>
    <s v="Coffee"/>
    <n v="17"/>
    <n v="9"/>
    <n v="2025"/>
    <d v="2025-09-17T00:00:00"/>
  </r>
  <r>
    <x v="20"/>
    <s v="Surabaya"/>
    <s v="P03"/>
    <n v="1"/>
    <n v="25000"/>
    <n v="25000"/>
    <s v="Espresso"/>
    <s v="Coffee"/>
    <n v="12"/>
    <n v="9"/>
    <n v="2025"/>
    <d v="2025-09-12T00:00:00"/>
  </r>
  <r>
    <x v="7"/>
    <s v="Surabaya"/>
    <s v="P04"/>
    <n v="5"/>
    <n v="30000"/>
    <n v="150000"/>
    <s v="Americano"/>
    <s v="Coffee"/>
    <n v="27"/>
    <n v="9"/>
    <n v="2025"/>
    <d v="2025-09-27T00:00:00"/>
  </r>
  <r>
    <x v="22"/>
    <s v="Surabaya"/>
    <s v="P05"/>
    <n v="2"/>
    <n v="25000"/>
    <n v="50000"/>
    <s v="Mocha"/>
    <s v="Chocolate"/>
    <n v="23"/>
    <n v="9"/>
    <n v="2025"/>
    <d v="2025-09-23T00:00:00"/>
  </r>
  <r>
    <x v="3"/>
    <s v="Surabaya"/>
    <s v="P03"/>
    <n v="2"/>
    <n v="30000"/>
    <n v="60000"/>
    <s v="Espresso"/>
    <s v="Coffee"/>
    <n v="11"/>
    <n v="9"/>
    <n v="2025"/>
    <d v="2025-09-11T00:00:00"/>
  </r>
  <r>
    <x v="10"/>
    <s v="Surabaya"/>
    <s v="P04"/>
    <n v="4"/>
    <n v="20000"/>
    <n v="80000"/>
    <s v="Americano"/>
    <s v="Coffee"/>
    <n v="22"/>
    <n v="9"/>
    <n v="2025"/>
    <d v="2025-09-22T00:00:00"/>
  </r>
  <r>
    <x v="14"/>
    <s v="Surabaya"/>
    <s v="P05"/>
    <n v="2"/>
    <n v="20000"/>
    <n v="40000"/>
    <s v="Mocha"/>
    <s v="Chocolate"/>
    <n v="10"/>
    <n v="9"/>
    <n v="2025"/>
    <d v="2025-09-10T00:00:00"/>
  </r>
  <r>
    <x v="3"/>
    <s v="Surabaya"/>
    <s v="P01"/>
    <n v="2"/>
    <n v="35000"/>
    <n v="70000"/>
    <s v="Cappuccino"/>
    <s v="Coffee"/>
    <n v="11"/>
    <n v="9"/>
    <n v="2025"/>
    <d v="2025-09-11T00:00:00"/>
  </r>
  <r>
    <x v="23"/>
    <s v="Surabaya"/>
    <s v="P02"/>
    <n v="5"/>
    <n v="30000"/>
    <n v="150000"/>
    <s v="Latte"/>
    <s v="Coffee"/>
    <n v="15"/>
    <n v="9"/>
    <n v="2025"/>
    <d v="2025-09-15T00:00:00"/>
  </r>
  <r>
    <x v="25"/>
    <s v="Surabaya"/>
    <s v="P03"/>
    <n v="4"/>
    <n v="30000"/>
    <n v="120000"/>
    <s v="Espresso"/>
    <s v="Coffee"/>
    <n v="28"/>
    <n v="9"/>
    <n v="2025"/>
    <d v="2025-09-28T00:00:00"/>
  </r>
  <r>
    <x v="5"/>
    <s v="Surabaya"/>
    <s v="P04"/>
    <n v="3"/>
    <n v="28000"/>
    <n v="84000"/>
    <s v="Americano"/>
    <s v="Coffee"/>
    <n v="13"/>
    <n v="9"/>
    <n v="2025"/>
    <d v="2025-09-13T00:00:00"/>
  </r>
  <r>
    <x v="16"/>
    <s v="Surabaya"/>
    <s v="P05"/>
    <n v="5"/>
    <n v="20000"/>
    <n v="100000"/>
    <s v="Mocha"/>
    <s v="Chocolate"/>
    <n v="24"/>
    <n v="9"/>
    <n v="2025"/>
    <d v="2025-09-24T00:00:00"/>
  </r>
  <r>
    <x v="3"/>
    <s v="Surabaya"/>
    <s v="P01"/>
    <n v="2"/>
    <n v="25000"/>
    <n v="50000"/>
    <s v="Cappuccino"/>
    <s v="Coffee"/>
    <n v="11"/>
    <n v="9"/>
    <n v="2025"/>
    <d v="2025-09-11T00:00:00"/>
  </r>
  <r>
    <x v="7"/>
    <s v="Surabaya"/>
    <s v="P02"/>
    <n v="3"/>
    <n v="28000"/>
    <n v="84000"/>
    <s v="Latte"/>
    <s v="Coffee"/>
    <n v="27"/>
    <n v="9"/>
    <n v="2025"/>
    <d v="2025-09-27T00:00:00"/>
  </r>
  <r>
    <x v="11"/>
    <s v="Surabaya"/>
    <s v="P03"/>
    <n v="1"/>
    <n v="20000"/>
    <n v="20000"/>
    <s v="Espresso"/>
    <s v="Coffee"/>
    <n v="17"/>
    <n v="9"/>
    <n v="2025"/>
    <d v="2025-09-17T00:00:00"/>
  </r>
  <r>
    <x v="18"/>
    <s v="Surabaya"/>
    <s v="P04"/>
    <n v="5"/>
    <n v="30000"/>
    <n v="150000"/>
    <s v="Americano"/>
    <s v="Coffee"/>
    <n v="6"/>
    <n v="9"/>
    <n v="2025"/>
    <d v="2025-09-06T00:00:00"/>
  </r>
  <r>
    <x v="21"/>
    <s v="Surabaya"/>
    <s v="P05"/>
    <n v="4"/>
    <n v="20000"/>
    <n v="80000"/>
    <s v="Mocha"/>
    <s v="Chocolate"/>
    <n v="4"/>
    <n v="9"/>
    <n v="2025"/>
    <d v="2025-09-04T00:00:00"/>
  </r>
  <r>
    <x v="23"/>
    <s v="Surabaya"/>
    <s v="P04"/>
    <n v="1"/>
    <n v="25000"/>
    <n v="25000"/>
    <s v="Americano"/>
    <s v="Coffee"/>
    <n v="15"/>
    <n v="9"/>
    <n v="2025"/>
    <d v="2025-09-15T00:00:00"/>
  </r>
  <r>
    <x v="18"/>
    <s v="Surabaya"/>
    <s v="P05"/>
    <n v="2"/>
    <n v="30000"/>
    <n v="60000"/>
    <s v="Mocha"/>
    <s v="Chocolate"/>
    <n v="6"/>
    <n v="9"/>
    <n v="2025"/>
    <d v="2025-09-06T00:00:00"/>
  </r>
  <r>
    <x v="7"/>
    <s v="Surabaya"/>
    <s v="P01"/>
    <n v="1"/>
    <n v="35000"/>
    <n v="35000"/>
    <s v="Cappuccino"/>
    <s v="Coffee"/>
    <n v="27"/>
    <n v="9"/>
    <n v="2025"/>
    <d v="2025-09-27T00:00:00"/>
  </r>
  <r>
    <x v="29"/>
    <s v="Surabaya"/>
    <s v="P02"/>
    <n v="1"/>
    <n v="35000"/>
    <n v="35000"/>
    <s v="Latte"/>
    <s v="Coffee"/>
    <n v="18"/>
    <n v="9"/>
    <n v="2025"/>
    <d v="2025-09-18T00:00:00"/>
  </r>
  <r>
    <x v="27"/>
    <s v="Surabaya"/>
    <s v="P03"/>
    <n v="4"/>
    <n v="25000"/>
    <n v="100000"/>
    <s v="Espresso"/>
    <s v="Coffee"/>
    <n v="9"/>
    <n v="9"/>
    <n v="2025"/>
    <d v="2025-09-09T00:00:00"/>
  </r>
  <r>
    <x v="28"/>
    <s v="Surabaya"/>
    <s v="P04"/>
    <n v="2"/>
    <n v="35000"/>
    <n v="70000"/>
    <s v="Americano"/>
    <s v="Coffee"/>
    <n v="21"/>
    <n v="9"/>
    <n v="2025"/>
    <d v="2025-09-21T00:00:00"/>
  </r>
  <r>
    <x v="1"/>
    <s v="Surabaya"/>
    <s v="P05"/>
    <n v="5"/>
    <n v="30000"/>
    <n v="150000"/>
    <s v="Mocha"/>
    <s v="Chocolate"/>
    <n v="26"/>
    <n v="9"/>
    <n v="2025"/>
    <d v="2025-09-26T00:00:00"/>
  </r>
  <r>
    <x v="0"/>
    <s v="Surabaya"/>
    <s v="P03"/>
    <n v="1"/>
    <n v="28000"/>
    <n v="28000"/>
    <s v="Espresso"/>
    <s v="Coffee"/>
    <n v="20"/>
    <n v="9"/>
    <n v="2025"/>
    <d v="2025-09-20T00:00:00"/>
  </r>
  <r>
    <x v="4"/>
    <s v="Surabaya"/>
    <s v="P04"/>
    <n v="2"/>
    <n v="30000"/>
    <n v="60000"/>
    <s v="Americano"/>
    <s v="Coffee"/>
    <n v="2"/>
    <n v="9"/>
    <n v="2025"/>
    <d v="2025-09-02T00:00:00"/>
  </r>
  <r>
    <x v="7"/>
    <s v="Surabaya"/>
    <s v="P05"/>
    <n v="1"/>
    <n v="20000"/>
    <n v="20000"/>
    <s v="Mocha"/>
    <s v="Chocolate"/>
    <n v="27"/>
    <n v="9"/>
    <n v="2025"/>
    <d v="2025-09-27T00:00:00"/>
  </r>
  <r>
    <x v="12"/>
    <s v="Surabaya"/>
    <s v="P01"/>
    <n v="2"/>
    <n v="25000"/>
    <n v="50000"/>
    <s v="Cappuccino"/>
    <s v="Coffee"/>
    <n v="8"/>
    <n v="9"/>
    <n v="2025"/>
    <d v="2025-09-08T00:00:00"/>
  </r>
  <r>
    <x v="12"/>
    <s v="Surabaya"/>
    <s v="P02"/>
    <n v="4"/>
    <n v="35000"/>
    <n v="140000"/>
    <s v="Latte"/>
    <s v="Coffee"/>
    <n v="8"/>
    <n v="9"/>
    <n v="2025"/>
    <d v="2025-09-08T00:00:00"/>
  </r>
  <r>
    <x v="24"/>
    <s v="Surabaya"/>
    <s v="P03"/>
    <n v="3"/>
    <n v="28000"/>
    <n v="84000"/>
    <s v="Espresso"/>
    <s v="Coffee"/>
    <n v="25"/>
    <n v="9"/>
    <n v="2025"/>
    <d v="2025-09-25T00:00:00"/>
  </r>
  <r>
    <x v="14"/>
    <s v="Surabaya"/>
    <s v="P04"/>
    <n v="3"/>
    <n v="30000"/>
    <n v="90000"/>
    <s v="Americano"/>
    <s v="Coffee"/>
    <n v="10"/>
    <n v="9"/>
    <n v="2025"/>
    <d v="2025-09-10T00:00:00"/>
  </r>
  <r>
    <x v="28"/>
    <s v="Surabaya"/>
    <s v="P05"/>
    <n v="1"/>
    <n v="25000"/>
    <n v="25000"/>
    <s v="Mocha"/>
    <s v="Chocolate"/>
    <n v="21"/>
    <n v="9"/>
    <n v="2025"/>
    <d v="2025-09-21T00:00:00"/>
  </r>
  <r>
    <x v="19"/>
    <s v="Surabaya"/>
    <s v="P01"/>
    <n v="1"/>
    <n v="35000"/>
    <n v="35000"/>
    <s v="Cappuccino"/>
    <s v="Coffee"/>
    <n v="5"/>
    <n v="9"/>
    <n v="2025"/>
    <d v="2025-09-05T00:00:00"/>
  </r>
  <r>
    <x v="8"/>
    <s v="Surabaya"/>
    <s v="P02"/>
    <n v="4"/>
    <n v="20000"/>
    <n v="80000"/>
    <s v="Latte"/>
    <s v="Coffee"/>
    <n v="1"/>
    <n v="9"/>
    <n v="2025"/>
    <d v="2025-09-01T00:00:00"/>
  </r>
  <r>
    <x v="15"/>
    <s v="Surabaya"/>
    <s v="P03"/>
    <n v="5"/>
    <n v="20000"/>
    <n v="100000"/>
    <s v="Espresso"/>
    <s v="Coffee"/>
    <n v="30"/>
    <n v="9"/>
    <n v="2025"/>
    <d v="2025-09-30T00:00:00"/>
  </r>
  <r>
    <x v="17"/>
    <s v="Surabaya"/>
    <s v="P04"/>
    <n v="3"/>
    <n v="20000"/>
    <n v="60000"/>
    <s v="Americano"/>
    <s v="Coffee"/>
    <n v="3"/>
    <n v="9"/>
    <n v="2025"/>
    <d v="2025-09-03T00:00:00"/>
  </r>
  <r>
    <x v="18"/>
    <s v="Surabaya"/>
    <s v="P05"/>
    <n v="1"/>
    <n v="35000"/>
    <n v="35000"/>
    <s v="Mocha"/>
    <s v="Chocolate"/>
    <n v="6"/>
    <n v="9"/>
    <n v="2025"/>
    <d v="2025-09-06T00:00:00"/>
  </r>
  <r>
    <x v="5"/>
    <s v="Surabaya"/>
    <s v="P01"/>
    <n v="1"/>
    <n v="28000"/>
    <n v="28000"/>
    <s v="Cappuccino"/>
    <s v="Coffee"/>
    <n v="13"/>
    <n v="9"/>
    <n v="2025"/>
    <d v="2025-09-13T00:00:00"/>
  </r>
  <r>
    <x v="29"/>
    <s v="Surabaya"/>
    <s v="P02"/>
    <n v="5"/>
    <n v="30000"/>
    <n v="150000"/>
    <s v="Latte"/>
    <s v="Coffee"/>
    <n v="18"/>
    <n v="9"/>
    <n v="2025"/>
    <d v="2025-09-18T00:00:00"/>
  </r>
  <r>
    <x v="1"/>
    <s v="Surabaya"/>
    <s v="P03"/>
    <n v="2"/>
    <n v="30000"/>
    <n v="60000"/>
    <s v="Espresso"/>
    <s v="Coffee"/>
    <n v="26"/>
    <n v="9"/>
    <n v="2025"/>
    <d v="2025-09-26T00:00:00"/>
  </r>
  <r>
    <x v="1"/>
    <s v="Surabaya"/>
    <s v="P04"/>
    <n v="4"/>
    <n v="20000"/>
    <n v="80000"/>
    <s v="Americano"/>
    <s v="Coffee"/>
    <n v="26"/>
    <n v="9"/>
    <n v="2025"/>
    <d v="2025-09-26T00:00:00"/>
  </r>
  <r>
    <x v="14"/>
    <s v="Surabaya"/>
    <s v="P05"/>
    <n v="1"/>
    <n v="20000"/>
    <n v="20000"/>
    <s v="Mocha"/>
    <s v="Chocolate"/>
    <n v="10"/>
    <n v="9"/>
    <n v="2025"/>
    <d v="2025-09-10T00:00:00"/>
  </r>
  <r>
    <x v="13"/>
    <s v="Surabaya"/>
    <s v="P01"/>
    <n v="4"/>
    <n v="25000"/>
    <n v="100000"/>
    <s v="Cappuccino"/>
    <s v="Coffee"/>
    <n v="29"/>
    <n v="9"/>
    <n v="2025"/>
    <d v="2025-09-29T00:00:00"/>
  </r>
  <r>
    <x v="11"/>
    <s v="Surabaya"/>
    <s v="P02"/>
    <n v="3"/>
    <n v="25000"/>
    <n v="75000"/>
    <s v="Latte"/>
    <s v="Coffee"/>
    <n v="17"/>
    <n v="9"/>
    <n v="2025"/>
    <d v="2025-09-17T00:00:00"/>
  </r>
  <r>
    <x v="23"/>
    <s v="Surabaya"/>
    <s v="P03"/>
    <n v="1"/>
    <n v="25000"/>
    <n v="25000"/>
    <s v="Espresso"/>
    <s v="Coffee"/>
    <n v="15"/>
    <n v="9"/>
    <n v="2025"/>
    <d v="2025-09-15T00:00:00"/>
  </r>
  <r>
    <x v="24"/>
    <s v="Surabaya"/>
    <s v="P04"/>
    <n v="4"/>
    <n v="28000"/>
    <n v="112000"/>
    <s v="Americano"/>
    <s v="Coffee"/>
    <n v="25"/>
    <n v="9"/>
    <n v="2025"/>
    <d v="2025-09-25T00:00:00"/>
  </r>
  <r>
    <x v="22"/>
    <s v="Surabaya"/>
    <s v="P05"/>
    <n v="3"/>
    <n v="30000"/>
    <n v="90000"/>
    <s v="Mocha"/>
    <s v="Chocolate"/>
    <n v="23"/>
    <n v="9"/>
    <n v="2025"/>
    <d v="2025-09-23T00:00:00"/>
  </r>
  <r>
    <x v="15"/>
    <s v="Surabaya"/>
    <s v="P01"/>
    <n v="1"/>
    <n v="30000"/>
    <n v="30000"/>
    <s v="Cappuccino"/>
    <s v="Coffee"/>
    <n v="30"/>
    <n v="9"/>
    <n v="2025"/>
    <d v="2025-09-30T00:00:00"/>
  </r>
  <r>
    <x v="5"/>
    <s v="Surabaya"/>
    <s v="P02"/>
    <n v="1"/>
    <n v="20000"/>
    <n v="20000"/>
    <s v="Latte"/>
    <s v="Coffee"/>
    <n v="13"/>
    <n v="9"/>
    <n v="2025"/>
    <d v="2025-09-13T00:00:00"/>
  </r>
  <r>
    <x v="22"/>
    <s v="Surabaya"/>
    <s v="P03"/>
    <n v="1"/>
    <n v="28000"/>
    <n v="28000"/>
    <s v="Espresso"/>
    <s v="Coffee"/>
    <n v="23"/>
    <n v="9"/>
    <n v="2025"/>
    <d v="2025-09-23T00:00:00"/>
  </r>
  <r>
    <x v="7"/>
    <s v="Surabaya"/>
    <s v="P04"/>
    <n v="5"/>
    <n v="30000"/>
    <n v="150000"/>
    <s v="Americano"/>
    <s v="Coffee"/>
    <n v="27"/>
    <n v="9"/>
    <n v="2025"/>
    <d v="2025-09-27T00:00:00"/>
  </r>
  <r>
    <x v="24"/>
    <s v="Jakarta"/>
    <s v="P01"/>
    <n v="4"/>
    <n v="28000"/>
    <n v="112000"/>
    <s v="Cappuccino"/>
    <s v="Coffee"/>
    <n v="25"/>
    <n v="9"/>
    <n v="2025"/>
    <d v="2025-09-25T00:00:00"/>
  </r>
  <r>
    <x v="21"/>
    <s v="Jakarta"/>
    <s v="P02"/>
    <n v="2"/>
    <n v="20000"/>
    <n v="40000"/>
    <s v="Latte"/>
    <s v="Coffee"/>
    <n v="4"/>
    <n v="9"/>
    <n v="2025"/>
    <d v="2025-09-04T00:00:00"/>
  </r>
  <r>
    <x v="25"/>
    <s v="Jakarta"/>
    <s v="P03"/>
    <n v="1"/>
    <n v="25000"/>
    <n v="25000"/>
    <s v="Espresso"/>
    <s v="Coffee"/>
    <n v="28"/>
    <n v="9"/>
    <n v="2025"/>
    <d v="2025-09-28T00:00:00"/>
  </r>
  <r>
    <x v="20"/>
    <s v="Jakarta"/>
    <s v="P04"/>
    <n v="3"/>
    <n v="28000"/>
    <n v="84000"/>
    <s v="Americano"/>
    <s v="Coffee"/>
    <n v="12"/>
    <n v="9"/>
    <n v="2025"/>
    <d v="2025-09-12T00:00:00"/>
  </r>
  <r>
    <x v="12"/>
    <s v="Jakarta"/>
    <s v="P05"/>
    <n v="2"/>
    <n v="35000"/>
    <n v="70000"/>
    <s v="Mocha"/>
    <s v="Chocolate"/>
    <n v="8"/>
    <n v="9"/>
    <n v="2025"/>
    <d v="2025-09-08T00:00:00"/>
  </r>
  <r>
    <x v="20"/>
    <s v="Jakarta"/>
    <s v="P05"/>
    <n v="1"/>
    <n v="28000"/>
    <n v="28000"/>
    <s v="Mocha"/>
    <s v="Chocolate"/>
    <n v="12"/>
    <n v="9"/>
    <n v="2025"/>
    <d v="2025-09-12T00:00:00"/>
  </r>
  <r>
    <x v="12"/>
    <s v="Jakarta"/>
    <s v="P05"/>
    <n v="4"/>
    <n v="30000"/>
    <n v="120000"/>
    <s v="Mocha"/>
    <s v="Chocolate"/>
    <n v="8"/>
    <n v="9"/>
    <n v="2025"/>
    <d v="2025-09-08T00:00:00"/>
  </r>
  <r>
    <x v="25"/>
    <s v="Jakarta"/>
    <s v="P05"/>
    <n v="5"/>
    <n v="30000"/>
    <n v="150000"/>
    <s v="Mocha"/>
    <s v="Chocolate"/>
    <n v="28"/>
    <n v="9"/>
    <n v="2025"/>
    <d v="2025-09-28T00:00:00"/>
  </r>
  <r>
    <x v="1"/>
    <s v="Jakarta"/>
    <s v="P05"/>
    <n v="3"/>
    <n v="20000"/>
    <n v="60000"/>
    <s v="Mocha"/>
    <s v="Chocolate"/>
    <n v="26"/>
    <n v="9"/>
    <n v="2025"/>
    <d v="2025-09-26T00:00:00"/>
  </r>
  <r>
    <x v="22"/>
    <s v="Jakarta"/>
    <s v="P05"/>
    <n v="2"/>
    <n v="35000"/>
    <n v="70000"/>
    <s v="Mocha"/>
    <s v="Chocolate"/>
    <n v="23"/>
    <n v="9"/>
    <n v="2025"/>
    <d v="2025-09-23T00:00:00"/>
  </r>
  <r>
    <x v="5"/>
    <s v="Jakarta"/>
    <s v="P05"/>
    <n v="3"/>
    <n v="28000"/>
    <n v="84000"/>
    <s v="Mocha"/>
    <s v="Chocolate"/>
    <n v="13"/>
    <n v="9"/>
    <n v="2025"/>
    <d v="2025-09-13T00:00:00"/>
  </r>
  <r>
    <x v="3"/>
    <s v="Jakarta"/>
    <s v="P05"/>
    <n v="3"/>
    <n v="28000"/>
    <n v="84000"/>
    <s v="Mocha"/>
    <s v="Chocolate"/>
    <n v="11"/>
    <n v="9"/>
    <n v="2025"/>
    <d v="2025-09-11T00:00:00"/>
  </r>
  <r>
    <x v="28"/>
    <s v="Jakarta"/>
    <s v="P05"/>
    <n v="2"/>
    <n v="20000"/>
    <n v="40000"/>
    <s v="Mocha"/>
    <s v="Chocolate"/>
    <n v="21"/>
    <n v="9"/>
    <n v="2025"/>
    <d v="2025-09-21T00:00:00"/>
  </r>
  <r>
    <x v="14"/>
    <s v="Jakarta"/>
    <s v="P05"/>
    <n v="3"/>
    <n v="30000"/>
    <n v="90000"/>
    <s v="Mocha"/>
    <s v="Chocolate"/>
    <n v="10"/>
    <n v="9"/>
    <n v="2025"/>
    <d v="2025-09-10T00:00:00"/>
  </r>
  <r>
    <x v="11"/>
    <s v="Jakarta"/>
    <s v="P05"/>
    <n v="1"/>
    <n v="35000"/>
    <n v="35000"/>
    <s v="Mocha"/>
    <s v="Chocolate"/>
    <n v="17"/>
    <n v="9"/>
    <n v="2025"/>
    <d v="2025-09-17T00:00:00"/>
  </r>
  <r>
    <x v="24"/>
    <s v="Jakarta"/>
    <s v="P05"/>
    <n v="2"/>
    <n v="30000"/>
    <n v="60000"/>
    <s v="Mocha"/>
    <s v="Chocolate"/>
    <n v="25"/>
    <n v="9"/>
    <n v="2025"/>
    <d v="2025-09-25T00:00:00"/>
  </r>
  <r>
    <x v="9"/>
    <s v="Jakarta"/>
    <s v="P05"/>
    <n v="1"/>
    <n v="35000"/>
    <n v="35000"/>
    <s v="Mocha"/>
    <s v="Chocolate"/>
    <n v="7"/>
    <n v="9"/>
    <n v="2025"/>
    <d v="2025-09-07T00:00:00"/>
  </r>
  <r>
    <x v="3"/>
    <s v="Jakarta"/>
    <s v="P05"/>
    <n v="1"/>
    <n v="30000"/>
    <n v="30000"/>
    <s v="Mocha"/>
    <s v="Chocolate"/>
    <n v="11"/>
    <n v="9"/>
    <n v="2025"/>
    <d v="2025-09-11T00:00:00"/>
  </r>
  <r>
    <x v="8"/>
    <s v="Jakarta"/>
    <s v="P05"/>
    <n v="1"/>
    <n v="28000"/>
    <n v="28000"/>
    <s v="Mocha"/>
    <s v="Chocolate"/>
    <n v="1"/>
    <n v="9"/>
    <n v="2025"/>
    <d v="2025-09-01T00:00:00"/>
  </r>
  <r>
    <x v="4"/>
    <s v="Jakarta"/>
    <s v="P01"/>
    <n v="1"/>
    <n v="35000"/>
    <n v="35000"/>
    <s v="Cappuccino"/>
    <s v="Coffee"/>
    <n v="2"/>
    <n v="9"/>
    <n v="2025"/>
    <d v="2025-09-02T00:00:00"/>
  </r>
  <r>
    <x v="8"/>
    <s v="Jakarta"/>
    <s v="P02"/>
    <n v="2"/>
    <n v="25000"/>
    <n v="50000"/>
    <s v="Latte"/>
    <s v="Coffee"/>
    <n v="1"/>
    <n v="9"/>
    <n v="2025"/>
    <d v="2025-09-01T00:00:00"/>
  </r>
  <r>
    <x v="7"/>
    <s v="Jakarta"/>
    <s v="P03"/>
    <n v="3"/>
    <n v="30000"/>
    <n v="90000"/>
    <s v="Espresso"/>
    <s v="Coffee"/>
    <n v="27"/>
    <n v="9"/>
    <n v="2025"/>
    <d v="2025-09-27T00:00:00"/>
  </r>
  <r>
    <x v="14"/>
    <s v="Jakarta"/>
    <s v="P04"/>
    <n v="4"/>
    <n v="20000"/>
    <n v="80000"/>
    <s v="Americano"/>
    <s v="Coffee"/>
    <n v="10"/>
    <n v="9"/>
    <n v="2025"/>
    <d v="2025-09-10T00:00:00"/>
  </r>
  <r>
    <x v="6"/>
    <s v="Jakarta"/>
    <s v="P05"/>
    <n v="4"/>
    <n v="20000"/>
    <n v="80000"/>
    <s v="Mocha"/>
    <s v="Chocolate"/>
    <n v="14"/>
    <n v="9"/>
    <n v="2025"/>
    <d v="2025-09-14T00:00:00"/>
  </r>
  <r>
    <x v="17"/>
    <s v="Jakarta"/>
    <s v="P05"/>
    <n v="1"/>
    <n v="28000"/>
    <n v="28000"/>
    <s v="Mocha"/>
    <s v="Chocolate"/>
    <n v="3"/>
    <n v="9"/>
    <n v="2025"/>
    <d v="2025-09-03T00:00:00"/>
  </r>
  <r>
    <x v="15"/>
    <s v="Jakarta"/>
    <s v="P05"/>
    <n v="4"/>
    <n v="25000"/>
    <n v="100000"/>
    <s v="Mocha"/>
    <s v="Chocolate"/>
    <n v="30"/>
    <n v="9"/>
    <n v="2025"/>
    <d v="2025-09-30T00:00:00"/>
  </r>
  <r>
    <x v="18"/>
    <s v="Jakarta"/>
    <s v="P05"/>
    <n v="4"/>
    <n v="25000"/>
    <n v="100000"/>
    <s v="Mocha"/>
    <s v="Chocolate"/>
    <n v="6"/>
    <n v="9"/>
    <n v="2025"/>
    <d v="2025-09-06T00:00:00"/>
  </r>
  <r>
    <x v="5"/>
    <s v="Jakarta"/>
    <s v="P05"/>
    <n v="1"/>
    <n v="30000"/>
    <n v="30000"/>
    <s v="Mocha"/>
    <s v="Chocolate"/>
    <n v="13"/>
    <n v="9"/>
    <n v="2025"/>
    <d v="2025-09-13T00:00:00"/>
  </r>
  <r>
    <x v="6"/>
    <s v="Jakarta"/>
    <s v="P05"/>
    <n v="1"/>
    <n v="30000"/>
    <n v="30000"/>
    <s v="Mocha"/>
    <s v="Chocolate"/>
    <n v="14"/>
    <n v="9"/>
    <n v="2025"/>
    <d v="2025-09-14T00:00:00"/>
  </r>
  <r>
    <x v="3"/>
    <s v="Jakarta"/>
    <s v="P05"/>
    <n v="4"/>
    <n v="35000"/>
    <n v="140000"/>
    <s v="Mocha"/>
    <s v="Chocolate"/>
    <n v="11"/>
    <n v="9"/>
    <n v="2025"/>
    <d v="2025-09-11T00:00:00"/>
  </r>
  <r>
    <x v="6"/>
    <s v="Jakarta"/>
    <s v="P05"/>
    <n v="4"/>
    <n v="30000"/>
    <n v="120000"/>
    <s v="Mocha"/>
    <s v="Chocolate"/>
    <n v="14"/>
    <n v="9"/>
    <n v="2025"/>
    <d v="2025-09-14T00:00:00"/>
  </r>
  <r>
    <x v="11"/>
    <s v="Jakarta"/>
    <s v="P05"/>
    <n v="1"/>
    <n v="35000"/>
    <n v="35000"/>
    <s v="Mocha"/>
    <s v="Chocolate"/>
    <n v="17"/>
    <n v="9"/>
    <n v="2025"/>
    <d v="2025-09-17T00:00:00"/>
  </r>
  <r>
    <x v="25"/>
    <s v="Jakarta"/>
    <s v="P05"/>
    <n v="1"/>
    <n v="30000"/>
    <n v="30000"/>
    <s v="Mocha"/>
    <s v="Chocolate"/>
    <n v="28"/>
    <n v="9"/>
    <n v="2025"/>
    <d v="2025-09-28T00:00:00"/>
  </r>
  <r>
    <x v="18"/>
    <s v="Jakarta"/>
    <s v="P05"/>
    <n v="4"/>
    <n v="20000"/>
    <n v="80000"/>
    <s v="Mocha"/>
    <s v="Chocolate"/>
    <n v="6"/>
    <n v="9"/>
    <n v="2025"/>
    <d v="2025-09-06T00:00:00"/>
  </r>
  <r>
    <x v="15"/>
    <s v="Jakarta"/>
    <s v="P05"/>
    <n v="1"/>
    <n v="30000"/>
    <n v="30000"/>
    <s v="Mocha"/>
    <s v="Chocolate"/>
    <n v="30"/>
    <n v="9"/>
    <n v="2025"/>
    <d v="2025-09-30T00:00:00"/>
  </r>
  <r>
    <x v="2"/>
    <s v="Jakarta"/>
    <s v="P05"/>
    <n v="1"/>
    <n v="25000"/>
    <n v="25000"/>
    <s v="Mocha"/>
    <s v="Chocolate"/>
    <n v="19"/>
    <n v="9"/>
    <n v="2025"/>
    <d v="2025-09-19T00:00:00"/>
  </r>
  <r>
    <x v="25"/>
    <s v="Jakarta"/>
    <s v="P05"/>
    <n v="3"/>
    <n v="35000"/>
    <n v="105000"/>
    <s v="Mocha"/>
    <s v="Chocolate"/>
    <n v="28"/>
    <n v="9"/>
    <n v="2025"/>
    <d v="2025-09-28T00:00:00"/>
  </r>
  <r>
    <x v="24"/>
    <s v="Jakarta"/>
    <s v="P05"/>
    <n v="1"/>
    <n v="35000"/>
    <n v="35000"/>
    <s v="Mocha"/>
    <s v="Chocolate"/>
    <n v="25"/>
    <n v="9"/>
    <n v="2025"/>
    <d v="2025-09-25T00:00:00"/>
  </r>
  <r>
    <x v="13"/>
    <s v="Jakarta"/>
    <s v="P01"/>
    <n v="5"/>
    <n v="35000"/>
    <n v="175000"/>
    <s v="Cappuccino"/>
    <s v="Coffee"/>
    <n v="29"/>
    <n v="9"/>
    <n v="2025"/>
    <d v="2025-09-29T00:00:00"/>
  </r>
  <r>
    <x v="25"/>
    <s v="Jakarta"/>
    <s v="P02"/>
    <n v="1"/>
    <n v="30000"/>
    <n v="30000"/>
    <s v="Latte"/>
    <s v="Coffee"/>
    <n v="28"/>
    <n v="9"/>
    <n v="2025"/>
    <d v="2025-09-28T00:00:00"/>
  </r>
  <r>
    <x v="13"/>
    <s v="Jakarta"/>
    <s v="P03"/>
    <n v="1"/>
    <n v="20000"/>
    <n v="20000"/>
    <s v="Espresso"/>
    <s v="Coffee"/>
    <n v="29"/>
    <n v="9"/>
    <n v="2025"/>
    <d v="2025-09-29T00:00:00"/>
  </r>
  <r>
    <x v="8"/>
    <s v="Jakarta"/>
    <s v="P04"/>
    <n v="2"/>
    <n v="30000"/>
    <n v="60000"/>
    <s v="Americano"/>
    <s v="Coffee"/>
    <n v="1"/>
    <n v="9"/>
    <n v="2025"/>
    <d v="2025-09-01T00:00:00"/>
  </r>
  <r>
    <x v="4"/>
    <s v="Jakarta"/>
    <s v="P05"/>
    <n v="2"/>
    <n v="35000"/>
    <n v="70000"/>
    <s v="Mocha"/>
    <s v="Chocolate"/>
    <n v="2"/>
    <n v="9"/>
    <n v="2025"/>
    <d v="2025-09-02T00:00:00"/>
  </r>
  <r>
    <x v="5"/>
    <s v="Jakarta"/>
    <s v="P01"/>
    <n v="5"/>
    <n v="28000"/>
    <n v="140000"/>
    <s v="Cappuccino"/>
    <s v="Coffee"/>
    <n v="13"/>
    <n v="9"/>
    <n v="2025"/>
    <d v="2025-09-13T00:00:00"/>
  </r>
  <r>
    <x v="16"/>
    <s v="Jakarta"/>
    <s v="P02"/>
    <n v="1"/>
    <n v="25000"/>
    <n v="25000"/>
    <s v="Latte"/>
    <s v="Coffee"/>
    <n v="24"/>
    <n v="9"/>
    <n v="2025"/>
    <d v="2025-09-24T00:00:00"/>
  </r>
  <r>
    <x v="17"/>
    <s v="Jakarta"/>
    <s v="P03"/>
    <n v="1"/>
    <n v="35000"/>
    <n v="35000"/>
    <s v="Espresso"/>
    <s v="Coffee"/>
    <n v="3"/>
    <n v="9"/>
    <n v="2025"/>
    <d v="2025-09-03T00:00:00"/>
  </r>
  <r>
    <x v="17"/>
    <s v="Jakarta"/>
    <s v="P04"/>
    <n v="2"/>
    <n v="28000"/>
    <n v="56000"/>
    <s v="Americano"/>
    <s v="Coffee"/>
    <n v="3"/>
    <n v="9"/>
    <n v="2025"/>
    <d v="2025-09-03T00:00:00"/>
  </r>
  <r>
    <x v="8"/>
    <s v="Jakarta"/>
    <s v="P05"/>
    <n v="3"/>
    <n v="28000"/>
    <n v="84000"/>
    <s v="Mocha"/>
    <s v="Chocolate"/>
    <n v="1"/>
    <n v="9"/>
    <n v="2025"/>
    <d v="2025-09-01T00:00:00"/>
  </r>
  <r>
    <x v="0"/>
    <s v="Jakarta"/>
    <s v="P01"/>
    <n v="1"/>
    <n v="25000"/>
    <n v="25000"/>
    <s v="Cappuccino"/>
    <s v="Coffee"/>
    <n v="20"/>
    <n v="9"/>
    <n v="2025"/>
    <d v="2025-09-20T00:00:00"/>
  </r>
  <r>
    <x v="7"/>
    <s v="Jakarta"/>
    <s v="P02"/>
    <n v="2"/>
    <n v="30000"/>
    <n v="60000"/>
    <s v="Latte"/>
    <s v="Coffee"/>
    <n v="27"/>
    <n v="9"/>
    <n v="2025"/>
    <d v="2025-09-27T00:00:00"/>
  </r>
  <r>
    <x v="17"/>
    <s v="Jakarta"/>
    <s v="P03"/>
    <n v="1"/>
    <n v="30000"/>
    <n v="30000"/>
    <s v="Espresso"/>
    <s v="Coffee"/>
    <n v="3"/>
    <n v="9"/>
    <n v="2025"/>
    <d v="2025-09-03T00:00:00"/>
  </r>
  <r>
    <x v="11"/>
    <s v="Jakarta"/>
    <s v="P04"/>
    <n v="1"/>
    <n v="35000"/>
    <n v="35000"/>
    <s v="Americano"/>
    <s v="Coffee"/>
    <n v="17"/>
    <n v="9"/>
    <n v="2025"/>
    <d v="2025-09-17T00:00:00"/>
  </r>
  <r>
    <x v="7"/>
    <s v="Jakarta"/>
    <s v="P05"/>
    <n v="3"/>
    <n v="30000"/>
    <n v="90000"/>
    <s v="Mocha"/>
    <s v="Chocolate"/>
    <n v="27"/>
    <n v="9"/>
    <n v="2025"/>
    <d v="2025-09-27T00:00:00"/>
  </r>
  <r>
    <x v="13"/>
    <s v="Jakarta"/>
    <s v="P01"/>
    <n v="1"/>
    <n v="20000"/>
    <n v="20000"/>
    <s v="Cappuccino"/>
    <s v="Coffee"/>
    <n v="29"/>
    <n v="9"/>
    <n v="2025"/>
    <d v="2025-09-29T00:00:00"/>
  </r>
  <r>
    <x v="22"/>
    <s v="Jakarta"/>
    <s v="P02"/>
    <n v="2"/>
    <n v="35000"/>
    <n v="70000"/>
    <s v="Latte"/>
    <s v="Coffee"/>
    <n v="23"/>
    <n v="9"/>
    <n v="2025"/>
    <d v="2025-09-23T00:00:00"/>
  </r>
  <r>
    <x v="0"/>
    <s v="Jakarta"/>
    <s v="P03"/>
    <n v="1"/>
    <n v="25000"/>
    <n v="25000"/>
    <s v="Espresso"/>
    <s v="Coffee"/>
    <n v="20"/>
    <n v="9"/>
    <n v="2025"/>
    <d v="2025-09-20T00:00:00"/>
  </r>
  <r>
    <x v="8"/>
    <s v="Jakarta"/>
    <s v="P04"/>
    <n v="5"/>
    <n v="20000"/>
    <n v="100000"/>
    <s v="Americano"/>
    <s v="Coffee"/>
    <n v="1"/>
    <n v="9"/>
    <n v="2025"/>
    <d v="2025-09-01T00:00:00"/>
  </r>
  <r>
    <x v="18"/>
    <s v="Jakarta"/>
    <s v="P05"/>
    <n v="1"/>
    <n v="30000"/>
    <n v="30000"/>
    <s v="Mocha"/>
    <s v="Chocolate"/>
    <n v="6"/>
    <n v="9"/>
    <n v="2025"/>
    <d v="2025-09-06T00:00:00"/>
  </r>
  <r>
    <x v="25"/>
    <s v="Jakarta"/>
    <s v="P03"/>
    <n v="5"/>
    <n v="25000"/>
    <n v="125000"/>
    <s v="Espresso"/>
    <s v="Coffee"/>
    <n v="28"/>
    <n v="9"/>
    <n v="2025"/>
    <d v="2025-09-28T00:00:00"/>
  </r>
  <r>
    <x v="13"/>
    <s v="Jakarta"/>
    <s v="P04"/>
    <n v="1"/>
    <n v="20000"/>
    <n v="20000"/>
    <s v="Americano"/>
    <s v="Coffee"/>
    <n v="29"/>
    <n v="9"/>
    <n v="2025"/>
    <d v="2025-09-29T00:00:00"/>
  </r>
  <r>
    <x v="20"/>
    <s v="Jakarta"/>
    <s v="P05"/>
    <n v="1"/>
    <n v="28000"/>
    <n v="28000"/>
    <s v="Mocha"/>
    <s v="Chocolate"/>
    <n v="12"/>
    <n v="9"/>
    <n v="2025"/>
    <d v="2025-09-12T00:00:00"/>
  </r>
  <r>
    <x v="6"/>
    <s v="Jakarta"/>
    <s v="P01"/>
    <n v="2"/>
    <n v="25000"/>
    <n v="50000"/>
    <s v="Cappuccino"/>
    <s v="Coffee"/>
    <n v="14"/>
    <n v="9"/>
    <n v="2025"/>
    <d v="2025-09-14T00:00:00"/>
  </r>
  <r>
    <x v="17"/>
    <s v="Jakarta"/>
    <s v="P02"/>
    <n v="1"/>
    <n v="35000"/>
    <n v="35000"/>
    <s v="Latte"/>
    <s v="Coffee"/>
    <n v="3"/>
    <n v="9"/>
    <n v="2025"/>
    <d v="2025-09-03T00:00:00"/>
  </r>
  <r>
    <x v="8"/>
    <s v="Jakarta"/>
    <s v="P03"/>
    <n v="3"/>
    <n v="25000"/>
    <n v="75000"/>
    <s v="Espresso"/>
    <s v="Coffee"/>
    <n v="1"/>
    <n v="9"/>
    <n v="2025"/>
    <d v="2025-09-01T00:00:00"/>
  </r>
  <r>
    <x v="12"/>
    <s v="Jakarta"/>
    <s v="P04"/>
    <n v="4"/>
    <n v="30000"/>
    <n v="120000"/>
    <s v="Americano"/>
    <s v="Coffee"/>
    <n v="8"/>
    <n v="9"/>
    <n v="2025"/>
    <d v="2025-09-08T00:00:00"/>
  </r>
  <r>
    <x v="24"/>
    <s v="Jakarta"/>
    <s v="P05"/>
    <n v="5"/>
    <n v="35000"/>
    <n v="175000"/>
    <s v="Mocha"/>
    <s v="Chocolate"/>
    <n v="25"/>
    <n v="9"/>
    <n v="2025"/>
    <d v="2025-09-25T00:00:00"/>
  </r>
  <r>
    <x v="8"/>
    <s v="Jakarta"/>
    <s v="P01"/>
    <n v="3"/>
    <n v="28000"/>
    <n v="84000"/>
    <s v="Cappuccino"/>
    <s v="Coffee"/>
    <n v="1"/>
    <n v="9"/>
    <n v="2025"/>
    <d v="2025-09-01T00:00:00"/>
  </r>
  <r>
    <x v="28"/>
    <s v="Jakarta"/>
    <s v="P02"/>
    <n v="3"/>
    <n v="20000"/>
    <n v="60000"/>
    <s v="Latte"/>
    <s v="Coffee"/>
    <n v="21"/>
    <n v="9"/>
    <n v="2025"/>
    <d v="2025-09-21T00:00:00"/>
  </r>
  <r>
    <x v="5"/>
    <s v="Jakarta"/>
    <s v="P03"/>
    <n v="1"/>
    <n v="30000"/>
    <n v="30000"/>
    <s v="Espresso"/>
    <s v="Coffee"/>
    <n v="13"/>
    <n v="9"/>
    <n v="2025"/>
    <d v="2025-09-13T00:00:00"/>
  </r>
  <r>
    <x v="9"/>
    <s v="Jakarta"/>
    <s v="P04"/>
    <n v="5"/>
    <n v="28000"/>
    <n v="140000"/>
    <s v="Americano"/>
    <s v="Coffee"/>
    <n v="7"/>
    <n v="9"/>
    <n v="2025"/>
    <d v="2025-09-07T00:00:00"/>
  </r>
  <r>
    <x v="0"/>
    <s v="Jakarta"/>
    <s v="P05"/>
    <n v="1"/>
    <n v="20000"/>
    <n v="20000"/>
    <s v="Mocha"/>
    <s v="Chocolate"/>
    <n v="20"/>
    <n v="9"/>
    <n v="2025"/>
    <d v="2025-09-20T00:00:00"/>
  </r>
  <r>
    <x v="19"/>
    <s v="Jakarta"/>
    <s v="P04"/>
    <n v="1"/>
    <n v="35000"/>
    <n v="35000"/>
    <s v="Americano"/>
    <s v="Coffee"/>
    <n v="5"/>
    <n v="9"/>
    <n v="2025"/>
    <d v="2025-09-05T00:00:00"/>
  </r>
  <r>
    <x v="24"/>
    <s v="Jakarta"/>
    <s v="P05"/>
    <n v="4"/>
    <n v="28000"/>
    <n v="112000"/>
    <s v="Mocha"/>
    <s v="Chocolate"/>
    <n v="25"/>
    <n v="9"/>
    <n v="2025"/>
    <d v="2025-09-25T00:00:00"/>
  </r>
  <r>
    <x v="12"/>
    <s v="Jakarta"/>
    <s v="P01"/>
    <n v="5"/>
    <n v="25000"/>
    <n v="125000"/>
    <s v="Cappuccino"/>
    <s v="Coffee"/>
    <n v="8"/>
    <n v="9"/>
    <n v="2025"/>
    <d v="2025-09-08T00:00:00"/>
  </r>
  <r>
    <x v="13"/>
    <s v="Jakarta"/>
    <s v="P02"/>
    <n v="1"/>
    <n v="25000"/>
    <n v="25000"/>
    <s v="Latte"/>
    <s v="Coffee"/>
    <n v="29"/>
    <n v="9"/>
    <n v="2025"/>
    <d v="2025-09-29T00:00:00"/>
  </r>
  <r>
    <x v="1"/>
    <s v="Jakarta"/>
    <s v="P03"/>
    <n v="3"/>
    <n v="35000"/>
    <n v="105000"/>
    <s v="Espresso"/>
    <s v="Coffee"/>
    <n v="26"/>
    <n v="9"/>
    <n v="2025"/>
    <d v="2025-09-26T00:00:00"/>
  </r>
  <r>
    <x v="18"/>
    <s v="Jakarta"/>
    <s v="P04"/>
    <n v="1"/>
    <n v="25000"/>
    <n v="25000"/>
    <s v="Americano"/>
    <s v="Coffee"/>
    <n v="6"/>
    <n v="9"/>
    <n v="2025"/>
    <d v="2025-09-06T00:00:00"/>
  </r>
  <r>
    <x v="18"/>
    <s v="Jakarta"/>
    <s v="P05"/>
    <n v="3"/>
    <n v="28000"/>
    <n v="84000"/>
    <s v="Mocha"/>
    <s v="Chocolate"/>
    <n v="6"/>
    <n v="9"/>
    <n v="2025"/>
    <d v="2025-09-06T00:00:00"/>
  </r>
  <r>
    <x v="26"/>
    <s v="Jakarta"/>
    <s v="P03"/>
    <n v="4"/>
    <n v="20000"/>
    <n v="80000"/>
    <s v="Espresso"/>
    <s v="Coffee"/>
    <n v="16"/>
    <n v="9"/>
    <n v="2025"/>
    <d v="2025-09-16T00:00:00"/>
  </r>
  <r>
    <x v="1"/>
    <s v="Jakarta"/>
    <s v="P04"/>
    <n v="2"/>
    <n v="20000"/>
    <n v="40000"/>
    <s v="Americano"/>
    <s v="Coffee"/>
    <n v="26"/>
    <n v="9"/>
    <n v="2025"/>
    <d v="2025-09-26T00:00:00"/>
  </r>
  <r>
    <x v="25"/>
    <s v="Jakarta"/>
    <s v="P05"/>
    <n v="3"/>
    <n v="25000"/>
    <n v="75000"/>
    <s v="Mocha"/>
    <s v="Chocolate"/>
    <n v="28"/>
    <n v="9"/>
    <n v="2025"/>
    <d v="2025-09-28T00:00:00"/>
  </r>
  <r>
    <x v="7"/>
    <s v="Jakarta"/>
    <s v="P01"/>
    <n v="2"/>
    <n v="35000"/>
    <n v="70000"/>
    <s v="Cappuccino"/>
    <s v="Coffee"/>
    <n v="27"/>
    <n v="9"/>
    <n v="2025"/>
    <d v="2025-09-27T00:00:00"/>
  </r>
  <r>
    <x v="15"/>
    <s v="Jakarta"/>
    <s v="P02"/>
    <n v="1"/>
    <n v="28000"/>
    <n v="28000"/>
    <s v="Latte"/>
    <s v="Coffee"/>
    <n v="30"/>
    <n v="9"/>
    <n v="2025"/>
    <d v="2025-09-30T00:00:00"/>
  </r>
  <r>
    <x v="11"/>
    <s v="Jakarta"/>
    <s v="P03"/>
    <n v="1"/>
    <n v="35000"/>
    <n v="35000"/>
    <s v="Espresso"/>
    <s v="Coffee"/>
    <n v="17"/>
    <n v="9"/>
    <n v="2025"/>
    <d v="2025-09-17T00:00:00"/>
  </r>
  <r>
    <x v="25"/>
    <s v="Jakarta"/>
    <s v="P04"/>
    <n v="3"/>
    <n v="35000"/>
    <n v="105000"/>
    <s v="Americano"/>
    <s v="Coffee"/>
    <n v="28"/>
    <n v="9"/>
    <n v="2025"/>
    <d v="2025-09-28T00:00:00"/>
  </r>
  <r>
    <x v="0"/>
    <s v="Jakarta"/>
    <s v="P05"/>
    <n v="1"/>
    <n v="25000"/>
    <n v="25000"/>
    <s v="Mocha"/>
    <s v="Chocolate"/>
    <n v="20"/>
    <n v="9"/>
    <n v="2025"/>
    <d v="2025-09-20T00:00:00"/>
  </r>
  <r>
    <x v="2"/>
    <s v="Jakarta"/>
    <s v="P01"/>
    <n v="4"/>
    <n v="20000"/>
    <n v="80000"/>
    <s v="Cappuccino"/>
    <s v="Coffee"/>
    <n v="19"/>
    <n v="9"/>
    <n v="2025"/>
    <d v="2025-09-19T00:00:00"/>
  </r>
  <r>
    <x v="24"/>
    <s v="Jakarta"/>
    <s v="P02"/>
    <n v="1"/>
    <n v="20000"/>
    <n v="20000"/>
    <s v="Latte"/>
    <s v="Coffee"/>
    <n v="25"/>
    <n v="9"/>
    <n v="2025"/>
    <d v="2025-09-25T00:00:00"/>
  </r>
  <r>
    <x v="20"/>
    <s v="Jakarta"/>
    <s v="P03"/>
    <n v="3"/>
    <n v="30000"/>
    <n v="90000"/>
    <s v="Espresso"/>
    <s v="Coffee"/>
    <n v="12"/>
    <n v="9"/>
    <n v="2025"/>
    <d v="2025-09-12T00:00:00"/>
  </r>
  <r>
    <x v="23"/>
    <s v="Jakarta"/>
    <s v="P04"/>
    <n v="4"/>
    <n v="20000"/>
    <n v="80000"/>
    <s v="Americano"/>
    <s v="Coffee"/>
    <n v="15"/>
    <n v="9"/>
    <n v="2025"/>
    <d v="2025-09-15T00:00:00"/>
  </r>
  <r>
    <x v="3"/>
    <s v="Jakarta"/>
    <s v="P05"/>
    <n v="2"/>
    <n v="30000"/>
    <n v="60000"/>
    <s v="Mocha"/>
    <s v="Chocolate"/>
    <n v="11"/>
    <n v="9"/>
    <n v="2025"/>
    <d v="2025-09-11T00:00:00"/>
  </r>
  <r>
    <x v="6"/>
    <s v="Jakarta"/>
    <s v="P01"/>
    <n v="3"/>
    <n v="25000"/>
    <n v="75000"/>
    <s v="Cappuccino"/>
    <s v="Coffee"/>
    <n v="14"/>
    <n v="9"/>
    <n v="2025"/>
    <d v="2025-09-14T00:00:00"/>
  </r>
  <r>
    <x v="9"/>
    <s v="Jakarta"/>
    <s v="P02"/>
    <n v="5"/>
    <n v="35000"/>
    <n v="175000"/>
    <s v="Latte"/>
    <s v="Coffee"/>
    <n v="7"/>
    <n v="9"/>
    <n v="2025"/>
    <d v="2025-09-07T00:00:00"/>
  </r>
  <r>
    <x v="8"/>
    <s v="Jakarta"/>
    <s v="P03"/>
    <n v="2"/>
    <n v="25000"/>
    <n v="50000"/>
    <s v="Espresso"/>
    <s v="Coffee"/>
    <n v="1"/>
    <n v="9"/>
    <n v="2025"/>
    <d v="2025-09-01T00:00:00"/>
  </r>
  <r>
    <x v="6"/>
    <s v="Jakarta"/>
    <s v="P04"/>
    <n v="4"/>
    <n v="30000"/>
    <n v="120000"/>
    <s v="Americano"/>
    <s v="Coffee"/>
    <n v="14"/>
    <n v="9"/>
    <n v="2025"/>
    <d v="2025-09-14T00:00:00"/>
  </r>
  <r>
    <x v="16"/>
    <s v="Jakarta"/>
    <s v="P05"/>
    <n v="1"/>
    <n v="30000"/>
    <n v="30000"/>
    <s v="Mocha"/>
    <s v="Chocolate"/>
    <n v="24"/>
    <n v="9"/>
    <n v="2025"/>
    <d v="2025-09-24T00:00:00"/>
  </r>
  <r>
    <x v="2"/>
    <s v="Jakarta"/>
    <s v="P01"/>
    <n v="1"/>
    <n v="20000"/>
    <n v="20000"/>
    <s v="Cappuccino"/>
    <s v="Coffee"/>
    <n v="19"/>
    <n v="9"/>
    <n v="2025"/>
    <d v="2025-09-19T00:00:00"/>
  </r>
  <r>
    <x v="10"/>
    <s v="Jakarta"/>
    <s v="P02"/>
    <n v="1"/>
    <n v="20000"/>
    <n v="20000"/>
    <s v="Latte"/>
    <s v="Coffee"/>
    <n v="22"/>
    <n v="9"/>
    <n v="2025"/>
    <d v="2025-09-22T00:00:00"/>
  </r>
  <r>
    <x v="9"/>
    <s v="Jakarta"/>
    <s v="P03"/>
    <n v="5"/>
    <n v="35000"/>
    <n v="175000"/>
    <s v="Espresso"/>
    <s v="Coffee"/>
    <n v="7"/>
    <n v="9"/>
    <n v="2025"/>
    <d v="2025-09-07T00:00:00"/>
  </r>
  <r>
    <x v="6"/>
    <s v="Jakarta"/>
    <s v="P04"/>
    <n v="1"/>
    <n v="25000"/>
    <n v="25000"/>
    <s v="Americano"/>
    <s v="Coffee"/>
    <n v="14"/>
    <n v="9"/>
    <n v="2025"/>
    <d v="2025-09-14T00:00:00"/>
  </r>
  <r>
    <x v="28"/>
    <s v="Jakarta"/>
    <s v="P05"/>
    <n v="2"/>
    <n v="30000"/>
    <n v="60000"/>
    <s v="Mocha"/>
    <s v="Chocolate"/>
    <n v="21"/>
    <n v="9"/>
    <n v="2025"/>
    <d v="2025-09-21T00:00:00"/>
  </r>
  <r>
    <x v="21"/>
    <s v="Jakarta"/>
    <s v="P01"/>
    <n v="1"/>
    <n v="35000"/>
    <n v="35000"/>
    <s v="Cappuccino"/>
    <s v="Coffee"/>
    <n v="4"/>
    <n v="9"/>
    <n v="2025"/>
    <d v="2025-09-04T00:00:00"/>
  </r>
  <r>
    <x v="22"/>
    <s v="Jakarta"/>
    <s v="P02"/>
    <n v="2"/>
    <n v="28000"/>
    <n v="56000"/>
    <s v="Latte"/>
    <s v="Coffee"/>
    <n v="23"/>
    <n v="9"/>
    <n v="2025"/>
    <d v="2025-09-23T00:00:00"/>
  </r>
  <r>
    <x v="24"/>
    <s v="Jakarta"/>
    <s v="P03"/>
    <n v="3"/>
    <n v="20000"/>
    <n v="60000"/>
    <s v="Espresso"/>
    <s v="Coffee"/>
    <n v="25"/>
    <n v="9"/>
    <n v="2025"/>
    <d v="2025-09-25T00:00:00"/>
  </r>
  <r>
    <x v="13"/>
    <s v="Jakarta"/>
    <s v="P04"/>
    <n v="1"/>
    <n v="30000"/>
    <n v="30000"/>
    <s v="Americano"/>
    <s v="Coffee"/>
    <n v="29"/>
    <n v="9"/>
    <n v="2025"/>
    <d v="2025-09-29T00:00:00"/>
  </r>
  <r>
    <x v="20"/>
    <s v="Jakarta"/>
    <s v="P05"/>
    <n v="1"/>
    <n v="25000"/>
    <n v="25000"/>
    <s v="Mocha"/>
    <s v="Chocolate"/>
    <n v="12"/>
    <n v="9"/>
    <n v="2025"/>
    <d v="2025-09-12T00:00:00"/>
  </r>
  <r>
    <x v="6"/>
    <s v="Jakarta"/>
    <s v="P01"/>
    <n v="3"/>
    <n v="30000"/>
    <n v="90000"/>
    <s v="Cappuccino"/>
    <s v="Coffee"/>
    <n v="14"/>
    <n v="9"/>
    <n v="2025"/>
    <d v="2025-09-14T00:00:00"/>
  </r>
  <r>
    <x v="15"/>
    <s v="Jakarta"/>
    <s v="P02"/>
    <n v="2"/>
    <n v="25000"/>
    <n v="50000"/>
    <s v="Latte"/>
    <s v="Coffee"/>
    <n v="30"/>
    <n v="9"/>
    <n v="2025"/>
    <d v="2025-09-30T00:00:00"/>
  </r>
  <r>
    <x v="28"/>
    <s v="Jakarta"/>
    <s v="P03"/>
    <n v="1"/>
    <n v="25000"/>
    <n v="25000"/>
    <s v="Espresso"/>
    <s v="Coffee"/>
    <n v="21"/>
    <n v="9"/>
    <n v="2025"/>
    <d v="2025-09-21T00:00:00"/>
  </r>
  <r>
    <x v="9"/>
    <s v="Jakarta"/>
    <s v="P04"/>
    <n v="2"/>
    <n v="30000"/>
    <n v="60000"/>
    <s v="Americano"/>
    <s v="Coffee"/>
    <n v="7"/>
    <n v="9"/>
    <n v="2025"/>
    <d v="2025-09-07T00:00:00"/>
  </r>
  <r>
    <x v="9"/>
    <s v="Jakarta"/>
    <s v="P05"/>
    <n v="5"/>
    <n v="28000"/>
    <n v="140000"/>
    <s v="Mocha"/>
    <s v="Chocolate"/>
    <n v="7"/>
    <n v="9"/>
    <n v="2025"/>
    <d v="2025-09-07T00:00:00"/>
  </r>
  <r>
    <x v="27"/>
    <s v="Jakarta"/>
    <s v="P03"/>
    <n v="4"/>
    <n v="25000"/>
    <n v="100000"/>
    <s v="Espresso"/>
    <s v="Coffee"/>
    <n v="9"/>
    <n v="9"/>
    <n v="2025"/>
    <d v="2025-09-09T00:00:00"/>
  </r>
  <r>
    <x v="11"/>
    <s v="Jakarta"/>
    <s v="P04"/>
    <n v="1"/>
    <n v="30000"/>
    <n v="30000"/>
    <s v="Americano"/>
    <s v="Coffee"/>
    <n v="17"/>
    <n v="9"/>
    <n v="2025"/>
    <d v="2025-09-17T00:00:00"/>
  </r>
  <r>
    <x v="28"/>
    <s v="Jakarta"/>
    <s v="P05"/>
    <n v="5"/>
    <n v="20000"/>
    <n v="100000"/>
    <s v="Mocha"/>
    <s v="Chocolate"/>
    <n v="21"/>
    <n v="9"/>
    <n v="2025"/>
    <d v="2025-09-21T00:00:00"/>
  </r>
  <r>
    <x v="24"/>
    <s v="Jakarta"/>
    <s v="P01"/>
    <n v="1"/>
    <n v="30000"/>
    <n v="30000"/>
    <s v="Cappuccino"/>
    <s v="Coffee"/>
    <n v="25"/>
    <n v="9"/>
    <n v="2025"/>
    <d v="2025-09-25T00:00:00"/>
  </r>
  <r>
    <x v="17"/>
    <s v="Jakarta"/>
    <s v="P02"/>
    <n v="1"/>
    <n v="25000"/>
    <n v="25000"/>
    <s v="Latte"/>
    <s v="Coffee"/>
    <n v="3"/>
    <n v="9"/>
    <n v="2025"/>
    <d v="2025-09-03T00:00:00"/>
  </r>
  <r>
    <x v="21"/>
    <s v="Jakarta"/>
    <s v="P03"/>
    <n v="5"/>
    <n v="20000"/>
    <n v="100000"/>
    <s v="Espresso"/>
    <s v="Coffee"/>
    <n v="4"/>
    <n v="9"/>
    <n v="2025"/>
    <d v="2025-09-04T00:00:00"/>
  </r>
  <r>
    <x v="20"/>
    <s v="Jakarta"/>
    <s v="P04"/>
    <n v="1"/>
    <n v="25000"/>
    <n v="25000"/>
    <s v="Americano"/>
    <s v="Coffee"/>
    <n v="12"/>
    <n v="9"/>
    <n v="2025"/>
    <d v="2025-09-12T00:00:00"/>
  </r>
  <r>
    <x v="26"/>
    <s v="Jakarta"/>
    <s v="P05"/>
    <n v="5"/>
    <n v="20000"/>
    <n v="100000"/>
    <s v="Mocha"/>
    <s v="Chocolate"/>
    <n v="16"/>
    <n v="9"/>
    <n v="2025"/>
    <d v="2025-09-16T00:00:00"/>
  </r>
  <r>
    <x v="22"/>
    <s v="Jakarta"/>
    <s v="P01"/>
    <n v="3"/>
    <n v="25000"/>
    <n v="75000"/>
    <s v="Cappuccino"/>
    <s v="Coffee"/>
    <n v="23"/>
    <n v="9"/>
    <n v="2025"/>
    <d v="2025-09-23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r>
    <x v="30"/>
    <m/>
    <m/>
    <m/>
    <m/>
    <m/>
    <n v="0"/>
    <n v="0"/>
    <m/>
    <m/>
    <m/>
    <d v="1899-12-30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Dashboard 4" cacheId="4" applyNumberFormats="0" applyBorderFormats="0" applyFontFormats="0" applyPatternFormats="0" applyAlignmentFormats="0" applyWidthHeightFormats="0" dataCaption="" updatedVersion="8" rowGrandTotals="0" compact="0" compactData="0">
  <location ref="A9:B40" firstHeaderRow="1" firstDataRow="1" firstDataCol="1"/>
  <pivotFields count="12">
    <pivotField name="Tanggal" axis="axisRow" compact="0" numFmtId="164" outline="0" multipleItemSelectionAllowed="1" showAll="0" sortType="ascending">
      <items count="32">
        <item x="8"/>
        <item x="4"/>
        <item x="17"/>
        <item x="21"/>
        <item x="19"/>
        <item x="18"/>
        <item x="9"/>
        <item x="12"/>
        <item x="27"/>
        <item x="14"/>
        <item x="3"/>
        <item x="20"/>
        <item x="5"/>
        <item x="6"/>
        <item x="23"/>
        <item x="26"/>
        <item x="11"/>
        <item x="29"/>
        <item x="2"/>
        <item x="0"/>
        <item x="28"/>
        <item x="10"/>
        <item x="22"/>
        <item x="16"/>
        <item x="24"/>
        <item x="1"/>
        <item x="7"/>
        <item x="25"/>
        <item x="13"/>
        <item x="15"/>
        <item x="30"/>
        <item t="default"/>
      </items>
    </pivotField>
    <pivotField name="Cabang" compact="0" outline="0" multipleItemSelectionAllowed="1" showAll="0"/>
    <pivotField name="ProdukID" compact="0" outline="0" multipleItemSelectionAllowed="1" showAll="0"/>
    <pivotField name="Qty" compact="0" outline="0" multipleItemSelectionAllowed="1" showAll="0"/>
    <pivotField name="Harga" compact="0" numFmtId="3" outline="0" multipleItemSelectionAllowed="1" showAll="0"/>
    <pivotField name="Total" dataField="1" compact="0" numFmtId="3" outline="0" multipleItemSelectionAllowed="1" showAll="0"/>
    <pivotField name="Product" compact="0" outline="0" multipleItemSelectionAllowed="1" showAll="0"/>
    <pivotField name="Kategori" compact="0" outline="0" multipleItemSelectionAllowed="1" showAll="0"/>
    <pivotField name="Day" compact="0" outline="0" multipleItemSelectionAllowed="1" showAll="0"/>
    <pivotField name="Month" compact="0" outline="0" multipleItemSelectionAllowed="1" showAll="0"/>
    <pivotField name="Year" compact="0" outline="0" multipleItemSelectionAllowed="1" showAll="0"/>
    <pivotField name="New Date" compact="0" numFmtId="165" outline="0" multipleItemSelectionAllowe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 fld="5"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Dashboard 5" cacheId="4" applyNumberFormats="0" applyBorderFormats="0" applyFontFormats="0" applyPatternFormats="0" applyAlignmentFormats="0" applyWidthHeightFormats="0" dataCaption="" updatedVersion="8" compact="0" compactData="0">
  <location ref="D14:E16" firstHeaderRow="1" firstDataRow="2" firstDataCol="0" rowPageCount="1" colPageCount="1"/>
  <pivotFields count="12">
    <pivotField name="Tanggal" axis="axisPage" compact="0" numFmtId="164" outline="0" multipleItemSelectionAllowed="1"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Cabang" compact="0" outline="0" multipleItemSelectionAllowed="1" showAll="0"/>
    <pivotField name="ProdukID" compact="0" outline="0" multipleItemSelectionAllowed="1" showAll="0"/>
    <pivotField name="Qty" dataField="1" compact="0" outline="0" multipleItemSelectionAllowed="1" showAll="0"/>
    <pivotField name="Harga" compact="0" numFmtId="3" outline="0" multipleItemSelectionAllowed="1" showAll="0"/>
    <pivotField name="Total" dataField="1" compact="0" numFmtId="3" outline="0" multipleItemSelectionAllowed="1" showAll="0"/>
    <pivotField name="Product" compact="0" outline="0" multipleItemSelectionAllowed="1" showAll="0"/>
    <pivotField name="Kategori" compact="0" outline="0" multipleItemSelectionAllowed="1" showAll="0"/>
    <pivotField name="Day" compact="0" outline="0" multipleItemSelectionAllowed="1" showAll="0"/>
    <pivotField name="Month" compact="0" outline="0" multipleItemSelectionAllowed="1" showAll="0"/>
    <pivotField name="Year" compact="0" outline="0" multipleItemSelectionAllowed="1" showAll="0"/>
    <pivotField name="New Date" compact="0" numFmtId="165" outline="0" multipleItemSelectionAllowed="1" showAll="0"/>
  </pivotFields>
  <rowItems count="1">
    <i/>
  </rowItems>
  <colFields count="1">
    <field x="-2"/>
  </colFields>
  <colItems count="2">
    <i>
      <x/>
    </i>
    <i i="1">
      <x v="1"/>
    </i>
  </colItems>
  <pageFields count="1">
    <pageField fld="0" hier="0"/>
  </pageFields>
  <dataFields count="2">
    <dataField name="SUM of Qty" fld="3" baseField="0"/>
    <dataField name="SUM of Total" fld="5"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L721">
  <tableColumns count="12">
    <tableColumn id="1" xr3:uid="{00000000-0010-0000-0100-000001000000}" name="Tanggal"/>
    <tableColumn id="2" xr3:uid="{00000000-0010-0000-0100-000002000000}" name="Cabang"/>
    <tableColumn id="3" xr3:uid="{00000000-0010-0000-0100-000003000000}" name="ProdukID"/>
    <tableColumn id="4" xr3:uid="{00000000-0010-0000-0100-000004000000}" name="Qty"/>
    <tableColumn id="5" xr3:uid="{00000000-0010-0000-0100-000005000000}" name="Harga"/>
    <tableColumn id="6" xr3:uid="{00000000-0010-0000-0100-000006000000}" name="Total"/>
    <tableColumn id="7" xr3:uid="{00000000-0010-0000-0100-000007000000}" name="Product"/>
    <tableColumn id="8" xr3:uid="{00000000-0010-0000-0100-000008000000}" name="Kategori"/>
    <tableColumn id="9" xr3:uid="{00000000-0010-0000-0100-000009000000}" name="Day"/>
    <tableColumn id="10" xr3:uid="{00000000-0010-0000-0100-00000A000000}" name="Month"/>
    <tableColumn id="11" xr3:uid="{00000000-0010-0000-0100-00000B000000}" name="Year"/>
    <tableColumn id="12" xr3:uid="{00000000-0010-0000-0100-00000C000000}" name="New Date"/>
  </tableColumns>
  <tableStyleInfo name="Detail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21"/>
  <sheetViews>
    <sheetView workbookViewId="0">
      <selection activeCell="I14" sqref="A1:XFD1048576"/>
    </sheetView>
  </sheetViews>
  <sheetFormatPr defaultColWidth="12.5703125" defaultRowHeight="12.75"/>
  <cols>
    <col min="1" max="1" width="10.42578125" bestFit="1" customWidth="1"/>
    <col min="2" max="3" width="9.140625" bestFit="1" customWidth="1"/>
    <col min="4" max="4" width="4.140625" bestFit="1" customWidth="1"/>
    <col min="5" max="5" width="6" bestFit="1" customWidth="1"/>
    <col min="6" max="6" width="7" bestFit="1" customWidth="1"/>
  </cols>
  <sheetData>
    <row r="1" spans="1:11" ht="15">
      <c r="A1" s="1" t="s">
        <v>0</v>
      </c>
      <c r="B1" s="1" t="s">
        <v>1</v>
      </c>
      <c r="C1" s="1" t="s">
        <v>2</v>
      </c>
      <c r="D1" s="1" t="s">
        <v>3</v>
      </c>
      <c r="E1" s="1" t="s">
        <v>4</v>
      </c>
      <c r="F1" s="1" t="s">
        <v>5</v>
      </c>
    </row>
    <row r="2" spans="1:11" ht="15">
      <c r="A2" s="3" t="s">
        <v>10</v>
      </c>
      <c r="B2" s="3" t="s">
        <v>14</v>
      </c>
      <c r="C2" s="3" t="s">
        <v>16</v>
      </c>
      <c r="D2" s="4">
        <v>5</v>
      </c>
      <c r="E2" s="4">
        <v>35000</v>
      </c>
      <c r="F2" s="4">
        <v>175000</v>
      </c>
      <c r="K2" s="5"/>
    </row>
    <row r="3" spans="1:11" ht="15">
      <c r="A3" s="3" t="s">
        <v>20</v>
      </c>
      <c r="B3" s="3" t="s">
        <v>14</v>
      </c>
      <c r="C3" s="3" t="s">
        <v>12</v>
      </c>
      <c r="D3" s="4">
        <v>1</v>
      </c>
      <c r="E3" s="4">
        <v>20000</v>
      </c>
      <c r="F3" s="4">
        <v>20000</v>
      </c>
      <c r="K3" s="5"/>
    </row>
    <row r="4" spans="1:11" ht="15">
      <c r="A4" s="3" t="s">
        <v>21</v>
      </c>
      <c r="B4" s="3" t="s">
        <v>14</v>
      </c>
      <c r="C4" s="3" t="s">
        <v>8</v>
      </c>
      <c r="D4" s="4">
        <v>3</v>
      </c>
      <c r="E4" s="4">
        <v>35000</v>
      </c>
      <c r="F4" s="4">
        <v>105000</v>
      </c>
      <c r="K4" s="5"/>
    </row>
    <row r="5" spans="1:11" ht="15">
      <c r="A5" s="2">
        <v>45970</v>
      </c>
      <c r="B5" s="3" t="s">
        <v>14</v>
      </c>
      <c r="C5" s="3" t="s">
        <v>15</v>
      </c>
      <c r="D5" s="4">
        <v>1</v>
      </c>
      <c r="E5" s="4">
        <v>28000</v>
      </c>
      <c r="F5" s="4">
        <v>28000</v>
      </c>
      <c r="K5" s="5"/>
    </row>
    <row r="6" spans="1:11" ht="15">
      <c r="A6" s="2">
        <v>45697</v>
      </c>
      <c r="B6" s="3" t="s">
        <v>14</v>
      </c>
      <c r="C6" s="3" t="s">
        <v>13</v>
      </c>
      <c r="D6" s="4">
        <v>1</v>
      </c>
      <c r="E6" s="4">
        <v>30000</v>
      </c>
      <c r="F6" s="4">
        <v>30000</v>
      </c>
      <c r="K6" s="5"/>
    </row>
    <row r="7" spans="1:11" ht="15">
      <c r="A7" s="3" t="s">
        <v>24</v>
      </c>
      <c r="B7" s="3" t="s">
        <v>14</v>
      </c>
      <c r="C7" s="3" t="s">
        <v>16</v>
      </c>
      <c r="D7" s="4">
        <v>1</v>
      </c>
      <c r="E7" s="4">
        <v>35000</v>
      </c>
      <c r="F7" s="4">
        <v>35000</v>
      </c>
      <c r="K7" s="5"/>
    </row>
    <row r="8" spans="1:11" ht="15">
      <c r="A8" s="3" t="s">
        <v>17</v>
      </c>
      <c r="B8" s="3" t="s">
        <v>14</v>
      </c>
      <c r="C8" s="3" t="s">
        <v>12</v>
      </c>
      <c r="D8" s="4">
        <v>4</v>
      </c>
      <c r="E8" s="4">
        <v>35000</v>
      </c>
      <c r="F8" s="4">
        <v>140000</v>
      </c>
      <c r="K8" s="5"/>
    </row>
    <row r="9" spans="1:11" ht="15">
      <c r="A9" s="3" t="s">
        <v>19</v>
      </c>
      <c r="B9" s="3" t="s">
        <v>14</v>
      </c>
      <c r="C9" s="3" t="s">
        <v>13</v>
      </c>
      <c r="D9" s="4">
        <v>5</v>
      </c>
      <c r="E9" s="4">
        <v>25000</v>
      </c>
      <c r="F9" s="4">
        <v>125000</v>
      </c>
      <c r="K9" s="5"/>
    </row>
    <row r="10" spans="1:11" ht="15">
      <c r="A10" s="2">
        <v>45666</v>
      </c>
      <c r="B10" s="3" t="s">
        <v>14</v>
      </c>
      <c r="C10" s="3" t="s">
        <v>16</v>
      </c>
      <c r="D10" s="4">
        <v>1</v>
      </c>
      <c r="E10" s="4">
        <v>30000</v>
      </c>
      <c r="F10" s="4">
        <v>30000</v>
      </c>
      <c r="K10" s="5"/>
    </row>
    <row r="11" spans="1:11" ht="15">
      <c r="A11" s="2">
        <v>45847</v>
      </c>
      <c r="B11" s="3" t="s">
        <v>14</v>
      </c>
      <c r="C11" s="3" t="s">
        <v>12</v>
      </c>
      <c r="D11" s="4">
        <v>4</v>
      </c>
      <c r="E11" s="4">
        <v>20000</v>
      </c>
      <c r="F11" s="4">
        <v>80000</v>
      </c>
      <c r="K11" s="5"/>
    </row>
    <row r="12" spans="1:11" ht="15">
      <c r="A12" s="3" t="s">
        <v>29</v>
      </c>
      <c r="B12" s="3" t="s">
        <v>14</v>
      </c>
      <c r="C12" s="3" t="s">
        <v>8</v>
      </c>
      <c r="D12" s="4">
        <v>1</v>
      </c>
      <c r="E12" s="4">
        <v>25000</v>
      </c>
      <c r="F12" s="4">
        <v>25000</v>
      </c>
      <c r="K12" s="5"/>
    </row>
    <row r="13" spans="1:11" ht="15">
      <c r="A13" s="3" t="s">
        <v>17</v>
      </c>
      <c r="B13" s="3" t="s">
        <v>14</v>
      </c>
      <c r="C13" s="3" t="s">
        <v>15</v>
      </c>
      <c r="D13" s="4">
        <v>3</v>
      </c>
      <c r="E13" s="4">
        <v>30000</v>
      </c>
      <c r="F13" s="4">
        <v>90000</v>
      </c>
      <c r="K13" s="5"/>
    </row>
    <row r="14" spans="1:11" ht="15">
      <c r="A14" s="3" t="s">
        <v>6</v>
      </c>
      <c r="B14" s="3" t="s">
        <v>14</v>
      </c>
      <c r="C14" s="3" t="s">
        <v>13</v>
      </c>
      <c r="D14" s="4">
        <v>5</v>
      </c>
      <c r="E14" s="4">
        <v>35000</v>
      </c>
      <c r="F14" s="4">
        <v>175000</v>
      </c>
      <c r="K14" s="5"/>
    </row>
    <row r="15" spans="1:11" ht="15">
      <c r="A15" s="3" t="s">
        <v>17</v>
      </c>
      <c r="B15" s="3" t="s">
        <v>14</v>
      </c>
      <c r="C15" s="3" t="s">
        <v>16</v>
      </c>
      <c r="D15" s="4">
        <v>3</v>
      </c>
      <c r="E15" s="4">
        <v>30000</v>
      </c>
      <c r="F15" s="4">
        <v>90000</v>
      </c>
      <c r="K15" s="5"/>
    </row>
    <row r="16" spans="1:11" ht="15">
      <c r="A16" s="2">
        <v>45970</v>
      </c>
      <c r="B16" s="3" t="s">
        <v>14</v>
      </c>
      <c r="C16" s="3" t="s">
        <v>12</v>
      </c>
      <c r="D16" s="4">
        <v>3</v>
      </c>
      <c r="E16" s="4">
        <v>25000</v>
      </c>
      <c r="F16" s="4">
        <v>75000</v>
      </c>
      <c r="K16" s="5"/>
    </row>
    <row r="17" spans="1:11" ht="15">
      <c r="A17" s="3" t="s">
        <v>29</v>
      </c>
      <c r="B17" s="3" t="s">
        <v>14</v>
      </c>
      <c r="C17" s="3" t="s">
        <v>8</v>
      </c>
      <c r="D17" s="4">
        <v>1</v>
      </c>
      <c r="E17" s="4">
        <v>35000</v>
      </c>
      <c r="F17" s="4">
        <v>35000</v>
      </c>
      <c r="K17" s="5"/>
    </row>
    <row r="18" spans="1:11" ht="15">
      <c r="A18" s="2">
        <v>45878</v>
      </c>
      <c r="B18" s="3" t="s">
        <v>14</v>
      </c>
      <c r="C18" s="3" t="s">
        <v>15</v>
      </c>
      <c r="D18" s="4">
        <v>1</v>
      </c>
      <c r="E18" s="4">
        <v>25000</v>
      </c>
      <c r="F18" s="4">
        <v>25000</v>
      </c>
      <c r="K18" s="5"/>
    </row>
    <row r="19" spans="1:11" ht="15">
      <c r="A19" s="2">
        <v>45878</v>
      </c>
      <c r="B19" s="3" t="s">
        <v>14</v>
      </c>
      <c r="C19" s="3" t="s">
        <v>13</v>
      </c>
      <c r="D19" s="4">
        <v>3</v>
      </c>
      <c r="E19" s="4">
        <v>35000</v>
      </c>
      <c r="F19" s="4">
        <v>105000</v>
      </c>
      <c r="K19" s="5"/>
    </row>
    <row r="20" spans="1:11" ht="15">
      <c r="A20" s="3" t="s">
        <v>18</v>
      </c>
      <c r="B20" s="3" t="s">
        <v>14</v>
      </c>
      <c r="C20" s="3" t="s">
        <v>16</v>
      </c>
      <c r="D20" s="4">
        <v>5</v>
      </c>
      <c r="E20" s="4">
        <v>20000</v>
      </c>
      <c r="F20" s="4">
        <v>100000</v>
      </c>
      <c r="K20" s="5"/>
    </row>
    <row r="21" spans="1:11" ht="15">
      <c r="A21" s="3" t="s">
        <v>21</v>
      </c>
      <c r="B21" s="3" t="s">
        <v>14</v>
      </c>
      <c r="C21" s="3" t="s">
        <v>12</v>
      </c>
      <c r="D21" s="4">
        <v>4</v>
      </c>
      <c r="E21" s="4">
        <v>20000</v>
      </c>
      <c r="F21" s="4">
        <v>80000</v>
      </c>
      <c r="K21" s="5"/>
    </row>
    <row r="22" spans="1:11" ht="15">
      <c r="A22" s="2">
        <v>45939</v>
      </c>
      <c r="B22" s="3" t="s">
        <v>14</v>
      </c>
      <c r="C22" s="3" t="s">
        <v>8</v>
      </c>
      <c r="D22" s="4">
        <v>2</v>
      </c>
      <c r="E22" s="4">
        <v>30000</v>
      </c>
      <c r="F22" s="4">
        <v>60000</v>
      </c>
      <c r="K22" s="5"/>
    </row>
    <row r="23" spans="1:11" ht="15">
      <c r="A23" s="3" t="s">
        <v>28</v>
      </c>
      <c r="B23" s="3" t="s">
        <v>14</v>
      </c>
      <c r="C23" s="3" t="s">
        <v>15</v>
      </c>
      <c r="D23" s="4">
        <v>5</v>
      </c>
      <c r="E23" s="4">
        <v>30000</v>
      </c>
      <c r="F23" s="4">
        <v>150000</v>
      </c>
      <c r="K23" s="5"/>
    </row>
    <row r="24" spans="1:11" ht="15">
      <c r="A24" s="2">
        <v>45878</v>
      </c>
      <c r="B24" s="3" t="s">
        <v>14</v>
      </c>
      <c r="C24" s="3" t="s">
        <v>13</v>
      </c>
      <c r="D24" s="4">
        <v>1</v>
      </c>
      <c r="E24" s="4">
        <v>25000</v>
      </c>
      <c r="F24" s="4">
        <v>25000</v>
      </c>
      <c r="K24" s="5"/>
    </row>
    <row r="25" spans="1:11" ht="15">
      <c r="A25" s="3" t="s">
        <v>18</v>
      </c>
      <c r="B25" s="3" t="s">
        <v>14</v>
      </c>
      <c r="C25" s="3" t="s">
        <v>16</v>
      </c>
      <c r="D25" s="4">
        <v>5</v>
      </c>
      <c r="E25" s="4">
        <v>30000</v>
      </c>
      <c r="F25" s="4">
        <v>150000</v>
      </c>
      <c r="K25" s="5"/>
    </row>
    <row r="26" spans="1:11" ht="15">
      <c r="A26" s="3" t="s">
        <v>29</v>
      </c>
      <c r="B26" s="3" t="s">
        <v>14</v>
      </c>
      <c r="C26" s="3" t="s">
        <v>12</v>
      </c>
      <c r="D26" s="4">
        <v>4</v>
      </c>
      <c r="E26" s="4">
        <v>28000</v>
      </c>
      <c r="F26" s="4">
        <v>112000</v>
      </c>
      <c r="K26" s="5"/>
    </row>
    <row r="27" spans="1:11" ht="15">
      <c r="A27" s="3" t="s">
        <v>23</v>
      </c>
      <c r="B27" s="3" t="s">
        <v>14</v>
      </c>
      <c r="C27" s="3" t="s">
        <v>8</v>
      </c>
      <c r="D27" s="4">
        <v>2</v>
      </c>
      <c r="E27" s="4">
        <v>25000</v>
      </c>
      <c r="F27" s="4">
        <v>50000</v>
      </c>
      <c r="K27" s="5"/>
    </row>
    <row r="28" spans="1:11" ht="15">
      <c r="A28" s="3" t="s">
        <v>29</v>
      </c>
      <c r="B28" s="3" t="s">
        <v>14</v>
      </c>
      <c r="C28" s="3" t="s">
        <v>15</v>
      </c>
      <c r="D28" s="4">
        <v>1</v>
      </c>
      <c r="E28" s="4">
        <v>30000</v>
      </c>
      <c r="F28" s="4">
        <v>30000</v>
      </c>
      <c r="K28" s="5"/>
    </row>
    <row r="29" spans="1:11" ht="15">
      <c r="A29" s="2">
        <v>45725</v>
      </c>
      <c r="B29" s="3" t="s">
        <v>14</v>
      </c>
      <c r="C29" s="3" t="s">
        <v>13</v>
      </c>
      <c r="D29" s="4">
        <v>1</v>
      </c>
      <c r="E29" s="4">
        <v>25000</v>
      </c>
      <c r="F29" s="4">
        <v>25000</v>
      </c>
      <c r="K29" s="5"/>
    </row>
    <row r="30" spans="1:11" ht="15">
      <c r="A30" s="2">
        <v>45847</v>
      </c>
      <c r="B30" s="3" t="s">
        <v>14</v>
      </c>
      <c r="C30" s="3" t="s">
        <v>16</v>
      </c>
      <c r="D30" s="4">
        <v>3</v>
      </c>
      <c r="E30" s="4">
        <v>30000</v>
      </c>
      <c r="F30" s="4">
        <v>90000</v>
      </c>
      <c r="K30" s="5"/>
    </row>
    <row r="31" spans="1:11" ht="15">
      <c r="A31" s="2">
        <v>45817</v>
      </c>
      <c r="B31" s="3" t="s">
        <v>14</v>
      </c>
      <c r="C31" s="3" t="s">
        <v>12</v>
      </c>
      <c r="D31" s="4">
        <v>1</v>
      </c>
      <c r="E31" s="4">
        <v>35000</v>
      </c>
      <c r="F31" s="4">
        <v>35000</v>
      </c>
      <c r="K31" s="5"/>
    </row>
    <row r="32" spans="1:11" ht="15">
      <c r="A32" s="2">
        <v>45786</v>
      </c>
      <c r="B32" s="3" t="s">
        <v>14</v>
      </c>
      <c r="C32" s="3" t="s">
        <v>8</v>
      </c>
      <c r="D32" s="4">
        <v>1</v>
      </c>
      <c r="E32" s="4">
        <v>25000</v>
      </c>
      <c r="F32" s="4">
        <v>25000</v>
      </c>
      <c r="K32" s="5"/>
    </row>
    <row r="33" spans="1:11" ht="15">
      <c r="A33" s="2">
        <v>46000</v>
      </c>
      <c r="B33" s="3" t="s">
        <v>14</v>
      </c>
      <c r="C33" s="3" t="s">
        <v>15</v>
      </c>
      <c r="D33" s="4">
        <v>1</v>
      </c>
      <c r="E33" s="4">
        <v>25000</v>
      </c>
      <c r="F33" s="4">
        <v>25000</v>
      </c>
      <c r="K33" s="5"/>
    </row>
    <row r="34" spans="1:11" ht="15">
      <c r="A34" s="2">
        <v>45756</v>
      </c>
      <c r="B34" s="3" t="s">
        <v>14</v>
      </c>
      <c r="C34" s="3" t="s">
        <v>13</v>
      </c>
      <c r="D34" s="4">
        <v>2</v>
      </c>
      <c r="E34" s="4">
        <v>28000</v>
      </c>
      <c r="F34" s="4">
        <v>56000</v>
      </c>
      <c r="K34" s="5"/>
    </row>
    <row r="35" spans="1:11" ht="15">
      <c r="A35" s="3" t="s">
        <v>31</v>
      </c>
      <c r="B35" s="3" t="s">
        <v>14</v>
      </c>
      <c r="C35" s="3" t="s">
        <v>16</v>
      </c>
      <c r="D35" s="4">
        <v>3</v>
      </c>
      <c r="E35" s="4">
        <v>30000</v>
      </c>
      <c r="F35" s="4">
        <v>90000</v>
      </c>
      <c r="K35" s="5"/>
    </row>
    <row r="36" spans="1:11" ht="15">
      <c r="A36" s="3" t="s">
        <v>10</v>
      </c>
      <c r="B36" s="3" t="s">
        <v>14</v>
      </c>
      <c r="C36" s="3" t="s">
        <v>12</v>
      </c>
      <c r="D36" s="4">
        <v>3</v>
      </c>
      <c r="E36" s="4">
        <v>28000</v>
      </c>
      <c r="F36" s="4">
        <v>84000</v>
      </c>
      <c r="K36" s="5"/>
    </row>
    <row r="37" spans="1:11" ht="15">
      <c r="A37" s="3" t="s">
        <v>27</v>
      </c>
      <c r="B37" s="3" t="s">
        <v>14</v>
      </c>
      <c r="C37" s="3" t="s">
        <v>8</v>
      </c>
      <c r="D37" s="4">
        <v>2</v>
      </c>
      <c r="E37" s="4">
        <v>35000</v>
      </c>
      <c r="F37" s="4">
        <v>70000</v>
      </c>
      <c r="K37" s="5"/>
    </row>
    <row r="38" spans="1:11" ht="15">
      <c r="A38" s="2">
        <v>45697</v>
      </c>
      <c r="B38" s="3" t="s">
        <v>14</v>
      </c>
      <c r="C38" s="3" t="s">
        <v>15</v>
      </c>
      <c r="D38" s="4">
        <v>1</v>
      </c>
      <c r="E38" s="4">
        <v>20000</v>
      </c>
      <c r="F38" s="4">
        <v>20000</v>
      </c>
      <c r="K38" s="5"/>
    </row>
    <row r="39" spans="1:11" ht="15">
      <c r="A39" s="2">
        <v>46000</v>
      </c>
      <c r="B39" s="3" t="s">
        <v>14</v>
      </c>
      <c r="C39" s="3" t="s">
        <v>13</v>
      </c>
      <c r="D39" s="4">
        <v>2</v>
      </c>
      <c r="E39" s="4">
        <v>28000</v>
      </c>
      <c r="F39" s="4">
        <v>56000</v>
      </c>
      <c r="K39" s="5"/>
    </row>
    <row r="40" spans="1:11" ht="15">
      <c r="A40" s="2">
        <v>45878</v>
      </c>
      <c r="B40" s="3" t="s">
        <v>14</v>
      </c>
      <c r="C40" s="3" t="s">
        <v>16</v>
      </c>
      <c r="D40" s="4">
        <v>1</v>
      </c>
      <c r="E40" s="4">
        <v>20000</v>
      </c>
      <c r="F40" s="4">
        <v>20000</v>
      </c>
      <c r="K40" s="5"/>
    </row>
    <row r="41" spans="1:11" ht="15">
      <c r="A41" s="3" t="s">
        <v>23</v>
      </c>
      <c r="B41" s="3" t="s">
        <v>14</v>
      </c>
      <c r="C41" s="3" t="s">
        <v>12</v>
      </c>
      <c r="D41" s="4">
        <v>5</v>
      </c>
      <c r="E41" s="4">
        <v>25000</v>
      </c>
      <c r="F41" s="4">
        <v>125000</v>
      </c>
      <c r="K41" s="5"/>
    </row>
    <row r="42" spans="1:11" ht="15">
      <c r="A42" s="2">
        <v>45666</v>
      </c>
      <c r="B42" s="3" t="s">
        <v>14</v>
      </c>
      <c r="C42" s="3" t="s">
        <v>13</v>
      </c>
      <c r="D42" s="4">
        <v>1</v>
      </c>
      <c r="E42" s="4">
        <v>35000</v>
      </c>
      <c r="F42" s="4">
        <v>35000</v>
      </c>
      <c r="K42" s="5"/>
    </row>
    <row r="43" spans="1:11" ht="15">
      <c r="A43" s="2">
        <v>45817</v>
      </c>
      <c r="B43" s="3" t="s">
        <v>14</v>
      </c>
      <c r="C43" s="3" t="s">
        <v>16</v>
      </c>
      <c r="D43" s="4">
        <v>3</v>
      </c>
      <c r="E43" s="4">
        <v>20000</v>
      </c>
      <c r="F43" s="4">
        <v>60000</v>
      </c>
      <c r="K43" s="5"/>
    </row>
    <row r="44" spans="1:11" ht="15">
      <c r="A44" s="3" t="s">
        <v>30</v>
      </c>
      <c r="B44" s="3" t="s">
        <v>14</v>
      </c>
      <c r="C44" s="3" t="s">
        <v>12</v>
      </c>
      <c r="D44" s="4">
        <v>1</v>
      </c>
      <c r="E44" s="4">
        <v>28000</v>
      </c>
      <c r="F44" s="4">
        <v>28000</v>
      </c>
      <c r="K44" s="5"/>
    </row>
    <row r="45" spans="1:11" ht="15">
      <c r="A45" s="3" t="s">
        <v>24</v>
      </c>
      <c r="B45" s="3" t="s">
        <v>14</v>
      </c>
      <c r="C45" s="3" t="s">
        <v>8</v>
      </c>
      <c r="D45" s="4">
        <v>5</v>
      </c>
      <c r="E45" s="4">
        <v>25000</v>
      </c>
      <c r="F45" s="4">
        <v>125000</v>
      </c>
      <c r="K45" s="5"/>
    </row>
    <row r="46" spans="1:11" ht="15">
      <c r="A46" s="3" t="s">
        <v>10</v>
      </c>
      <c r="B46" s="3" t="s">
        <v>14</v>
      </c>
      <c r="C46" s="3" t="s">
        <v>15</v>
      </c>
      <c r="D46" s="4">
        <v>5</v>
      </c>
      <c r="E46" s="4">
        <v>30000</v>
      </c>
      <c r="F46" s="4">
        <v>150000</v>
      </c>
      <c r="K46" s="5"/>
    </row>
    <row r="47" spans="1:11" ht="15">
      <c r="A47" s="3" t="s">
        <v>32</v>
      </c>
      <c r="B47" s="3" t="s">
        <v>14</v>
      </c>
      <c r="C47" s="3" t="s">
        <v>13</v>
      </c>
      <c r="D47" s="4">
        <v>4</v>
      </c>
      <c r="E47" s="4">
        <v>20000</v>
      </c>
      <c r="F47" s="4">
        <v>80000</v>
      </c>
      <c r="K47" s="5"/>
    </row>
    <row r="48" spans="1:11" ht="15">
      <c r="A48" s="2">
        <v>45756</v>
      </c>
      <c r="B48" s="3" t="s">
        <v>14</v>
      </c>
      <c r="C48" s="3" t="s">
        <v>16</v>
      </c>
      <c r="D48" s="4">
        <v>4</v>
      </c>
      <c r="E48" s="4">
        <v>35000</v>
      </c>
      <c r="F48" s="4">
        <v>140000</v>
      </c>
      <c r="K48" s="5"/>
    </row>
    <row r="49" spans="1:11" ht="15">
      <c r="A49" s="2">
        <v>45756</v>
      </c>
      <c r="B49" s="3" t="s">
        <v>14</v>
      </c>
      <c r="C49" s="3" t="s">
        <v>12</v>
      </c>
      <c r="D49" s="4">
        <v>3</v>
      </c>
      <c r="E49" s="4">
        <v>20000</v>
      </c>
      <c r="F49" s="4">
        <v>60000</v>
      </c>
      <c r="K49" s="5"/>
    </row>
    <row r="50" spans="1:11" ht="15">
      <c r="A50" s="2">
        <v>45756</v>
      </c>
      <c r="B50" s="3" t="s">
        <v>14</v>
      </c>
      <c r="C50" s="3" t="s">
        <v>8</v>
      </c>
      <c r="D50" s="4">
        <v>1</v>
      </c>
      <c r="E50" s="4">
        <v>28000</v>
      </c>
      <c r="F50" s="4">
        <v>28000</v>
      </c>
      <c r="K50" s="5"/>
    </row>
    <row r="51" spans="1:11" ht="15">
      <c r="A51" s="3" t="s">
        <v>6</v>
      </c>
      <c r="B51" s="3" t="s">
        <v>14</v>
      </c>
      <c r="C51" s="3" t="s">
        <v>16</v>
      </c>
      <c r="D51" s="4">
        <v>1</v>
      </c>
      <c r="E51" s="4">
        <v>35000</v>
      </c>
      <c r="F51" s="4">
        <v>35000</v>
      </c>
      <c r="K51" s="5"/>
    </row>
    <row r="52" spans="1:11" ht="15">
      <c r="A52" s="2">
        <v>45970</v>
      </c>
      <c r="B52" s="3" t="s">
        <v>14</v>
      </c>
      <c r="C52" s="3" t="s">
        <v>12</v>
      </c>
      <c r="D52" s="4">
        <v>2</v>
      </c>
      <c r="E52" s="4">
        <v>20000</v>
      </c>
      <c r="F52" s="4">
        <v>40000</v>
      </c>
      <c r="K52" s="5"/>
    </row>
    <row r="53" spans="1:11" ht="15">
      <c r="A53" s="2">
        <v>45725</v>
      </c>
      <c r="B53" s="3" t="s">
        <v>14</v>
      </c>
      <c r="C53" s="3" t="s">
        <v>13</v>
      </c>
      <c r="D53" s="4">
        <v>3</v>
      </c>
      <c r="E53" s="4">
        <v>35000</v>
      </c>
      <c r="F53" s="4">
        <v>105000</v>
      </c>
      <c r="K53" s="5"/>
    </row>
    <row r="54" spans="1:11" ht="15">
      <c r="A54" s="3" t="s">
        <v>21</v>
      </c>
      <c r="B54" s="3" t="s">
        <v>14</v>
      </c>
      <c r="C54" s="3" t="s">
        <v>16</v>
      </c>
      <c r="D54" s="4">
        <v>5</v>
      </c>
      <c r="E54" s="4">
        <v>28000</v>
      </c>
      <c r="F54" s="4">
        <v>140000</v>
      </c>
      <c r="K54" s="5"/>
    </row>
    <row r="55" spans="1:11" ht="15">
      <c r="A55" s="3" t="s">
        <v>32</v>
      </c>
      <c r="B55" s="3" t="s">
        <v>14</v>
      </c>
      <c r="C55" s="3" t="s">
        <v>12</v>
      </c>
      <c r="D55" s="4">
        <v>2</v>
      </c>
      <c r="E55" s="4">
        <v>28000</v>
      </c>
      <c r="F55" s="4">
        <v>56000</v>
      </c>
      <c r="K55" s="5"/>
    </row>
    <row r="56" spans="1:11" ht="15">
      <c r="A56" s="3" t="s">
        <v>24</v>
      </c>
      <c r="B56" s="3" t="s">
        <v>14</v>
      </c>
      <c r="C56" s="3" t="s">
        <v>8</v>
      </c>
      <c r="D56" s="4">
        <v>5</v>
      </c>
      <c r="E56" s="4">
        <v>25000</v>
      </c>
      <c r="F56" s="4">
        <v>125000</v>
      </c>
      <c r="K56" s="5"/>
    </row>
    <row r="57" spans="1:11" ht="15">
      <c r="A57" s="3" t="s">
        <v>28</v>
      </c>
      <c r="B57" s="3" t="s">
        <v>14</v>
      </c>
      <c r="C57" s="3" t="s">
        <v>15</v>
      </c>
      <c r="D57" s="4">
        <v>5</v>
      </c>
      <c r="E57" s="4">
        <v>20000</v>
      </c>
      <c r="F57" s="4">
        <v>100000</v>
      </c>
      <c r="K57" s="5"/>
    </row>
    <row r="58" spans="1:11" ht="15">
      <c r="A58" s="3" t="s">
        <v>28</v>
      </c>
      <c r="B58" s="3" t="s">
        <v>14</v>
      </c>
      <c r="C58" s="3" t="s">
        <v>13</v>
      </c>
      <c r="D58" s="4">
        <v>1</v>
      </c>
      <c r="E58" s="4">
        <v>28000</v>
      </c>
      <c r="F58" s="4">
        <v>28000</v>
      </c>
      <c r="K58" s="5"/>
    </row>
    <row r="59" spans="1:11" ht="15">
      <c r="A59" s="3" t="s">
        <v>22</v>
      </c>
      <c r="B59" s="3" t="s">
        <v>14</v>
      </c>
      <c r="C59" s="3" t="s">
        <v>16</v>
      </c>
      <c r="D59" s="4">
        <v>3</v>
      </c>
      <c r="E59" s="4">
        <v>25000</v>
      </c>
      <c r="F59" s="4">
        <v>75000</v>
      </c>
      <c r="K59" s="5"/>
    </row>
    <row r="60" spans="1:11" ht="15">
      <c r="A60" s="3" t="s">
        <v>21</v>
      </c>
      <c r="B60" s="3" t="s">
        <v>14</v>
      </c>
      <c r="C60" s="3" t="s">
        <v>12</v>
      </c>
      <c r="D60" s="4">
        <v>1</v>
      </c>
      <c r="E60" s="4">
        <v>20000</v>
      </c>
      <c r="F60" s="4">
        <v>20000</v>
      </c>
      <c r="K60" s="5"/>
    </row>
    <row r="61" spans="1:11" ht="15">
      <c r="A61" s="3" t="s">
        <v>23</v>
      </c>
      <c r="B61" s="3" t="s">
        <v>14</v>
      </c>
      <c r="C61" s="3" t="s">
        <v>8</v>
      </c>
      <c r="D61" s="4">
        <v>4</v>
      </c>
      <c r="E61" s="4">
        <v>28000</v>
      </c>
      <c r="F61" s="4">
        <v>112000</v>
      </c>
      <c r="K61" s="5"/>
    </row>
    <row r="62" spans="1:11" ht="15">
      <c r="A62" s="3" t="s">
        <v>19</v>
      </c>
      <c r="B62" s="3" t="s">
        <v>14</v>
      </c>
      <c r="C62" s="3" t="s">
        <v>15</v>
      </c>
      <c r="D62" s="4">
        <v>1</v>
      </c>
      <c r="E62" s="4">
        <v>30000</v>
      </c>
      <c r="F62" s="4">
        <v>30000</v>
      </c>
      <c r="K62" s="5"/>
    </row>
    <row r="63" spans="1:11" ht="15">
      <c r="A63" s="2">
        <v>45909</v>
      </c>
      <c r="B63" s="3" t="s">
        <v>14</v>
      </c>
      <c r="C63" s="3" t="s">
        <v>13</v>
      </c>
      <c r="D63" s="4">
        <v>3</v>
      </c>
      <c r="E63" s="4">
        <v>25000</v>
      </c>
      <c r="F63" s="4">
        <v>75000</v>
      </c>
      <c r="K63" s="5"/>
    </row>
    <row r="64" spans="1:11" ht="15">
      <c r="A64" s="2">
        <v>45970</v>
      </c>
      <c r="B64" s="3" t="s">
        <v>14</v>
      </c>
      <c r="C64" s="3" t="s">
        <v>16</v>
      </c>
      <c r="D64" s="4">
        <v>1</v>
      </c>
      <c r="E64" s="4">
        <v>30000</v>
      </c>
      <c r="F64" s="4">
        <v>30000</v>
      </c>
      <c r="K64" s="5"/>
    </row>
    <row r="65" spans="1:11" ht="15">
      <c r="A65" s="2">
        <v>45939</v>
      </c>
      <c r="B65" s="3" t="s">
        <v>14</v>
      </c>
      <c r="C65" s="3" t="s">
        <v>12</v>
      </c>
      <c r="D65" s="4">
        <v>5</v>
      </c>
      <c r="E65" s="4">
        <v>25000</v>
      </c>
      <c r="F65" s="4">
        <v>125000</v>
      </c>
      <c r="K65" s="5"/>
    </row>
    <row r="66" spans="1:11" ht="15">
      <c r="A66" s="3" t="s">
        <v>32</v>
      </c>
      <c r="B66" s="3" t="s">
        <v>14</v>
      </c>
      <c r="C66" s="3" t="s">
        <v>8</v>
      </c>
      <c r="D66" s="4">
        <v>5</v>
      </c>
      <c r="E66" s="4">
        <v>28000</v>
      </c>
      <c r="F66" s="4">
        <v>140000</v>
      </c>
      <c r="K66" s="5"/>
    </row>
    <row r="67" spans="1:11" ht="15">
      <c r="A67" s="3" t="s">
        <v>26</v>
      </c>
      <c r="B67" s="3" t="s">
        <v>14</v>
      </c>
      <c r="C67" s="3" t="s">
        <v>15</v>
      </c>
      <c r="D67" s="4">
        <v>4</v>
      </c>
      <c r="E67" s="4">
        <v>35000</v>
      </c>
      <c r="F67" s="4">
        <v>140000</v>
      </c>
      <c r="K67" s="5"/>
    </row>
    <row r="68" spans="1:11" ht="15">
      <c r="A68" s="3" t="s">
        <v>19</v>
      </c>
      <c r="B68" s="3" t="s">
        <v>14</v>
      </c>
      <c r="C68" s="3" t="s">
        <v>13</v>
      </c>
      <c r="D68" s="4">
        <v>1</v>
      </c>
      <c r="E68" s="4">
        <v>35000</v>
      </c>
      <c r="F68" s="4">
        <v>35000</v>
      </c>
      <c r="K68" s="5"/>
    </row>
    <row r="69" spans="1:11" ht="15">
      <c r="A69" s="3" t="s">
        <v>21</v>
      </c>
      <c r="B69" s="3" t="s">
        <v>14</v>
      </c>
      <c r="C69" s="3" t="s">
        <v>16</v>
      </c>
      <c r="D69" s="4">
        <v>1</v>
      </c>
      <c r="E69" s="4">
        <v>25000</v>
      </c>
      <c r="F69" s="4">
        <v>25000</v>
      </c>
      <c r="K69" s="5"/>
    </row>
    <row r="70" spans="1:11" ht="15">
      <c r="A70" s="3" t="s">
        <v>30</v>
      </c>
      <c r="B70" s="3" t="s">
        <v>14</v>
      </c>
      <c r="C70" s="3" t="s">
        <v>12</v>
      </c>
      <c r="D70" s="4">
        <v>2</v>
      </c>
      <c r="E70" s="4">
        <v>35000</v>
      </c>
      <c r="F70" s="4">
        <v>70000</v>
      </c>
      <c r="K70" s="5"/>
    </row>
    <row r="71" spans="1:11" ht="15">
      <c r="A71" s="2">
        <v>45939</v>
      </c>
      <c r="B71" s="3" t="s">
        <v>14</v>
      </c>
      <c r="C71" s="3" t="s">
        <v>8</v>
      </c>
      <c r="D71" s="4">
        <v>5</v>
      </c>
      <c r="E71" s="4">
        <v>35000</v>
      </c>
      <c r="F71" s="4">
        <v>175000</v>
      </c>
      <c r="K71" s="5"/>
    </row>
    <row r="72" spans="1:11" ht="15">
      <c r="A72" s="2">
        <v>45666</v>
      </c>
      <c r="B72" s="3" t="s">
        <v>14</v>
      </c>
      <c r="C72" s="3" t="s">
        <v>15</v>
      </c>
      <c r="D72" s="4">
        <v>3</v>
      </c>
      <c r="E72" s="4">
        <v>20000</v>
      </c>
      <c r="F72" s="4">
        <v>60000</v>
      </c>
      <c r="K72" s="5"/>
    </row>
    <row r="73" spans="1:11" ht="15">
      <c r="A73" s="2">
        <v>45756</v>
      </c>
      <c r="B73" s="3" t="s">
        <v>14</v>
      </c>
      <c r="C73" s="3" t="s">
        <v>13</v>
      </c>
      <c r="D73" s="4">
        <v>1</v>
      </c>
      <c r="E73" s="4">
        <v>30000</v>
      </c>
      <c r="F73" s="4">
        <v>30000</v>
      </c>
      <c r="K73" s="5"/>
    </row>
    <row r="74" spans="1:11" ht="15">
      <c r="A74" s="3" t="s">
        <v>22</v>
      </c>
      <c r="B74" s="3" t="s">
        <v>14</v>
      </c>
      <c r="C74" s="3" t="s">
        <v>16</v>
      </c>
      <c r="D74" s="4">
        <v>1</v>
      </c>
      <c r="E74" s="4">
        <v>35000</v>
      </c>
      <c r="F74" s="4">
        <v>35000</v>
      </c>
      <c r="K74" s="5"/>
    </row>
    <row r="75" spans="1:11" ht="15">
      <c r="A75" s="3" t="s">
        <v>23</v>
      </c>
      <c r="B75" s="3" t="s">
        <v>14</v>
      </c>
      <c r="C75" s="3" t="s">
        <v>12</v>
      </c>
      <c r="D75" s="4">
        <v>1</v>
      </c>
      <c r="E75" s="4">
        <v>30000</v>
      </c>
      <c r="F75" s="4">
        <v>30000</v>
      </c>
      <c r="K75" s="5"/>
    </row>
    <row r="76" spans="1:11" ht="15">
      <c r="A76" s="3" t="s">
        <v>29</v>
      </c>
      <c r="B76" s="3" t="s">
        <v>14</v>
      </c>
      <c r="C76" s="3" t="s">
        <v>8</v>
      </c>
      <c r="D76" s="4">
        <v>1</v>
      </c>
      <c r="E76" s="4">
        <v>28000</v>
      </c>
      <c r="F76" s="4">
        <v>28000</v>
      </c>
      <c r="K76" s="5"/>
    </row>
    <row r="77" spans="1:11" ht="15">
      <c r="A77" s="3" t="s">
        <v>17</v>
      </c>
      <c r="B77" s="3" t="s">
        <v>14</v>
      </c>
      <c r="C77" s="3" t="s">
        <v>15</v>
      </c>
      <c r="D77" s="4">
        <v>4</v>
      </c>
      <c r="E77" s="4">
        <v>35000</v>
      </c>
      <c r="F77" s="4">
        <v>140000</v>
      </c>
      <c r="K77" s="5"/>
    </row>
    <row r="78" spans="1:11" ht="15">
      <c r="A78" s="3" t="s">
        <v>22</v>
      </c>
      <c r="B78" s="3" t="s">
        <v>14</v>
      </c>
      <c r="C78" s="3" t="s">
        <v>13</v>
      </c>
      <c r="D78" s="4">
        <v>1</v>
      </c>
      <c r="E78" s="4">
        <v>25000</v>
      </c>
      <c r="F78" s="4">
        <v>25000</v>
      </c>
      <c r="K78" s="5"/>
    </row>
    <row r="79" spans="1:11" ht="15">
      <c r="A79" s="3" t="s">
        <v>30</v>
      </c>
      <c r="B79" s="3" t="s">
        <v>14</v>
      </c>
      <c r="C79" s="3" t="s">
        <v>16</v>
      </c>
      <c r="D79" s="4">
        <v>1</v>
      </c>
      <c r="E79" s="4">
        <v>35000</v>
      </c>
      <c r="F79" s="4">
        <v>35000</v>
      </c>
      <c r="K79" s="5"/>
    </row>
    <row r="80" spans="1:11" ht="15">
      <c r="A80" s="3" t="s">
        <v>23</v>
      </c>
      <c r="B80" s="3" t="s">
        <v>14</v>
      </c>
      <c r="C80" s="3" t="s">
        <v>12</v>
      </c>
      <c r="D80" s="4">
        <v>3</v>
      </c>
      <c r="E80" s="4">
        <v>20000</v>
      </c>
      <c r="F80" s="4">
        <v>60000</v>
      </c>
      <c r="K80" s="5"/>
    </row>
    <row r="81" spans="1:11" ht="15">
      <c r="A81" s="3" t="s">
        <v>26</v>
      </c>
      <c r="B81" s="3" t="s">
        <v>14</v>
      </c>
      <c r="C81" s="3" t="s">
        <v>8</v>
      </c>
      <c r="D81" s="4">
        <v>1</v>
      </c>
      <c r="E81" s="4">
        <v>20000</v>
      </c>
      <c r="F81" s="4">
        <v>20000</v>
      </c>
      <c r="K81" s="5"/>
    </row>
    <row r="82" spans="1:11" ht="15">
      <c r="A82" s="2">
        <v>45970</v>
      </c>
      <c r="B82" s="3" t="s">
        <v>14</v>
      </c>
      <c r="C82" s="3" t="s">
        <v>15</v>
      </c>
      <c r="D82" s="4">
        <v>3</v>
      </c>
      <c r="E82" s="4">
        <v>35000</v>
      </c>
      <c r="F82" s="4">
        <v>105000</v>
      </c>
      <c r="K82" s="5"/>
    </row>
    <row r="83" spans="1:11" ht="15">
      <c r="A83" s="2">
        <v>45756</v>
      </c>
      <c r="B83" s="3" t="s">
        <v>14</v>
      </c>
      <c r="C83" s="3" t="s">
        <v>13</v>
      </c>
      <c r="D83" s="4">
        <v>2</v>
      </c>
      <c r="E83" s="4">
        <v>25000</v>
      </c>
      <c r="F83" s="4">
        <v>50000</v>
      </c>
      <c r="K83" s="5"/>
    </row>
    <row r="84" spans="1:11" ht="15">
      <c r="A84" s="2">
        <v>45756</v>
      </c>
      <c r="B84" s="3" t="s">
        <v>14</v>
      </c>
      <c r="C84" s="3" t="s">
        <v>16</v>
      </c>
      <c r="D84" s="4">
        <v>3</v>
      </c>
      <c r="E84" s="4">
        <v>25000</v>
      </c>
      <c r="F84" s="4">
        <v>75000</v>
      </c>
      <c r="K84" s="5"/>
    </row>
    <row r="85" spans="1:11" ht="15">
      <c r="A85" s="2">
        <v>45725</v>
      </c>
      <c r="B85" s="3" t="s">
        <v>14</v>
      </c>
      <c r="C85" s="3" t="s">
        <v>12</v>
      </c>
      <c r="D85" s="4">
        <v>2</v>
      </c>
      <c r="E85" s="4">
        <v>30000</v>
      </c>
      <c r="F85" s="4">
        <v>60000</v>
      </c>
      <c r="K85" s="5"/>
    </row>
    <row r="86" spans="1:11" ht="15">
      <c r="A86" s="2">
        <v>45970</v>
      </c>
      <c r="B86" s="3" t="s">
        <v>14</v>
      </c>
      <c r="C86" s="3" t="s">
        <v>13</v>
      </c>
      <c r="D86" s="4">
        <v>3</v>
      </c>
      <c r="E86" s="4">
        <v>30000</v>
      </c>
      <c r="F86" s="4">
        <v>90000</v>
      </c>
      <c r="K86" s="5"/>
    </row>
    <row r="87" spans="1:11" ht="15">
      <c r="A87" s="3" t="s">
        <v>24</v>
      </c>
      <c r="B87" s="3" t="s">
        <v>14</v>
      </c>
      <c r="C87" s="3" t="s">
        <v>16</v>
      </c>
      <c r="D87" s="4">
        <v>2</v>
      </c>
      <c r="E87" s="4">
        <v>20000</v>
      </c>
      <c r="F87" s="4">
        <v>40000</v>
      </c>
      <c r="K87" s="5"/>
    </row>
    <row r="88" spans="1:11" ht="15">
      <c r="A88" s="2">
        <v>45847</v>
      </c>
      <c r="B88" s="3" t="s">
        <v>14</v>
      </c>
      <c r="C88" s="3" t="s">
        <v>12</v>
      </c>
      <c r="D88" s="4">
        <v>1</v>
      </c>
      <c r="E88" s="4">
        <v>20000</v>
      </c>
      <c r="F88" s="4">
        <v>20000</v>
      </c>
      <c r="K88" s="5"/>
    </row>
    <row r="89" spans="1:11" ht="15">
      <c r="A89" s="3" t="s">
        <v>30</v>
      </c>
      <c r="B89" s="3" t="s">
        <v>14</v>
      </c>
      <c r="C89" s="3" t="s">
        <v>16</v>
      </c>
      <c r="D89" s="4">
        <v>1</v>
      </c>
      <c r="E89" s="4">
        <v>20000</v>
      </c>
      <c r="F89" s="4">
        <v>20000</v>
      </c>
      <c r="K89" s="5"/>
    </row>
    <row r="90" spans="1:11" ht="15">
      <c r="A90" s="3" t="s">
        <v>19</v>
      </c>
      <c r="B90" s="3" t="s">
        <v>14</v>
      </c>
      <c r="C90" s="3" t="s">
        <v>12</v>
      </c>
      <c r="D90" s="4">
        <v>5</v>
      </c>
      <c r="E90" s="4">
        <v>25000</v>
      </c>
      <c r="F90" s="4">
        <v>125000</v>
      </c>
      <c r="K90" s="5"/>
    </row>
    <row r="91" spans="1:11" ht="15">
      <c r="A91" s="2">
        <v>45786</v>
      </c>
      <c r="B91" s="3" t="s">
        <v>14</v>
      </c>
      <c r="C91" s="3" t="s">
        <v>13</v>
      </c>
      <c r="D91" s="4">
        <v>4</v>
      </c>
      <c r="E91" s="4">
        <v>28000</v>
      </c>
      <c r="F91" s="4">
        <v>112000</v>
      </c>
      <c r="K91" s="5"/>
    </row>
    <row r="92" spans="1:11" ht="15">
      <c r="A92" s="3" t="s">
        <v>24</v>
      </c>
      <c r="B92" s="3" t="s">
        <v>14</v>
      </c>
      <c r="C92" s="3" t="s">
        <v>16</v>
      </c>
      <c r="D92" s="4">
        <v>5</v>
      </c>
      <c r="E92" s="4">
        <v>25000</v>
      </c>
      <c r="F92" s="4">
        <v>125000</v>
      </c>
      <c r="K92" s="5"/>
    </row>
    <row r="93" spans="1:11" ht="15">
      <c r="A93" s="2">
        <v>45909</v>
      </c>
      <c r="B93" s="3" t="s">
        <v>14</v>
      </c>
      <c r="C93" s="3" t="s">
        <v>12</v>
      </c>
      <c r="D93" s="4">
        <v>2</v>
      </c>
      <c r="E93" s="4">
        <v>28000</v>
      </c>
      <c r="F93" s="4">
        <v>56000</v>
      </c>
      <c r="K93" s="5"/>
    </row>
    <row r="94" spans="1:11" ht="15">
      <c r="A94" s="3" t="s">
        <v>26</v>
      </c>
      <c r="B94" s="3" t="s">
        <v>14</v>
      </c>
      <c r="C94" s="3" t="s">
        <v>8</v>
      </c>
      <c r="D94" s="4">
        <v>1</v>
      </c>
      <c r="E94" s="4">
        <v>25000</v>
      </c>
      <c r="F94" s="4">
        <v>25000</v>
      </c>
      <c r="K94" s="5"/>
    </row>
    <row r="95" spans="1:11" ht="15">
      <c r="A95" s="2">
        <v>45786</v>
      </c>
      <c r="B95" s="3" t="s">
        <v>14</v>
      </c>
      <c r="C95" s="3" t="s">
        <v>15</v>
      </c>
      <c r="D95" s="4">
        <v>2</v>
      </c>
      <c r="E95" s="4">
        <v>20000</v>
      </c>
      <c r="F95" s="4">
        <v>40000</v>
      </c>
      <c r="K95" s="5"/>
    </row>
    <row r="96" spans="1:11" ht="15">
      <c r="A96" s="3" t="s">
        <v>23</v>
      </c>
      <c r="B96" s="3" t="s">
        <v>14</v>
      </c>
      <c r="C96" s="3" t="s">
        <v>13</v>
      </c>
      <c r="D96" s="4">
        <v>1</v>
      </c>
      <c r="E96" s="4">
        <v>28000</v>
      </c>
      <c r="F96" s="4">
        <v>28000</v>
      </c>
      <c r="K96" s="5"/>
    </row>
    <row r="97" spans="1:11" ht="15">
      <c r="A97" s="2">
        <v>45909</v>
      </c>
      <c r="B97" s="3" t="s">
        <v>14</v>
      </c>
      <c r="C97" s="3" t="s">
        <v>16</v>
      </c>
      <c r="D97" s="4">
        <v>3</v>
      </c>
      <c r="E97" s="4">
        <v>28000</v>
      </c>
      <c r="F97" s="4">
        <v>84000</v>
      </c>
      <c r="K97" s="5"/>
    </row>
    <row r="98" spans="1:11" ht="15">
      <c r="A98" s="3" t="s">
        <v>23</v>
      </c>
      <c r="B98" s="3" t="s">
        <v>14</v>
      </c>
      <c r="C98" s="3" t="s">
        <v>12</v>
      </c>
      <c r="D98" s="4">
        <v>4</v>
      </c>
      <c r="E98" s="4">
        <v>20000</v>
      </c>
      <c r="F98" s="4">
        <v>80000</v>
      </c>
      <c r="K98" s="5"/>
    </row>
    <row r="99" spans="1:11" ht="15">
      <c r="A99" s="2">
        <v>45697</v>
      </c>
      <c r="B99" s="3" t="s">
        <v>14</v>
      </c>
      <c r="C99" s="3" t="s">
        <v>8</v>
      </c>
      <c r="D99" s="4">
        <v>2</v>
      </c>
      <c r="E99" s="4">
        <v>25000</v>
      </c>
      <c r="F99" s="4">
        <v>50000</v>
      </c>
      <c r="K99" s="5"/>
    </row>
    <row r="100" spans="1:11" ht="15">
      <c r="A100" s="2">
        <v>45697</v>
      </c>
      <c r="B100" s="3" t="s">
        <v>14</v>
      </c>
      <c r="C100" s="3" t="s">
        <v>15</v>
      </c>
      <c r="D100" s="4">
        <v>1</v>
      </c>
      <c r="E100" s="4">
        <v>28000</v>
      </c>
      <c r="F100" s="4">
        <v>28000</v>
      </c>
      <c r="K100" s="5"/>
    </row>
    <row r="101" spans="1:11" ht="15">
      <c r="A101" s="3" t="s">
        <v>32</v>
      </c>
      <c r="B101" s="3" t="s">
        <v>14</v>
      </c>
      <c r="C101" s="3" t="s">
        <v>13</v>
      </c>
      <c r="D101" s="4">
        <v>4</v>
      </c>
      <c r="E101" s="4">
        <v>28000</v>
      </c>
      <c r="F101" s="4">
        <v>112000</v>
      </c>
      <c r="K101" s="5"/>
    </row>
    <row r="102" spans="1:11" ht="15">
      <c r="A102" s="3" t="s">
        <v>29</v>
      </c>
      <c r="B102" s="3" t="s">
        <v>14</v>
      </c>
      <c r="C102" s="3" t="s">
        <v>16</v>
      </c>
      <c r="D102" s="4">
        <v>1</v>
      </c>
      <c r="E102" s="4">
        <v>35000</v>
      </c>
      <c r="F102" s="4">
        <v>35000</v>
      </c>
      <c r="K102" s="5"/>
    </row>
    <row r="103" spans="1:11" ht="15">
      <c r="A103" s="2">
        <v>45909</v>
      </c>
      <c r="B103" s="3" t="s">
        <v>14</v>
      </c>
      <c r="C103" s="3" t="s">
        <v>12</v>
      </c>
      <c r="D103" s="4">
        <v>1</v>
      </c>
      <c r="E103" s="4">
        <v>25000</v>
      </c>
      <c r="F103" s="4">
        <v>25000</v>
      </c>
      <c r="K103" s="5"/>
    </row>
    <row r="104" spans="1:11" ht="15">
      <c r="A104" s="3" t="s">
        <v>30</v>
      </c>
      <c r="B104" s="3" t="s">
        <v>14</v>
      </c>
      <c r="C104" s="3" t="s">
        <v>8</v>
      </c>
      <c r="D104" s="4">
        <v>4</v>
      </c>
      <c r="E104" s="4">
        <v>30000</v>
      </c>
      <c r="F104" s="4">
        <v>120000</v>
      </c>
      <c r="K104" s="5"/>
    </row>
    <row r="105" spans="1:11" ht="15">
      <c r="A105" s="3" t="s">
        <v>28</v>
      </c>
      <c r="B105" s="3" t="s">
        <v>14</v>
      </c>
      <c r="C105" s="3" t="s">
        <v>15</v>
      </c>
      <c r="D105" s="4">
        <v>3</v>
      </c>
      <c r="E105" s="4">
        <v>25000</v>
      </c>
      <c r="F105" s="4">
        <v>75000</v>
      </c>
      <c r="K105" s="5"/>
    </row>
    <row r="106" spans="1:11" ht="15">
      <c r="A106" s="3" t="s">
        <v>18</v>
      </c>
      <c r="B106" s="3" t="s">
        <v>14</v>
      </c>
      <c r="C106" s="3" t="s">
        <v>13</v>
      </c>
      <c r="D106" s="4">
        <v>1</v>
      </c>
      <c r="E106" s="4">
        <v>25000</v>
      </c>
      <c r="F106" s="4">
        <v>25000</v>
      </c>
      <c r="K106" s="5"/>
    </row>
    <row r="107" spans="1:11" ht="15">
      <c r="A107" s="3" t="s">
        <v>20</v>
      </c>
      <c r="B107" s="3" t="s">
        <v>14</v>
      </c>
      <c r="C107" s="3" t="s">
        <v>16</v>
      </c>
      <c r="D107" s="4">
        <v>5</v>
      </c>
      <c r="E107" s="4">
        <v>35000</v>
      </c>
      <c r="F107" s="4">
        <v>175000</v>
      </c>
      <c r="K107" s="5"/>
    </row>
    <row r="108" spans="1:11" ht="15">
      <c r="A108" s="2">
        <v>45909</v>
      </c>
      <c r="B108" s="3" t="s">
        <v>14</v>
      </c>
      <c r="C108" s="3" t="s">
        <v>12</v>
      </c>
      <c r="D108" s="4">
        <v>4</v>
      </c>
      <c r="E108" s="4">
        <v>25000</v>
      </c>
      <c r="F108" s="4">
        <v>100000</v>
      </c>
      <c r="K108" s="5"/>
    </row>
    <row r="109" spans="1:11" ht="15">
      <c r="A109" s="3" t="s">
        <v>19</v>
      </c>
      <c r="B109" s="3" t="s">
        <v>14</v>
      </c>
      <c r="C109" s="3" t="s">
        <v>8</v>
      </c>
      <c r="D109" s="4">
        <v>3</v>
      </c>
      <c r="E109" s="4">
        <v>30000</v>
      </c>
      <c r="F109" s="4">
        <v>90000</v>
      </c>
      <c r="K109" s="5"/>
    </row>
    <row r="110" spans="1:11" ht="15">
      <c r="A110" s="2">
        <v>45756</v>
      </c>
      <c r="B110" s="3" t="s">
        <v>14</v>
      </c>
      <c r="C110" s="3" t="s">
        <v>15</v>
      </c>
      <c r="D110" s="4">
        <v>1</v>
      </c>
      <c r="E110" s="4">
        <v>25000</v>
      </c>
      <c r="F110" s="4">
        <v>25000</v>
      </c>
      <c r="K110" s="5"/>
    </row>
    <row r="111" spans="1:11" ht="15">
      <c r="A111" s="3" t="s">
        <v>10</v>
      </c>
      <c r="B111" s="3" t="s">
        <v>14</v>
      </c>
      <c r="C111" s="3" t="s">
        <v>13</v>
      </c>
      <c r="D111" s="4">
        <v>1</v>
      </c>
      <c r="E111" s="4">
        <v>28000</v>
      </c>
      <c r="F111" s="4">
        <v>28000</v>
      </c>
      <c r="K111" s="5"/>
    </row>
    <row r="112" spans="1:11" ht="15">
      <c r="A112" s="3" t="s">
        <v>32</v>
      </c>
      <c r="B112" s="3" t="s">
        <v>14</v>
      </c>
      <c r="C112" s="3" t="s">
        <v>16</v>
      </c>
      <c r="D112" s="4">
        <v>2</v>
      </c>
      <c r="E112" s="4">
        <v>25000</v>
      </c>
      <c r="F112" s="4">
        <v>50000</v>
      </c>
      <c r="K112" s="5"/>
    </row>
    <row r="113" spans="1:11" ht="15">
      <c r="A113" s="3" t="s">
        <v>29</v>
      </c>
      <c r="B113" s="3" t="s">
        <v>14</v>
      </c>
      <c r="C113" s="3" t="s">
        <v>12</v>
      </c>
      <c r="D113" s="4">
        <v>3</v>
      </c>
      <c r="E113" s="4">
        <v>25000</v>
      </c>
      <c r="F113" s="4">
        <v>75000</v>
      </c>
      <c r="K113" s="5"/>
    </row>
    <row r="114" spans="1:11" ht="15">
      <c r="A114" s="3" t="s">
        <v>6</v>
      </c>
      <c r="B114" s="3" t="s">
        <v>14</v>
      </c>
      <c r="C114" s="3" t="s">
        <v>8</v>
      </c>
      <c r="D114" s="4">
        <v>5</v>
      </c>
      <c r="E114" s="4">
        <v>20000</v>
      </c>
      <c r="F114" s="4">
        <v>100000</v>
      </c>
      <c r="K114" s="5"/>
    </row>
    <row r="115" spans="1:11" ht="15">
      <c r="A115" s="2">
        <v>45847</v>
      </c>
      <c r="B115" s="3" t="s">
        <v>14</v>
      </c>
      <c r="C115" s="3" t="s">
        <v>15</v>
      </c>
      <c r="D115" s="4">
        <v>4</v>
      </c>
      <c r="E115" s="4">
        <v>30000</v>
      </c>
      <c r="F115" s="4">
        <v>120000</v>
      </c>
      <c r="K115" s="5"/>
    </row>
    <row r="116" spans="1:11" ht="15">
      <c r="A116" s="2">
        <v>45970</v>
      </c>
      <c r="B116" s="3" t="s">
        <v>14</v>
      </c>
      <c r="C116" s="3" t="s">
        <v>13</v>
      </c>
      <c r="D116" s="4">
        <v>1</v>
      </c>
      <c r="E116" s="4">
        <v>20000</v>
      </c>
      <c r="F116" s="4">
        <v>20000</v>
      </c>
      <c r="K116" s="5"/>
    </row>
    <row r="117" spans="1:11" ht="15">
      <c r="A117" s="2">
        <v>45666</v>
      </c>
      <c r="B117" s="3" t="s">
        <v>14</v>
      </c>
      <c r="C117" s="3" t="s">
        <v>16</v>
      </c>
      <c r="D117" s="4">
        <v>1</v>
      </c>
      <c r="E117" s="4">
        <v>35000</v>
      </c>
      <c r="F117" s="4">
        <v>35000</v>
      </c>
      <c r="K117" s="5"/>
    </row>
    <row r="118" spans="1:11" ht="15">
      <c r="A118" s="2">
        <v>45939</v>
      </c>
      <c r="B118" s="3" t="s">
        <v>14</v>
      </c>
      <c r="C118" s="3" t="s">
        <v>12</v>
      </c>
      <c r="D118" s="4">
        <v>3</v>
      </c>
      <c r="E118" s="4">
        <v>25000</v>
      </c>
      <c r="F118" s="4">
        <v>75000</v>
      </c>
      <c r="K118" s="5"/>
    </row>
    <row r="119" spans="1:11" ht="15">
      <c r="A119" s="3" t="s">
        <v>27</v>
      </c>
      <c r="B119" s="3" t="s">
        <v>14</v>
      </c>
      <c r="C119" s="3" t="s">
        <v>8</v>
      </c>
      <c r="D119" s="4">
        <v>2</v>
      </c>
      <c r="E119" s="4">
        <v>20000</v>
      </c>
      <c r="F119" s="4">
        <v>40000</v>
      </c>
      <c r="K119" s="5"/>
    </row>
    <row r="120" spans="1:11" ht="15">
      <c r="A120" s="3" t="s">
        <v>29</v>
      </c>
      <c r="B120" s="3" t="s">
        <v>14</v>
      </c>
      <c r="C120" s="3" t="s">
        <v>15</v>
      </c>
      <c r="D120" s="4">
        <v>3</v>
      </c>
      <c r="E120" s="4">
        <v>30000</v>
      </c>
      <c r="F120" s="4">
        <v>90000</v>
      </c>
      <c r="K120" s="5"/>
    </row>
    <row r="121" spans="1:11" ht="15">
      <c r="A121" s="3" t="s">
        <v>18</v>
      </c>
      <c r="B121" s="3" t="s">
        <v>14</v>
      </c>
      <c r="C121" s="3" t="s">
        <v>13</v>
      </c>
      <c r="D121" s="4">
        <v>1</v>
      </c>
      <c r="E121" s="4">
        <v>30000</v>
      </c>
      <c r="F121" s="4">
        <v>30000</v>
      </c>
      <c r="K121"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21"/>
  <sheetViews>
    <sheetView workbookViewId="0">
      <selection sqref="A1:F121"/>
    </sheetView>
  </sheetViews>
  <sheetFormatPr defaultColWidth="12.5703125" defaultRowHeight="15.75" customHeight="1"/>
  <cols>
    <col min="1" max="1" width="10.42578125" bestFit="1" customWidth="1"/>
    <col min="2" max="2" width="9.7109375" bestFit="1" customWidth="1"/>
    <col min="3" max="3" width="9.140625" bestFit="1" customWidth="1"/>
    <col min="4" max="4" width="4.140625" bestFit="1" customWidth="1"/>
    <col min="5" max="5" width="6" bestFit="1" customWidth="1"/>
    <col min="6" max="6" width="7" bestFit="1" customWidth="1"/>
  </cols>
  <sheetData>
    <row r="1" spans="1:6" ht="15">
      <c r="A1" s="1" t="s">
        <v>0</v>
      </c>
      <c r="B1" s="1" t="s">
        <v>1</v>
      </c>
      <c r="C1" s="1" t="s">
        <v>2</v>
      </c>
      <c r="D1" s="1" t="s">
        <v>3</v>
      </c>
      <c r="E1" s="1" t="s">
        <v>4</v>
      </c>
      <c r="F1" s="1" t="s">
        <v>5</v>
      </c>
    </row>
    <row r="2" spans="1:6" ht="15">
      <c r="A2" s="2">
        <v>45970</v>
      </c>
      <c r="B2" s="3" t="s">
        <v>7</v>
      </c>
      <c r="C2" s="3" t="s">
        <v>8</v>
      </c>
      <c r="D2" s="4">
        <v>1</v>
      </c>
      <c r="E2" s="4">
        <v>30000</v>
      </c>
      <c r="F2" s="4">
        <v>30000</v>
      </c>
    </row>
    <row r="3" spans="1:6" ht="15">
      <c r="A3" s="3" t="s">
        <v>10</v>
      </c>
      <c r="B3" s="3" t="s">
        <v>7</v>
      </c>
      <c r="C3" s="3" t="s">
        <v>15</v>
      </c>
      <c r="D3" s="4">
        <v>4</v>
      </c>
      <c r="E3" s="4">
        <v>30000</v>
      </c>
      <c r="F3" s="4">
        <v>120000</v>
      </c>
    </row>
    <row r="4" spans="1:6" ht="15">
      <c r="A4" s="2">
        <v>45786</v>
      </c>
      <c r="B4" s="3" t="s">
        <v>7</v>
      </c>
      <c r="C4" s="3" t="s">
        <v>13</v>
      </c>
      <c r="D4" s="4">
        <v>1</v>
      </c>
      <c r="E4" s="4">
        <v>20000</v>
      </c>
      <c r="F4" s="4">
        <v>20000</v>
      </c>
    </row>
    <row r="5" spans="1:6" ht="15">
      <c r="A5" s="3" t="s">
        <v>17</v>
      </c>
      <c r="B5" s="3" t="s">
        <v>7</v>
      </c>
      <c r="C5" s="3" t="s">
        <v>16</v>
      </c>
      <c r="D5" s="4">
        <v>1</v>
      </c>
      <c r="E5" s="4">
        <v>20000</v>
      </c>
      <c r="F5" s="4">
        <v>20000</v>
      </c>
    </row>
    <row r="6" spans="1:6" ht="15">
      <c r="A6" s="3" t="s">
        <v>10</v>
      </c>
      <c r="B6" s="3" t="s">
        <v>7</v>
      </c>
      <c r="C6" s="3" t="s">
        <v>12</v>
      </c>
      <c r="D6" s="4">
        <v>4</v>
      </c>
      <c r="E6" s="4">
        <v>30000</v>
      </c>
      <c r="F6" s="4">
        <v>120000</v>
      </c>
    </row>
    <row r="7" spans="1:6" ht="15">
      <c r="A7" s="3" t="s">
        <v>19</v>
      </c>
      <c r="B7" s="3" t="s">
        <v>7</v>
      </c>
      <c r="C7" s="3" t="s">
        <v>12</v>
      </c>
      <c r="D7" s="4">
        <v>1</v>
      </c>
      <c r="E7" s="4">
        <v>25000</v>
      </c>
      <c r="F7" s="4">
        <v>25000</v>
      </c>
    </row>
    <row r="8" spans="1:6" ht="15">
      <c r="A8" s="3" t="s">
        <v>19</v>
      </c>
      <c r="B8" s="3" t="s">
        <v>7</v>
      </c>
      <c r="C8" s="3" t="s">
        <v>16</v>
      </c>
      <c r="D8" s="4">
        <v>5</v>
      </c>
      <c r="E8" s="4">
        <v>25000</v>
      </c>
      <c r="F8" s="4">
        <v>125000</v>
      </c>
    </row>
    <row r="9" spans="1:6" ht="15">
      <c r="A9" s="3" t="s">
        <v>20</v>
      </c>
      <c r="B9" s="3" t="s">
        <v>7</v>
      </c>
      <c r="C9" s="3" t="s">
        <v>13</v>
      </c>
      <c r="D9" s="4">
        <v>1</v>
      </c>
      <c r="E9" s="4">
        <v>30000</v>
      </c>
      <c r="F9" s="4">
        <v>30000</v>
      </c>
    </row>
    <row r="10" spans="1:6" ht="15">
      <c r="A10" s="2">
        <v>45939</v>
      </c>
      <c r="B10" s="3" t="s">
        <v>7</v>
      </c>
      <c r="C10" s="3" t="s">
        <v>15</v>
      </c>
      <c r="D10" s="4">
        <v>2</v>
      </c>
      <c r="E10" s="4">
        <v>30000</v>
      </c>
      <c r="F10" s="4">
        <v>60000</v>
      </c>
    </row>
    <row r="11" spans="1:6" ht="15">
      <c r="A11" s="3" t="s">
        <v>6</v>
      </c>
      <c r="B11" s="3" t="s">
        <v>7</v>
      </c>
      <c r="C11" s="3" t="s">
        <v>8</v>
      </c>
      <c r="D11" s="4">
        <v>4</v>
      </c>
      <c r="E11" s="4">
        <v>20000</v>
      </c>
      <c r="F11" s="4">
        <v>80000</v>
      </c>
    </row>
    <row r="12" spans="1:6" ht="15">
      <c r="A12" s="3" t="s">
        <v>25</v>
      </c>
      <c r="B12" s="3" t="s">
        <v>7</v>
      </c>
      <c r="C12" s="3" t="s">
        <v>8</v>
      </c>
      <c r="D12" s="4">
        <v>3</v>
      </c>
      <c r="E12" s="4">
        <v>25000</v>
      </c>
      <c r="F12" s="4">
        <v>75000</v>
      </c>
    </row>
    <row r="13" spans="1:6" ht="15">
      <c r="A13" s="3" t="s">
        <v>22</v>
      </c>
      <c r="B13" s="3" t="s">
        <v>7</v>
      </c>
      <c r="C13" s="3" t="s">
        <v>15</v>
      </c>
      <c r="D13" s="4">
        <v>1</v>
      </c>
      <c r="E13" s="4">
        <v>25000</v>
      </c>
      <c r="F13" s="4">
        <v>25000</v>
      </c>
    </row>
    <row r="14" spans="1:6" ht="15">
      <c r="A14" s="2">
        <v>45666</v>
      </c>
      <c r="B14" s="3" t="s">
        <v>7</v>
      </c>
      <c r="C14" s="3" t="s">
        <v>13</v>
      </c>
      <c r="D14" s="4">
        <v>3</v>
      </c>
      <c r="E14" s="4">
        <v>30000</v>
      </c>
      <c r="F14" s="4">
        <v>90000</v>
      </c>
    </row>
    <row r="15" spans="1:6" ht="15">
      <c r="A15" s="2">
        <v>45756</v>
      </c>
      <c r="B15" s="3" t="s">
        <v>7</v>
      </c>
      <c r="C15" s="3" t="s">
        <v>16</v>
      </c>
      <c r="D15" s="4">
        <v>3</v>
      </c>
      <c r="E15" s="4">
        <v>28000</v>
      </c>
      <c r="F15" s="4">
        <v>84000</v>
      </c>
    </row>
    <row r="16" spans="1:6" ht="15">
      <c r="A16" s="3" t="s">
        <v>28</v>
      </c>
      <c r="B16" s="3" t="s">
        <v>7</v>
      </c>
      <c r="C16" s="3" t="s">
        <v>12</v>
      </c>
      <c r="D16" s="4">
        <v>1</v>
      </c>
      <c r="E16" s="4">
        <v>35000</v>
      </c>
      <c r="F16" s="4">
        <v>35000</v>
      </c>
    </row>
    <row r="17" spans="1:6" ht="15">
      <c r="A17" s="3" t="s">
        <v>22</v>
      </c>
      <c r="B17" s="3" t="s">
        <v>7</v>
      </c>
      <c r="C17" s="3" t="s">
        <v>12</v>
      </c>
      <c r="D17" s="4">
        <v>1</v>
      </c>
      <c r="E17" s="4">
        <v>28000</v>
      </c>
      <c r="F17" s="4">
        <v>28000</v>
      </c>
    </row>
    <row r="18" spans="1:6" ht="15">
      <c r="A18" s="3" t="s">
        <v>18</v>
      </c>
      <c r="B18" s="3" t="s">
        <v>7</v>
      </c>
      <c r="C18" s="3" t="s">
        <v>16</v>
      </c>
      <c r="D18" s="4">
        <v>2</v>
      </c>
      <c r="E18" s="4">
        <v>35000</v>
      </c>
      <c r="F18" s="4">
        <v>70000</v>
      </c>
    </row>
    <row r="19" spans="1:6" ht="15">
      <c r="A19" s="3" t="s">
        <v>10</v>
      </c>
      <c r="B19" s="3" t="s">
        <v>7</v>
      </c>
      <c r="C19" s="3" t="s">
        <v>13</v>
      </c>
      <c r="D19" s="4">
        <v>1</v>
      </c>
      <c r="E19" s="4">
        <v>35000</v>
      </c>
      <c r="F19" s="4">
        <v>35000</v>
      </c>
    </row>
    <row r="20" spans="1:6" ht="15">
      <c r="A20" s="2">
        <v>45756</v>
      </c>
      <c r="B20" s="3" t="s">
        <v>7</v>
      </c>
      <c r="C20" s="3" t="s">
        <v>15</v>
      </c>
      <c r="D20" s="4">
        <v>5</v>
      </c>
      <c r="E20" s="4">
        <v>30000</v>
      </c>
      <c r="F20" s="4">
        <v>150000</v>
      </c>
    </row>
    <row r="21" spans="1:6" ht="15">
      <c r="A21" s="3" t="s">
        <v>19</v>
      </c>
      <c r="B21" s="3" t="s">
        <v>7</v>
      </c>
      <c r="C21" s="3" t="s">
        <v>8</v>
      </c>
      <c r="D21" s="4">
        <v>3</v>
      </c>
      <c r="E21" s="4">
        <v>35000</v>
      </c>
      <c r="F21" s="4">
        <v>105000</v>
      </c>
    </row>
    <row r="22" spans="1:6" ht="15">
      <c r="A22" s="3" t="s">
        <v>24</v>
      </c>
      <c r="B22" s="3" t="s">
        <v>7</v>
      </c>
      <c r="C22" s="3" t="s">
        <v>8</v>
      </c>
      <c r="D22" s="4">
        <v>5</v>
      </c>
      <c r="E22" s="4">
        <v>30000</v>
      </c>
      <c r="F22" s="4">
        <v>150000</v>
      </c>
    </row>
    <row r="23" spans="1:6" ht="15">
      <c r="A23" s="3" t="s">
        <v>24</v>
      </c>
      <c r="B23" s="3" t="s">
        <v>7</v>
      </c>
      <c r="C23" s="3" t="s">
        <v>15</v>
      </c>
      <c r="D23" s="4">
        <v>1</v>
      </c>
      <c r="E23" s="4">
        <v>28000</v>
      </c>
      <c r="F23" s="4">
        <v>28000</v>
      </c>
    </row>
    <row r="24" spans="1:6" ht="15">
      <c r="A24" s="3" t="s">
        <v>19</v>
      </c>
      <c r="B24" s="3" t="s">
        <v>7</v>
      </c>
      <c r="C24" s="3" t="s">
        <v>13</v>
      </c>
      <c r="D24" s="4">
        <v>1</v>
      </c>
      <c r="E24" s="4">
        <v>28000</v>
      </c>
      <c r="F24" s="4">
        <v>28000</v>
      </c>
    </row>
    <row r="25" spans="1:6" ht="15">
      <c r="A25" s="3" t="s">
        <v>20</v>
      </c>
      <c r="B25" s="3" t="s">
        <v>7</v>
      </c>
      <c r="C25" s="3" t="s">
        <v>16</v>
      </c>
      <c r="D25" s="4">
        <v>1</v>
      </c>
      <c r="E25" s="4">
        <v>25000</v>
      </c>
      <c r="F25" s="4">
        <v>25000</v>
      </c>
    </row>
    <row r="26" spans="1:6" ht="15">
      <c r="A26" s="3" t="s">
        <v>21</v>
      </c>
      <c r="B26" s="3" t="s">
        <v>7</v>
      </c>
      <c r="C26" s="3" t="s">
        <v>12</v>
      </c>
      <c r="D26" s="4">
        <v>1</v>
      </c>
      <c r="E26" s="4">
        <v>20000</v>
      </c>
      <c r="F26" s="4">
        <v>20000</v>
      </c>
    </row>
    <row r="27" spans="1:6" ht="15">
      <c r="A27" s="2">
        <v>45939</v>
      </c>
      <c r="B27" s="3" t="s">
        <v>7</v>
      </c>
      <c r="C27" s="3" t="s">
        <v>12</v>
      </c>
      <c r="D27" s="4">
        <v>3</v>
      </c>
      <c r="E27" s="4">
        <v>35000</v>
      </c>
      <c r="F27" s="4">
        <v>105000</v>
      </c>
    </row>
    <row r="28" spans="1:6" ht="15">
      <c r="A28" s="3" t="s">
        <v>25</v>
      </c>
      <c r="B28" s="3" t="s">
        <v>7</v>
      </c>
      <c r="C28" s="3" t="s">
        <v>16</v>
      </c>
      <c r="D28" s="4">
        <v>2</v>
      </c>
      <c r="E28" s="4">
        <v>28000</v>
      </c>
      <c r="F28" s="4">
        <v>56000</v>
      </c>
    </row>
    <row r="29" spans="1:6" ht="15">
      <c r="A29" s="3" t="s">
        <v>21</v>
      </c>
      <c r="B29" s="3" t="s">
        <v>7</v>
      </c>
      <c r="C29" s="3" t="s">
        <v>13</v>
      </c>
      <c r="D29" s="4">
        <v>2</v>
      </c>
      <c r="E29" s="4">
        <v>35000</v>
      </c>
      <c r="F29" s="4">
        <v>70000</v>
      </c>
    </row>
    <row r="30" spans="1:6" ht="15">
      <c r="A30" s="2">
        <v>45878</v>
      </c>
      <c r="B30" s="3" t="s">
        <v>7</v>
      </c>
      <c r="C30" s="3" t="s">
        <v>15</v>
      </c>
      <c r="D30" s="4">
        <v>4</v>
      </c>
      <c r="E30" s="4">
        <v>25000</v>
      </c>
      <c r="F30" s="4">
        <v>100000</v>
      </c>
    </row>
    <row r="31" spans="1:6" ht="15">
      <c r="A31" s="3" t="s">
        <v>10</v>
      </c>
      <c r="B31" s="3" t="s">
        <v>7</v>
      </c>
      <c r="C31" s="3" t="s">
        <v>8</v>
      </c>
      <c r="D31" s="4">
        <v>1</v>
      </c>
      <c r="E31" s="4">
        <v>30000</v>
      </c>
      <c r="F31" s="4">
        <v>30000</v>
      </c>
    </row>
    <row r="32" spans="1:6" ht="15">
      <c r="A32" s="3" t="s">
        <v>23</v>
      </c>
      <c r="B32" s="3" t="s">
        <v>7</v>
      </c>
      <c r="C32" s="3" t="s">
        <v>8</v>
      </c>
      <c r="D32" s="4">
        <v>4</v>
      </c>
      <c r="E32" s="4">
        <v>20000</v>
      </c>
      <c r="F32" s="4">
        <v>80000</v>
      </c>
    </row>
    <row r="33" spans="1:6" ht="15">
      <c r="A33" s="3" t="s">
        <v>10</v>
      </c>
      <c r="B33" s="3" t="s">
        <v>7</v>
      </c>
      <c r="C33" s="3" t="s">
        <v>15</v>
      </c>
      <c r="D33" s="4">
        <v>3</v>
      </c>
      <c r="E33" s="4">
        <v>30000</v>
      </c>
      <c r="F33" s="4">
        <v>90000</v>
      </c>
    </row>
    <row r="34" spans="1:6" ht="15">
      <c r="A34" s="3" t="s">
        <v>31</v>
      </c>
      <c r="B34" s="3" t="s">
        <v>7</v>
      </c>
      <c r="C34" s="3" t="s">
        <v>13</v>
      </c>
      <c r="D34" s="4">
        <v>3</v>
      </c>
      <c r="E34" s="4">
        <v>30000</v>
      </c>
      <c r="F34" s="4">
        <v>90000</v>
      </c>
    </row>
    <row r="35" spans="1:6" ht="15">
      <c r="A35" s="3" t="s">
        <v>21</v>
      </c>
      <c r="B35" s="3" t="s">
        <v>7</v>
      </c>
      <c r="C35" s="3" t="s">
        <v>16</v>
      </c>
      <c r="D35" s="4">
        <v>1</v>
      </c>
      <c r="E35" s="4">
        <v>20000</v>
      </c>
      <c r="F35" s="4">
        <v>20000</v>
      </c>
    </row>
    <row r="36" spans="1:6" ht="15">
      <c r="A36" s="3" t="s">
        <v>22</v>
      </c>
      <c r="B36" s="3" t="s">
        <v>7</v>
      </c>
      <c r="C36" s="3" t="s">
        <v>12</v>
      </c>
      <c r="D36" s="4">
        <v>1</v>
      </c>
      <c r="E36" s="4">
        <v>35000</v>
      </c>
      <c r="F36" s="4">
        <v>35000</v>
      </c>
    </row>
    <row r="37" spans="1:6" ht="15">
      <c r="A37" s="2">
        <v>45786</v>
      </c>
      <c r="B37" s="3" t="s">
        <v>7</v>
      </c>
      <c r="C37" s="3" t="s">
        <v>12</v>
      </c>
      <c r="D37" s="4">
        <v>5</v>
      </c>
      <c r="E37" s="4">
        <v>20000</v>
      </c>
      <c r="F37" s="4">
        <v>100000</v>
      </c>
    </row>
    <row r="38" spans="1:6" ht="15">
      <c r="A38" s="3" t="s">
        <v>28</v>
      </c>
      <c r="B38" s="3" t="s">
        <v>7</v>
      </c>
      <c r="C38" s="3" t="s">
        <v>16</v>
      </c>
      <c r="D38" s="4">
        <v>2</v>
      </c>
      <c r="E38" s="4">
        <v>35000</v>
      </c>
      <c r="F38" s="4">
        <v>70000</v>
      </c>
    </row>
    <row r="39" spans="1:6" ht="15">
      <c r="A39" s="2">
        <v>45725</v>
      </c>
      <c r="B39" s="3" t="s">
        <v>7</v>
      </c>
      <c r="C39" s="3" t="s">
        <v>13</v>
      </c>
      <c r="D39" s="4">
        <v>3</v>
      </c>
      <c r="E39" s="4">
        <v>30000</v>
      </c>
      <c r="F39" s="4">
        <v>90000</v>
      </c>
    </row>
    <row r="40" spans="1:6" ht="15">
      <c r="A40" s="2">
        <v>45697</v>
      </c>
      <c r="B40" s="3" t="s">
        <v>7</v>
      </c>
      <c r="C40" s="3" t="s">
        <v>15</v>
      </c>
      <c r="D40" s="4">
        <v>4</v>
      </c>
      <c r="E40" s="4">
        <v>25000</v>
      </c>
      <c r="F40" s="4">
        <v>100000</v>
      </c>
    </row>
    <row r="41" spans="1:6" ht="15">
      <c r="A41" s="3" t="s">
        <v>31</v>
      </c>
      <c r="B41" s="3" t="s">
        <v>7</v>
      </c>
      <c r="C41" s="3" t="s">
        <v>8</v>
      </c>
      <c r="D41" s="4">
        <v>1</v>
      </c>
      <c r="E41" s="4">
        <v>35000</v>
      </c>
      <c r="F41" s="4">
        <v>35000</v>
      </c>
    </row>
    <row r="42" spans="1:6" ht="15">
      <c r="A42" s="2">
        <v>45817</v>
      </c>
      <c r="B42" s="3" t="s">
        <v>7</v>
      </c>
      <c r="C42" s="3" t="s">
        <v>8</v>
      </c>
      <c r="D42" s="4">
        <v>2</v>
      </c>
      <c r="E42" s="4">
        <v>25000</v>
      </c>
      <c r="F42" s="4">
        <v>50000</v>
      </c>
    </row>
    <row r="43" spans="1:6" ht="15">
      <c r="A43" s="2">
        <v>45817</v>
      </c>
      <c r="B43" s="3" t="s">
        <v>7</v>
      </c>
      <c r="C43" s="3" t="s">
        <v>15</v>
      </c>
      <c r="D43" s="4">
        <v>1</v>
      </c>
      <c r="E43" s="4">
        <v>25000</v>
      </c>
      <c r="F43" s="4">
        <v>25000</v>
      </c>
    </row>
    <row r="44" spans="1:6" ht="15">
      <c r="A44" s="3" t="s">
        <v>19</v>
      </c>
      <c r="B44" s="3" t="s">
        <v>7</v>
      </c>
      <c r="C44" s="3" t="s">
        <v>13</v>
      </c>
      <c r="D44" s="4">
        <v>1</v>
      </c>
      <c r="E44" s="4">
        <v>25000</v>
      </c>
      <c r="F44" s="4">
        <v>25000</v>
      </c>
    </row>
    <row r="45" spans="1:6" ht="15">
      <c r="A45" s="2">
        <v>45817</v>
      </c>
      <c r="B45" s="3" t="s">
        <v>7</v>
      </c>
      <c r="C45" s="3" t="s">
        <v>16</v>
      </c>
      <c r="D45" s="4">
        <v>3</v>
      </c>
      <c r="E45" s="4">
        <v>25000</v>
      </c>
      <c r="F45" s="4">
        <v>75000</v>
      </c>
    </row>
    <row r="46" spans="1:6" ht="15">
      <c r="A46" s="3" t="s">
        <v>29</v>
      </c>
      <c r="B46" s="3" t="s">
        <v>7</v>
      </c>
      <c r="C46" s="3" t="s">
        <v>12</v>
      </c>
      <c r="D46" s="4">
        <v>4</v>
      </c>
      <c r="E46" s="4">
        <v>28000</v>
      </c>
      <c r="F46" s="4">
        <v>112000</v>
      </c>
    </row>
    <row r="47" spans="1:6" ht="15">
      <c r="A47" s="3" t="s">
        <v>29</v>
      </c>
      <c r="B47" s="3" t="s">
        <v>7</v>
      </c>
      <c r="C47" s="3" t="s">
        <v>12</v>
      </c>
      <c r="D47" s="4">
        <v>5</v>
      </c>
      <c r="E47" s="4">
        <v>30000</v>
      </c>
      <c r="F47" s="4">
        <v>150000</v>
      </c>
    </row>
    <row r="48" spans="1:6" ht="15">
      <c r="A48" s="2">
        <v>45786</v>
      </c>
      <c r="B48" s="3" t="s">
        <v>7</v>
      </c>
      <c r="C48" s="3" t="s">
        <v>16</v>
      </c>
      <c r="D48" s="4">
        <v>5</v>
      </c>
      <c r="E48" s="4">
        <v>28000</v>
      </c>
      <c r="F48" s="4">
        <v>140000</v>
      </c>
    </row>
    <row r="49" spans="1:6" ht="15">
      <c r="A49" s="3" t="s">
        <v>18</v>
      </c>
      <c r="B49" s="3" t="s">
        <v>7</v>
      </c>
      <c r="C49" s="3" t="s">
        <v>13</v>
      </c>
      <c r="D49" s="4">
        <v>1</v>
      </c>
      <c r="E49" s="4">
        <v>30000</v>
      </c>
      <c r="F49" s="4">
        <v>30000</v>
      </c>
    </row>
    <row r="50" spans="1:6" ht="15">
      <c r="A50" s="2">
        <v>45756</v>
      </c>
      <c r="B50" s="3" t="s">
        <v>7</v>
      </c>
      <c r="C50" s="3" t="s">
        <v>15</v>
      </c>
      <c r="D50" s="4">
        <v>1</v>
      </c>
      <c r="E50" s="4">
        <v>25000</v>
      </c>
      <c r="F50" s="4">
        <v>25000</v>
      </c>
    </row>
    <row r="51" spans="1:6" ht="15">
      <c r="A51" s="3" t="s">
        <v>32</v>
      </c>
      <c r="B51" s="3" t="s">
        <v>7</v>
      </c>
      <c r="C51" s="3" t="s">
        <v>8</v>
      </c>
      <c r="D51" s="4">
        <v>5</v>
      </c>
      <c r="E51" s="4">
        <v>35000</v>
      </c>
      <c r="F51" s="4">
        <v>175000</v>
      </c>
    </row>
    <row r="52" spans="1:6" ht="15">
      <c r="A52" s="3" t="s">
        <v>10</v>
      </c>
      <c r="B52" s="3" t="s">
        <v>7</v>
      </c>
      <c r="C52" s="3" t="s">
        <v>8</v>
      </c>
      <c r="D52" s="4">
        <v>5</v>
      </c>
      <c r="E52" s="4">
        <v>35000</v>
      </c>
      <c r="F52" s="4">
        <v>175000</v>
      </c>
    </row>
    <row r="53" spans="1:6" ht="15">
      <c r="A53" s="2">
        <v>45878</v>
      </c>
      <c r="B53" s="3" t="s">
        <v>7</v>
      </c>
      <c r="C53" s="3" t="s">
        <v>15</v>
      </c>
      <c r="D53" s="4">
        <v>1</v>
      </c>
      <c r="E53" s="4">
        <v>25000</v>
      </c>
      <c r="F53" s="4">
        <v>25000</v>
      </c>
    </row>
    <row r="54" spans="1:6" ht="15">
      <c r="A54" s="2">
        <v>45970</v>
      </c>
      <c r="B54" s="3" t="s">
        <v>7</v>
      </c>
      <c r="C54" s="3" t="s">
        <v>13</v>
      </c>
      <c r="D54" s="4">
        <v>3</v>
      </c>
      <c r="E54" s="4">
        <v>25000</v>
      </c>
      <c r="F54" s="4">
        <v>75000</v>
      </c>
    </row>
    <row r="55" spans="1:6" ht="15">
      <c r="A55" s="2">
        <v>45697</v>
      </c>
      <c r="B55" s="3" t="s">
        <v>7</v>
      </c>
      <c r="C55" s="3" t="s">
        <v>16</v>
      </c>
      <c r="D55" s="4">
        <v>1</v>
      </c>
      <c r="E55" s="4">
        <v>35000</v>
      </c>
      <c r="F55" s="4">
        <v>35000</v>
      </c>
    </row>
    <row r="56" spans="1:6" ht="15">
      <c r="A56" s="3" t="s">
        <v>32</v>
      </c>
      <c r="B56" s="3" t="s">
        <v>7</v>
      </c>
      <c r="C56" s="3" t="s">
        <v>12</v>
      </c>
      <c r="D56" s="4">
        <v>1</v>
      </c>
      <c r="E56" s="4">
        <v>28000</v>
      </c>
      <c r="F56" s="4">
        <v>28000</v>
      </c>
    </row>
    <row r="57" spans="1:6" ht="15">
      <c r="A57" s="2">
        <v>46000</v>
      </c>
      <c r="B57" s="3" t="s">
        <v>7</v>
      </c>
      <c r="C57" s="3" t="s">
        <v>12</v>
      </c>
      <c r="D57" s="4">
        <v>1</v>
      </c>
      <c r="E57" s="4">
        <v>35000</v>
      </c>
      <c r="F57" s="4">
        <v>35000</v>
      </c>
    </row>
    <row r="58" spans="1:6" ht="15">
      <c r="A58" s="2">
        <v>45697</v>
      </c>
      <c r="B58" s="3" t="s">
        <v>7</v>
      </c>
      <c r="C58" s="3" t="s">
        <v>16</v>
      </c>
      <c r="D58" s="4">
        <v>5</v>
      </c>
      <c r="E58" s="4">
        <v>30000</v>
      </c>
      <c r="F58" s="4">
        <v>150000</v>
      </c>
    </row>
    <row r="59" spans="1:6" ht="15">
      <c r="A59" s="3" t="s">
        <v>31</v>
      </c>
      <c r="B59" s="3" t="s">
        <v>7</v>
      </c>
      <c r="C59" s="3" t="s">
        <v>13</v>
      </c>
      <c r="D59" s="4">
        <v>4</v>
      </c>
      <c r="E59" s="4">
        <v>28000</v>
      </c>
      <c r="F59" s="4">
        <v>112000</v>
      </c>
    </row>
    <row r="60" spans="1:6" ht="15">
      <c r="A60" s="3" t="s">
        <v>6</v>
      </c>
      <c r="B60" s="3" t="s">
        <v>7</v>
      </c>
      <c r="C60" s="3" t="s">
        <v>15</v>
      </c>
      <c r="D60" s="4">
        <v>1</v>
      </c>
      <c r="E60" s="4">
        <v>28000</v>
      </c>
      <c r="F60" s="4">
        <v>28000</v>
      </c>
    </row>
    <row r="61" spans="1:6" ht="15">
      <c r="A61" s="2">
        <v>46000</v>
      </c>
      <c r="B61" s="3" t="s">
        <v>7</v>
      </c>
      <c r="C61" s="3" t="s">
        <v>8</v>
      </c>
      <c r="D61" s="4">
        <v>3</v>
      </c>
      <c r="E61" s="4">
        <v>30000</v>
      </c>
      <c r="F61" s="4">
        <v>90000</v>
      </c>
    </row>
    <row r="62" spans="1:6" ht="15">
      <c r="A62" s="3" t="s">
        <v>22</v>
      </c>
      <c r="B62" s="3" t="s">
        <v>7</v>
      </c>
      <c r="C62" s="3" t="s">
        <v>8</v>
      </c>
      <c r="D62" s="4">
        <v>5</v>
      </c>
      <c r="E62" s="4">
        <v>20000</v>
      </c>
      <c r="F62" s="4">
        <v>100000</v>
      </c>
    </row>
    <row r="63" spans="1:6" ht="15">
      <c r="A63" s="3" t="s">
        <v>25</v>
      </c>
      <c r="B63" s="3" t="s">
        <v>7</v>
      </c>
      <c r="C63" s="3" t="s">
        <v>15</v>
      </c>
      <c r="D63" s="4">
        <v>2</v>
      </c>
      <c r="E63" s="4">
        <v>28000</v>
      </c>
      <c r="F63" s="4">
        <v>56000</v>
      </c>
    </row>
    <row r="64" spans="1:6" ht="15">
      <c r="A64" s="3" t="s">
        <v>32</v>
      </c>
      <c r="B64" s="3" t="s">
        <v>7</v>
      </c>
      <c r="C64" s="3" t="s">
        <v>13</v>
      </c>
      <c r="D64" s="4">
        <v>4</v>
      </c>
      <c r="E64" s="4">
        <v>28000</v>
      </c>
      <c r="F64" s="4">
        <v>112000</v>
      </c>
    </row>
    <row r="65" spans="1:6" ht="15">
      <c r="A65" s="3" t="s">
        <v>31</v>
      </c>
      <c r="B65" s="3" t="s">
        <v>7</v>
      </c>
      <c r="C65" s="3" t="s">
        <v>16</v>
      </c>
      <c r="D65" s="4">
        <v>4</v>
      </c>
      <c r="E65" s="4">
        <v>25000</v>
      </c>
      <c r="F65" s="4">
        <v>100000</v>
      </c>
    </row>
    <row r="66" spans="1:6" ht="15">
      <c r="A66" s="2">
        <v>45786</v>
      </c>
      <c r="B66" s="3" t="s">
        <v>7</v>
      </c>
      <c r="C66" s="3" t="s">
        <v>12</v>
      </c>
      <c r="D66" s="4">
        <v>4</v>
      </c>
      <c r="E66" s="4">
        <v>28000</v>
      </c>
      <c r="F66" s="4">
        <v>112000</v>
      </c>
    </row>
    <row r="67" spans="1:6" ht="15">
      <c r="A67" s="3" t="s">
        <v>31</v>
      </c>
      <c r="B67" s="3" t="s">
        <v>7</v>
      </c>
      <c r="C67" s="3" t="s">
        <v>8</v>
      </c>
      <c r="D67" s="4">
        <v>4</v>
      </c>
      <c r="E67" s="4">
        <v>28000</v>
      </c>
      <c r="F67" s="4">
        <v>112000</v>
      </c>
    </row>
    <row r="68" spans="1:6" ht="15">
      <c r="A68" s="3" t="s">
        <v>29</v>
      </c>
      <c r="B68" s="3" t="s">
        <v>7</v>
      </c>
      <c r="C68" s="3" t="s">
        <v>15</v>
      </c>
      <c r="D68" s="4">
        <v>1</v>
      </c>
      <c r="E68" s="4">
        <v>25000</v>
      </c>
      <c r="F68" s="4">
        <v>25000</v>
      </c>
    </row>
    <row r="69" spans="1:6" ht="15">
      <c r="A69" s="3" t="s">
        <v>17</v>
      </c>
      <c r="B69" s="3" t="s">
        <v>7</v>
      </c>
      <c r="C69" s="3" t="s">
        <v>13</v>
      </c>
      <c r="D69" s="4">
        <v>1</v>
      </c>
      <c r="E69" s="4">
        <v>35000</v>
      </c>
      <c r="F69" s="4">
        <v>35000</v>
      </c>
    </row>
    <row r="70" spans="1:6" ht="15">
      <c r="A70" s="2">
        <v>45909</v>
      </c>
      <c r="B70" s="3" t="s">
        <v>7</v>
      </c>
      <c r="C70" s="3" t="s">
        <v>16</v>
      </c>
      <c r="D70" s="4">
        <v>3</v>
      </c>
      <c r="E70" s="4">
        <v>25000</v>
      </c>
      <c r="F70" s="4">
        <v>75000</v>
      </c>
    </row>
    <row r="71" spans="1:6" ht="15">
      <c r="A71" s="3" t="s">
        <v>20</v>
      </c>
      <c r="B71" s="3" t="s">
        <v>7</v>
      </c>
      <c r="C71" s="3" t="s">
        <v>12</v>
      </c>
      <c r="D71" s="4">
        <v>1</v>
      </c>
      <c r="E71" s="4">
        <v>28000</v>
      </c>
      <c r="F71" s="4">
        <v>28000</v>
      </c>
    </row>
    <row r="72" spans="1:6" ht="15">
      <c r="A72" s="3" t="s">
        <v>20</v>
      </c>
      <c r="B72" s="3" t="s">
        <v>7</v>
      </c>
      <c r="C72" s="3" t="s">
        <v>8</v>
      </c>
      <c r="D72" s="4">
        <v>3</v>
      </c>
      <c r="E72" s="4">
        <v>30000</v>
      </c>
      <c r="F72" s="4">
        <v>90000</v>
      </c>
    </row>
    <row r="73" spans="1:6" ht="15">
      <c r="A73" s="3" t="s">
        <v>20</v>
      </c>
      <c r="B73" s="3" t="s">
        <v>7</v>
      </c>
      <c r="C73" s="3" t="s">
        <v>15</v>
      </c>
      <c r="D73" s="4">
        <v>1</v>
      </c>
      <c r="E73" s="4">
        <v>20000</v>
      </c>
      <c r="F73" s="4">
        <v>20000</v>
      </c>
    </row>
    <row r="74" spans="1:6" ht="15">
      <c r="A74" s="2">
        <v>45847</v>
      </c>
      <c r="B74" s="3" t="s">
        <v>7</v>
      </c>
      <c r="C74" s="3" t="s">
        <v>13</v>
      </c>
      <c r="D74" s="4">
        <v>5</v>
      </c>
      <c r="E74" s="4">
        <v>20000</v>
      </c>
      <c r="F74" s="4">
        <v>100000</v>
      </c>
    </row>
    <row r="75" spans="1:6" ht="15">
      <c r="A75" s="3" t="s">
        <v>32</v>
      </c>
      <c r="B75" s="3" t="s">
        <v>7</v>
      </c>
      <c r="C75" s="3" t="s">
        <v>16</v>
      </c>
      <c r="D75" s="4">
        <v>4</v>
      </c>
      <c r="E75" s="4">
        <v>25000</v>
      </c>
      <c r="F75" s="4">
        <v>100000</v>
      </c>
    </row>
    <row r="76" spans="1:6" ht="15">
      <c r="A76" s="2">
        <v>45817</v>
      </c>
      <c r="B76" s="3" t="s">
        <v>7</v>
      </c>
      <c r="C76" s="3" t="s">
        <v>12</v>
      </c>
      <c r="D76" s="4">
        <v>1</v>
      </c>
      <c r="E76" s="4">
        <v>20000</v>
      </c>
      <c r="F76" s="4">
        <v>20000</v>
      </c>
    </row>
    <row r="77" spans="1:6" ht="15">
      <c r="A77" s="2">
        <v>45725</v>
      </c>
      <c r="B77" s="3" t="s">
        <v>7</v>
      </c>
      <c r="C77" s="3" t="s">
        <v>8</v>
      </c>
      <c r="D77" s="4">
        <v>4</v>
      </c>
      <c r="E77" s="4">
        <v>25000</v>
      </c>
      <c r="F77" s="4">
        <v>100000</v>
      </c>
    </row>
    <row r="78" spans="1:6" ht="15">
      <c r="A78" s="3" t="s">
        <v>23</v>
      </c>
      <c r="B78" s="3" t="s">
        <v>7</v>
      </c>
      <c r="C78" s="3" t="s">
        <v>15</v>
      </c>
      <c r="D78" s="4">
        <v>1</v>
      </c>
      <c r="E78" s="4">
        <v>30000</v>
      </c>
      <c r="F78" s="4">
        <v>30000</v>
      </c>
    </row>
    <row r="79" spans="1:6" ht="15">
      <c r="A79" s="3" t="s">
        <v>20</v>
      </c>
      <c r="B79" s="3" t="s">
        <v>7</v>
      </c>
      <c r="C79" s="3" t="s">
        <v>13</v>
      </c>
      <c r="D79" s="4">
        <v>1</v>
      </c>
      <c r="E79" s="4">
        <v>35000</v>
      </c>
      <c r="F79" s="4">
        <v>35000</v>
      </c>
    </row>
    <row r="80" spans="1:6" ht="15">
      <c r="A80" s="2">
        <v>45666</v>
      </c>
      <c r="B80" s="3" t="s">
        <v>7</v>
      </c>
      <c r="C80" s="3" t="s">
        <v>16</v>
      </c>
      <c r="D80" s="4">
        <v>5</v>
      </c>
      <c r="E80" s="4">
        <v>20000</v>
      </c>
      <c r="F80" s="4">
        <v>100000</v>
      </c>
    </row>
    <row r="81" spans="1:6" ht="15">
      <c r="A81" s="2">
        <v>45786</v>
      </c>
      <c r="B81" s="3" t="s">
        <v>7</v>
      </c>
      <c r="C81" s="3" t="s">
        <v>12</v>
      </c>
      <c r="D81" s="4">
        <v>5</v>
      </c>
      <c r="E81" s="4">
        <v>30000</v>
      </c>
      <c r="F81" s="4">
        <v>150000</v>
      </c>
    </row>
    <row r="82" spans="1:6" ht="15">
      <c r="A82" s="3" t="s">
        <v>31</v>
      </c>
      <c r="B82" s="3" t="s">
        <v>7</v>
      </c>
      <c r="C82" s="3" t="s">
        <v>13</v>
      </c>
      <c r="D82" s="4">
        <v>2</v>
      </c>
      <c r="E82" s="4">
        <v>35000</v>
      </c>
      <c r="F82" s="4">
        <v>70000</v>
      </c>
    </row>
    <row r="83" spans="1:6" ht="15">
      <c r="A83" s="2">
        <v>45847</v>
      </c>
      <c r="B83" s="3" t="s">
        <v>7</v>
      </c>
      <c r="C83" s="3" t="s">
        <v>16</v>
      </c>
      <c r="D83" s="4">
        <v>2</v>
      </c>
      <c r="E83" s="4">
        <v>28000</v>
      </c>
      <c r="F83" s="4">
        <v>56000</v>
      </c>
    </row>
    <row r="84" spans="1:6" ht="15">
      <c r="A84" s="3" t="s">
        <v>28</v>
      </c>
      <c r="B84" s="3" t="s">
        <v>7</v>
      </c>
      <c r="C84" s="3" t="s">
        <v>12</v>
      </c>
      <c r="D84" s="4">
        <v>3</v>
      </c>
      <c r="E84" s="4">
        <v>28000</v>
      </c>
      <c r="F84" s="4">
        <v>84000</v>
      </c>
    </row>
    <row r="85" spans="1:6" ht="15">
      <c r="A85" s="3" t="s">
        <v>28</v>
      </c>
      <c r="B85" s="3" t="s">
        <v>7</v>
      </c>
      <c r="C85" s="3" t="s">
        <v>8</v>
      </c>
      <c r="D85" s="4">
        <v>2</v>
      </c>
      <c r="E85" s="4">
        <v>30000</v>
      </c>
      <c r="F85" s="4">
        <v>60000</v>
      </c>
    </row>
    <row r="86" spans="1:6" ht="15">
      <c r="A86" s="3" t="s">
        <v>28</v>
      </c>
      <c r="B86" s="3" t="s">
        <v>7</v>
      </c>
      <c r="C86" s="3" t="s">
        <v>15</v>
      </c>
      <c r="D86" s="4">
        <v>4</v>
      </c>
      <c r="E86" s="4">
        <v>28000</v>
      </c>
      <c r="F86" s="4">
        <v>112000</v>
      </c>
    </row>
    <row r="87" spans="1:6" ht="15">
      <c r="A87" s="2">
        <v>45756</v>
      </c>
      <c r="B87" s="3" t="s">
        <v>7</v>
      </c>
      <c r="C87" s="3" t="s">
        <v>13</v>
      </c>
      <c r="D87" s="4">
        <v>1</v>
      </c>
      <c r="E87" s="4">
        <v>25000</v>
      </c>
      <c r="F87" s="4">
        <v>25000</v>
      </c>
    </row>
    <row r="88" spans="1:6" ht="15">
      <c r="A88" s="3" t="s">
        <v>22</v>
      </c>
      <c r="B88" s="3" t="s">
        <v>7</v>
      </c>
      <c r="C88" s="3" t="s">
        <v>16</v>
      </c>
      <c r="D88" s="4">
        <v>3</v>
      </c>
      <c r="E88" s="4">
        <v>20000</v>
      </c>
      <c r="F88" s="4">
        <v>60000</v>
      </c>
    </row>
    <row r="89" spans="1:6" ht="15">
      <c r="A89" s="3" t="s">
        <v>20</v>
      </c>
      <c r="B89" s="3" t="s">
        <v>7</v>
      </c>
      <c r="C89" s="3" t="s">
        <v>12</v>
      </c>
      <c r="D89" s="4">
        <v>2</v>
      </c>
      <c r="E89" s="4">
        <v>20000</v>
      </c>
      <c r="F89" s="4">
        <v>40000</v>
      </c>
    </row>
    <row r="90" spans="1:6" ht="15">
      <c r="A90" s="3" t="s">
        <v>21</v>
      </c>
      <c r="B90" s="3" t="s">
        <v>7</v>
      </c>
      <c r="C90" s="3" t="s">
        <v>8</v>
      </c>
      <c r="D90" s="4">
        <v>4</v>
      </c>
      <c r="E90" s="4">
        <v>35000</v>
      </c>
      <c r="F90" s="4">
        <v>140000</v>
      </c>
    </row>
    <row r="91" spans="1:6" ht="15">
      <c r="A91" s="2">
        <v>45847</v>
      </c>
      <c r="B91" s="3" t="s">
        <v>7</v>
      </c>
      <c r="C91" s="3" t="s">
        <v>15</v>
      </c>
      <c r="D91" s="4">
        <v>1</v>
      </c>
      <c r="E91" s="4">
        <v>35000</v>
      </c>
      <c r="F91" s="4">
        <v>35000</v>
      </c>
    </row>
    <row r="92" spans="1:6" ht="15">
      <c r="A92" s="3" t="s">
        <v>18</v>
      </c>
      <c r="B92" s="3" t="s">
        <v>7</v>
      </c>
      <c r="C92" s="3" t="s">
        <v>13</v>
      </c>
      <c r="D92" s="4">
        <v>5</v>
      </c>
      <c r="E92" s="4">
        <v>20000</v>
      </c>
      <c r="F92" s="4">
        <v>100000</v>
      </c>
    </row>
    <row r="93" spans="1:6" ht="15">
      <c r="A93" s="2">
        <v>45697</v>
      </c>
      <c r="B93" s="3" t="s">
        <v>7</v>
      </c>
      <c r="C93" s="3" t="s">
        <v>16</v>
      </c>
      <c r="D93" s="4">
        <v>1</v>
      </c>
      <c r="E93" s="4">
        <v>28000</v>
      </c>
      <c r="F93" s="4">
        <v>28000</v>
      </c>
    </row>
    <row r="94" spans="1:6" ht="15">
      <c r="A94" s="2">
        <v>45970</v>
      </c>
      <c r="B94" s="3" t="s">
        <v>7</v>
      </c>
      <c r="C94" s="3" t="s">
        <v>12</v>
      </c>
      <c r="D94" s="4">
        <v>3</v>
      </c>
      <c r="E94" s="4">
        <v>30000</v>
      </c>
      <c r="F94" s="4">
        <v>90000</v>
      </c>
    </row>
    <row r="95" spans="1:6" ht="15">
      <c r="A95" s="2">
        <v>45847</v>
      </c>
      <c r="B95" s="3" t="s">
        <v>7</v>
      </c>
      <c r="C95" s="3" t="s">
        <v>16</v>
      </c>
      <c r="D95" s="4">
        <v>3</v>
      </c>
      <c r="E95" s="4">
        <v>28000</v>
      </c>
      <c r="F95" s="4">
        <v>84000</v>
      </c>
    </row>
    <row r="96" spans="1:6" ht="15">
      <c r="A96" s="2">
        <v>45878</v>
      </c>
      <c r="B96" s="3" t="s">
        <v>7</v>
      </c>
      <c r="C96" s="3" t="s">
        <v>12</v>
      </c>
      <c r="D96" s="4">
        <v>4</v>
      </c>
      <c r="E96" s="4">
        <v>28000</v>
      </c>
      <c r="F96" s="4">
        <v>112000</v>
      </c>
    </row>
    <row r="97" spans="1:6" ht="15">
      <c r="A97" s="3" t="s">
        <v>30</v>
      </c>
      <c r="B97" s="3" t="s">
        <v>7</v>
      </c>
      <c r="C97" s="3" t="s">
        <v>8</v>
      </c>
      <c r="D97" s="4">
        <v>1</v>
      </c>
      <c r="E97" s="4">
        <v>35000</v>
      </c>
      <c r="F97" s="4">
        <v>35000</v>
      </c>
    </row>
    <row r="98" spans="1:6" ht="15">
      <c r="A98" s="2">
        <v>45970</v>
      </c>
      <c r="B98" s="3" t="s">
        <v>7</v>
      </c>
      <c r="C98" s="3" t="s">
        <v>15</v>
      </c>
      <c r="D98" s="4">
        <v>1</v>
      </c>
      <c r="E98" s="4">
        <v>20000</v>
      </c>
      <c r="F98" s="4">
        <v>20000</v>
      </c>
    </row>
    <row r="99" spans="1:6" ht="15">
      <c r="A99" s="3" t="s">
        <v>30</v>
      </c>
      <c r="B99" s="3" t="s">
        <v>7</v>
      </c>
      <c r="C99" s="3" t="s">
        <v>13</v>
      </c>
      <c r="D99" s="4">
        <v>4</v>
      </c>
      <c r="E99" s="4">
        <v>30000</v>
      </c>
      <c r="F99" s="4">
        <v>120000</v>
      </c>
    </row>
    <row r="100" spans="1:6" ht="15">
      <c r="A100" s="3" t="s">
        <v>18</v>
      </c>
      <c r="B100" s="3" t="s">
        <v>7</v>
      </c>
      <c r="C100" s="3" t="s">
        <v>16</v>
      </c>
      <c r="D100" s="4">
        <v>2</v>
      </c>
      <c r="E100" s="4">
        <v>20000</v>
      </c>
      <c r="F100" s="4">
        <v>40000</v>
      </c>
    </row>
    <row r="101" spans="1:6" ht="15">
      <c r="A101" s="3" t="s">
        <v>29</v>
      </c>
      <c r="B101" s="3" t="s">
        <v>7</v>
      </c>
      <c r="C101" s="3" t="s">
        <v>12</v>
      </c>
      <c r="D101" s="4">
        <v>1</v>
      </c>
      <c r="E101" s="4">
        <v>30000</v>
      </c>
      <c r="F101" s="4">
        <v>30000</v>
      </c>
    </row>
    <row r="102" spans="1:6" ht="15">
      <c r="A102" s="3" t="s">
        <v>22</v>
      </c>
      <c r="B102" s="3" t="s">
        <v>7</v>
      </c>
      <c r="C102" s="3" t="s">
        <v>13</v>
      </c>
      <c r="D102" s="4">
        <v>1</v>
      </c>
      <c r="E102" s="4">
        <v>30000</v>
      </c>
      <c r="F102" s="4">
        <v>30000</v>
      </c>
    </row>
    <row r="103" spans="1:6" ht="15">
      <c r="A103" s="3" t="s">
        <v>21</v>
      </c>
      <c r="B103" s="3" t="s">
        <v>7</v>
      </c>
      <c r="C103" s="3" t="s">
        <v>16</v>
      </c>
      <c r="D103" s="4">
        <v>3</v>
      </c>
      <c r="E103" s="4">
        <v>35000</v>
      </c>
      <c r="F103" s="4">
        <v>105000</v>
      </c>
    </row>
    <row r="104" spans="1:6" ht="15">
      <c r="A104" s="2">
        <v>45756</v>
      </c>
      <c r="B104" s="3" t="s">
        <v>7</v>
      </c>
      <c r="C104" s="3" t="s">
        <v>12</v>
      </c>
      <c r="D104" s="4">
        <v>5</v>
      </c>
      <c r="E104" s="4">
        <v>35000</v>
      </c>
      <c r="F104" s="4">
        <v>175000</v>
      </c>
    </row>
    <row r="105" spans="1:6" ht="15">
      <c r="A105" s="3" t="s">
        <v>31</v>
      </c>
      <c r="B105" s="3" t="s">
        <v>7</v>
      </c>
      <c r="C105" s="3" t="s">
        <v>8</v>
      </c>
      <c r="D105" s="4">
        <v>5</v>
      </c>
      <c r="E105" s="4">
        <v>35000</v>
      </c>
      <c r="F105" s="4">
        <v>175000</v>
      </c>
    </row>
    <row r="106" spans="1:6" ht="15">
      <c r="A106" s="2">
        <v>45878</v>
      </c>
      <c r="B106" s="3" t="s">
        <v>7</v>
      </c>
      <c r="C106" s="3" t="s">
        <v>15</v>
      </c>
      <c r="D106" s="4">
        <v>3</v>
      </c>
      <c r="E106" s="4">
        <v>35000</v>
      </c>
      <c r="F106" s="4">
        <v>105000</v>
      </c>
    </row>
    <row r="107" spans="1:6" ht="15">
      <c r="A107" s="3" t="s">
        <v>19</v>
      </c>
      <c r="B107" s="3" t="s">
        <v>7</v>
      </c>
      <c r="C107" s="3" t="s">
        <v>13</v>
      </c>
      <c r="D107" s="4">
        <v>5</v>
      </c>
      <c r="E107" s="4">
        <v>35000</v>
      </c>
      <c r="F107" s="4">
        <v>175000</v>
      </c>
    </row>
    <row r="108" spans="1:6" ht="15">
      <c r="A108" s="2">
        <v>45939</v>
      </c>
      <c r="B108" s="3" t="s">
        <v>7</v>
      </c>
      <c r="C108" s="3" t="s">
        <v>16</v>
      </c>
      <c r="D108" s="4">
        <v>1</v>
      </c>
      <c r="E108" s="4">
        <v>30000</v>
      </c>
      <c r="F108" s="4">
        <v>30000</v>
      </c>
    </row>
    <row r="109" spans="1:6" ht="15">
      <c r="A109" s="3" t="s">
        <v>18</v>
      </c>
      <c r="B109" s="3" t="s">
        <v>7</v>
      </c>
      <c r="C109" s="3" t="s">
        <v>12</v>
      </c>
      <c r="D109" s="4">
        <v>1</v>
      </c>
      <c r="E109" s="4">
        <v>35000</v>
      </c>
      <c r="F109" s="4">
        <v>35000</v>
      </c>
    </row>
    <row r="110" spans="1:6" ht="15">
      <c r="A110" s="2">
        <v>45878</v>
      </c>
      <c r="B110" s="3" t="s">
        <v>7</v>
      </c>
      <c r="C110" s="3" t="s">
        <v>8</v>
      </c>
      <c r="D110" s="4">
        <v>4</v>
      </c>
      <c r="E110" s="4">
        <v>30000</v>
      </c>
      <c r="F110" s="4">
        <v>120000</v>
      </c>
    </row>
    <row r="111" spans="1:6" ht="15">
      <c r="A111" s="2">
        <v>45970</v>
      </c>
      <c r="B111" s="3" t="s">
        <v>7</v>
      </c>
      <c r="C111" s="3" t="s">
        <v>15</v>
      </c>
      <c r="D111" s="4">
        <v>3</v>
      </c>
      <c r="E111" s="4">
        <v>25000</v>
      </c>
      <c r="F111" s="4">
        <v>75000</v>
      </c>
    </row>
    <row r="112" spans="1:6" ht="15">
      <c r="A112" s="2">
        <v>45817</v>
      </c>
      <c r="B112" s="3" t="s">
        <v>7</v>
      </c>
      <c r="C112" s="3" t="s">
        <v>13</v>
      </c>
      <c r="D112" s="4">
        <v>4</v>
      </c>
      <c r="E112" s="4">
        <v>20000</v>
      </c>
      <c r="F112" s="4">
        <v>80000</v>
      </c>
    </row>
    <row r="113" spans="1:6" ht="15">
      <c r="A113" s="3" t="s">
        <v>6</v>
      </c>
      <c r="B113" s="3" t="s">
        <v>7</v>
      </c>
      <c r="C113" s="3" t="s">
        <v>16</v>
      </c>
      <c r="D113" s="4">
        <v>1</v>
      </c>
      <c r="E113" s="4">
        <v>28000</v>
      </c>
      <c r="F113" s="4">
        <v>28000</v>
      </c>
    </row>
    <row r="114" spans="1:6" ht="15">
      <c r="A114" s="2">
        <v>45786</v>
      </c>
      <c r="B114" s="3" t="s">
        <v>7</v>
      </c>
      <c r="C114" s="3" t="s">
        <v>12</v>
      </c>
      <c r="D114" s="4">
        <v>4</v>
      </c>
      <c r="E114" s="4">
        <v>30000</v>
      </c>
      <c r="F114" s="4">
        <v>120000</v>
      </c>
    </row>
    <row r="115" spans="1:6" ht="15">
      <c r="A115" s="3" t="s">
        <v>29</v>
      </c>
      <c r="B115" s="3" t="s">
        <v>7</v>
      </c>
      <c r="C115" s="3" t="s">
        <v>8</v>
      </c>
      <c r="D115" s="4">
        <v>3</v>
      </c>
      <c r="E115" s="4">
        <v>28000</v>
      </c>
      <c r="F115" s="4">
        <v>84000</v>
      </c>
    </row>
    <row r="116" spans="1:6" ht="15">
      <c r="A116" s="3" t="s">
        <v>25</v>
      </c>
      <c r="B116" s="3" t="s">
        <v>7</v>
      </c>
      <c r="C116" s="3" t="s">
        <v>15</v>
      </c>
      <c r="D116" s="4">
        <v>1</v>
      </c>
      <c r="E116" s="4">
        <v>25000</v>
      </c>
      <c r="F116" s="4">
        <v>25000</v>
      </c>
    </row>
    <row r="117" spans="1:6" ht="15">
      <c r="A117" s="3" t="s">
        <v>25</v>
      </c>
      <c r="B117" s="3" t="s">
        <v>7</v>
      </c>
      <c r="C117" s="3" t="s">
        <v>13</v>
      </c>
      <c r="D117" s="4">
        <v>4</v>
      </c>
      <c r="E117" s="4">
        <v>25000</v>
      </c>
      <c r="F117" s="4">
        <v>100000</v>
      </c>
    </row>
    <row r="118" spans="1:6" ht="15">
      <c r="A118" s="3" t="s">
        <v>30</v>
      </c>
      <c r="B118" s="3" t="s">
        <v>7</v>
      </c>
      <c r="C118" s="3" t="s">
        <v>16</v>
      </c>
      <c r="D118" s="4">
        <v>3</v>
      </c>
      <c r="E118" s="4">
        <v>35000</v>
      </c>
      <c r="F118" s="4">
        <v>105000</v>
      </c>
    </row>
    <row r="119" spans="1:6" ht="15">
      <c r="A119" s="3" t="s">
        <v>21</v>
      </c>
      <c r="B119" s="3" t="s">
        <v>7</v>
      </c>
      <c r="C119" s="3" t="s">
        <v>12</v>
      </c>
      <c r="D119" s="4">
        <v>1</v>
      </c>
      <c r="E119" s="4">
        <v>20000</v>
      </c>
      <c r="F119" s="4">
        <v>20000</v>
      </c>
    </row>
    <row r="120" spans="1:6" ht="15">
      <c r="A120" s="3" t="s">
        <v>26</v>
      </c>
      <c r="B120" s="3" t="s">
        <v>7</v>
      </c>
      <c r="C120" s="3" t="s">
        <v>8</v>
      </c>
      <c r="D120" s="4">
        <v>1</v>
      </c>
      <c r="E120" s="4">
        <v>30000</v>
      </c>
      <c r="F120" s="4">
        <v>30000</v>
      </c>
    </row>
    <row r="121" spans="1:6" ht="15">
      <c r="A121" s="3" t="s">
        <v>20</v>
      </c>
      <c r="B121" s="3" t="s">
        <v>7</v>
      </c>
      <c r="C121" s="3" t="s">
        <v>15</v>
      </c>
      <c r="D121" s="4">
        <v>1</v>
      </c>
      <c r="E121" s="4">
        <v>25000</v>
      </c>
      <c r="F121" s="4">
        <v>25000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21"/>
  <sheetViews>
    <sheetView workbookViewId="0">
      <selection activeCell="H17" sqref="A1:XFD1048576"/>
    </sheetView>
  </sheetViews>
  <sheetFormatPr defaultColWidth="12.5703125" defaultRowHeight="12.75"/>
  <cols>
    <col min="1" max="1" width="10.42578125" bestFit="1" customWidth="1"/>
    <col min="2" max="2" width="7.42578125" bestFit="1" customWidth="1"/>
    <col min="3" max="3" width="9.140625" bestFit="1" customWidth="1"/>
    <col min="4" max="4" width="4.140625" bestFit="1" customWidth="1"/>
    <col min="5" max="5" width="6" bestFit="1" customWidth="1"/>
    <col min="6" max="6" width="7" bestFit="1" customWidth="1"/>
  </cols>
  <sheetData>
    <row r="1" spans="1:6" ht="15">
      <c r="A1" s="1" t="s">
        <v>0</v>
      </c>
      <c r="B1" s="1" t="s">
        <v>1</v>
      </c>
      <c r="C1" s="1" t="s">
        <v>2</v>
      </c>
      <c r="D1" s="1" t="s">
        <v>3</v>
      </c>
      <c r="E1" s="1" t="s">
        <v>4</v>
      </c>
      <c r="F1" s="1" t="s">
        <v>5</v>
      </c>
    </row>
    <row r="2" spans="1:6" ht="15">
      <c r="A2" s="2">
        <v>45725</v>
      </c>
      <c r="B2" s="3" t="s">
        <v>9</v>
      </c>
      <c r="C2" s="3" t="s">
        <v>12</v>
      </c>
      <c r="D2" s="4">
        <v>5</v>
      </c>
      <c r="E2" s="4">
        <v>28000</v>
      </c>
      <c r="F2" s="4">
        <v>140000</v>
      </c>
    </row>
    <row r="3" spans="1:6" ht="15">
      <c r="A3" s="3" t="s">
        <v>17</v>
      </c>
      <c r="B3" s="3" t="s">
        <v>9</v>
      </c>
      <c r="C3" s="3" t="s">
        <v>12</v>
      </c>
      <c r="D3" s="4">
        <v>3</v>
      </c>
      <c r="E3" s="4">
        <v>20000</v>
      </c>
      <c r="F3" s="4">
        <v>60000</v>
      </c>
    </row>
    <row r="4" spans="1:6" ht="15">
      <c r="A4" s="2">
        <v>46000</v>
      </c>
      <c r="B4" s="3" t="s">
        <v>9</v>
      </c>
      <c r="C4" s="3" t="s">
        <v>8</v>
      </c>
      <c r="D4" s="4">
        <v>2</v>
      </c>
      <c r="E4" s="4">
        <v>35000</v>
      </c>
      <c r="F4" s="4">
        <v>70000</v>
      </c>
    </row>
    <row r="5" spans="1:6" ht="15">
      <c r="A5" s="2">
        <v>45756</v>
      </c>
      <c r="B5" s="3" t="s">
        <v>9</v>
      </c>
      <c r="C5" s="3" t="s">
        <v>15</v>
      </c>
      <c r="D5" s="4">
        <v>1</v>
      </c>
      <c r="E5" s="4">
        <v>25000</v>
      </c>
      <c r="F5" s="4">
        <v>25000</v>
      </c>
    </row>
    <row r="6" spans="1:6" ht="15">
      <c r="A6" s="3" t="s">
        <v>10</v>
      </c>
      <c r="B6" s="3" t="s">
        <v>9</v>
      </c>
      <c r="C6" s="3" t="s">
        <v>13</v>
      </c>
      <c r="D6" s="4">
        <v>1</v>
      </c>
      <c r="E6" s="4">
        <v>28000</v>
      </c>
      <c r="F6" s="4">
        <v>28000</v>
      </c>
    </row>
    <row r="7" spans="1:6" ht="15">
      <c r="A7" s="2">
        <v>45878</v>
      </c>
      <c r="B7" s="3" t="s">
        <v>9</v>
      </c>
      <c r="C7" s="3" t="s">
        <v>16</v>
      </c>
      <c r="D7" s="4">
        <v>2</v>
      </c>
      <c r="E7" s="4">
        <v>28000</v>
      </c>
      <c r="F7" s="4">
        <v>56000</v>
      </c>
    </row>
    <row r="8" spans="1:6" ht="15">
      <c r="A8" s="3" t="s">
        <v>19</v>
      </c>
      <c r="B8" s="3" t="s">
        <v>9</v>
      </c>
      <c r="C8" s="3" t="s">
        <v>12</v>
      </c>
      <c r="D8" s="4">
        <v>2</v>
      </c>
      <c r="E8" s="4">
        <v>28000</v>
      </c>
      <c r="F8" s="4">
        <v>56000</v>
      </c>
    </row>
    <row r="9" spans="1:6" ht="15">
      <c r="A9" s="3" t="s">
        <v>23</v>
      </c>
      <c r="B9" s="3" t="s">
        <v>9</v>
      </c>
      <c r="C9" s="3" t="s">
        <v>12</v>
      </c>
      <c r="D9" s="4">
        <v>2</v>
      </c>
      <c r="E9" s="4">
        <v>28000</v>
      </c>
      <c r="F9" s="4">
        <v>56000</v>
      </c>
    </row>
    <row r="10" spans="1:6" ht="15">
      <c r="A10" s="3" t="s">
        <v>18</v>
      </c>
      <c r="B10" s="3" t="s">
        <v>9</v>
      </c>
      <c r="C10" s="3" t="s">
        <v>12</v>
      </c>
      <c r="D10" s="4">
        <v>5</v>
      </c>
      <c r="E10" s="4">
        <v>28000</v>
      </c>
      <c r="F10" s="4">
        <v>140000</v>
      </c>
    </row>
    <row r="11" spans="1:6" ht="15">
      <c r="A11" s="3" t="s">
        <v>27</v>
      </c>
      <c r="B11" s="3" t="s">
        <v>9</v>
      </c>
      <c r="C11" s="3" t="s">
        <v>12</v>
      </c>
      <c r="D11" s="4">
        <v>2</v>
      </c>
      <c r="E11" s="4">
        <v>20000</v>
      </c>
      <c r="F11" s="4">
        <v>40000</v>
      </c>
    </row>
    <row r="12" spans="1:6" ht="15">
      <c r="A12" s="2">
        <v>45847</v>
      </c>
      <c r="B12" s="3" t="s">
        <v>9</v>
      </c>
      <c r="C12" s="3" t="s">
        <v>12</v>
      </c>
      <c r="D12" s="4">
        <v>1</v>
      </c>
      <c r="E12" s="4">
        <v>30000</v>
      </c>
      <c r="F12" s="4">
        <v>30000</v>
      </c>
    </row>
    <row r="13" spans="1:6" ht="15">
      <c r="A13" s="2">
        <v>45697</v>
      </c>
      <c r="B13" s="3" t="s">
        <v>9</v>
      </c>
      <c r="C13" s="3" t="s">
        <v>12</v>
      </c>
      <c r="D13" s="4">
        <v>2</v>
      </c>
      <c r="E13" s="4">
        <v>28000</v>
      </c>
      <c r="F13" s="4">
        <v>56000</v>
      </c>
    </row>
    <row r="14" spans="1:6" ht="15">
      <c r="A14" s="2">
        <v>45847</v>
      </c>
      <c r="B14" s="3" t="s">
        <v>9</v>
      </c>
      <c r="C14" s="3" t="s">
        <v>12</v>
      </c>
      <c r="D14" s="4">
        <v>2</v>
      </c>
      <c r="E14" s="4">
        <v>35000</v>
      </c>
      <c r="F14" s="4">
        <v>70000</v>
      </c>
    </row>
    <row r="15" spans="1:6" ht="15">
      <c r="A15" s="2">
        <v>45786</v>
      </c>
      <c r="B15" s="3" t="s">
        <v>9</v>
      </c>
      <c r="C15" s="3" t="s">
        <v>12</v>
      </c>
      <c r="D15" s="4">
        <v>3</v>
      </c>
      <c r="E15" s="4">
        <v>28000</v>
      </c>
      <c r="F15" s="4">
        <v>84000</v>
      </c>
    </row>
    <row r="16" spans="1:6" ht="15">
      <c r="A16" s="2">
        <v>45878</v>
      </c>
      <c r="B16" s="3" t="s">
        <v>9</v>
      </c>
      <c r="C16" s="3" t="s">
        <v>12</v>
      </c>
      <c r="D16" s="4">
        <v>4</v>
      </c>
      <c r="E16" s="4">
        <v>25000</v>
      </c>
      <c r="F16" s="4">
        <v>100000</v>
      </c>
    </row>
    <row r="17" spans="1:6" ht="15">
      <c r="A17" s="3" t="s">
        <v>6</v>
      </c>
      <c r="B17" s="3" t="s">
        <v>9</v>
      </c>
      <c r="C17" s="3" t="s">
        <v>12</v>
      </c>
      <c r="D17" s="4">
        <v>4</v>
      </c>
      <c r="E17" s="4">
        <v>25000</v>
      </c>
      <c r="F17" s="4">
        <v>100000</v>
      </c>
    </row>
    <row r="18" spans="1:6" ht="15">
      <c r="A18" s="2">
        <v>45725</v>
      </c>
      <c r="B18" s="3" t="s">
        <v>9</v>
      </c>
      <c r="C18" s="3" t="s">
        <v>12</v>
      </c>
      <c r="D18" s="4">
        <v>5</v>
      </c>
      <c r="E18" s="4">
        <v>20000</v>
      </c>
      <c r="F18" s="4">
        <v>100000</v>
      </c>
    </row>
    <row r="19" spans="1:6" ht="15">
      <c r="A19" s="3" t="s">
        <v>10</v>
      </c>
      <c r="B19" s="3" t="s">
        <v>9</v>
      </c>
      <c r="C19" s="3" t="s">
        <v>12</v>
      </c>
      <c r="D19" s="4">
        <v>1</v>
      </c>
      <c r="E19" s="4">
        <v>30000</v>
      </c>
      <c r="F19" s="4">
        <v>30000</v>
      </c>
    </row>
    <row r="20" spans="1:6" ht="15">
      <c r="A20" s="3" t="s">
        <v>29</v>
      </c>
      <c r="B20" s="3" t="s">
        <v>9</v>
      </c>
      <c r="C20" s="3" t="s">
        <v>12</v>
      </c>
      <c r="D20" s="4">
        <v>4</v>
      </c>
      <c r="E20" s="4">
        <v>28000</v>
      </c>
      <c r="F20" s="4">
        <v>112000</v>
      </c>
    </row>
    <row r="21" spans="1:6" ht="15">
      <c r="A21" s="3" t="s">
        <v>26</v>
      </c>
      <c r="B21" s="3" t="s">
        <v>9</v>
      </c>
      <c r="C21" s="3" t="s">
        <v>12</v>
      </c>
      <c r="D21" s="4">
        <v>1</v>
      </c>
      <c r="E21" s="4">
        <v>30000</v>
      </c>
      <c r="F21" s="4">
        <v>30000</v>
      </c>
    </row>
    <row r="22" spans="1:6" ht="15">
      <c r="A22" s="3" t="s">
        <v>27</v>
      </c>
      <c r="B22" s="3" t="s">
        <v>9</v>
      </c>
      <c r="C22" s="3" t="s">
        <v>16</v>
      </c>
      <c r="D22" s="4">
        <v>5</v>
      </c>
      <c r="E22" s="4">
        <v>30000</v>
      </c>
      <c r="F22" s="4">
        <v>150000</v>
      </c>
    </row>
    <row r="23" spans="1:6" ht="15">
      <c r="A23" s="2">
        <v>45909</v>
      </c>
      <c r="B23" s="3" t="s">
        <v>9</v>
      </c>
      <c r="C23" s="3" t="s">
        <v>12</v>
      </c>
      <c r="D23" s="4">
        <v>5</v>
      </c>
      <c r="E23" s="4">
        <v>35000</v>
      </c>
      <c r="F23" s="4">
        <v>175000</v>
      </c>
    </row>
    <row r="24" spans="1:6" ht="15">
      <c r="A24" s="3" t="s">
        <v>19</v>
      </c>
      <c r="B24" s="3" t="s">
        <v>9</v>
      </c>
      <c r="C24" s="3" t="s">
        <v>13</v>
      </c>
      <c r="D24" s="4">
        <v>5</v>
      </c>
      <c r="E24" s="4">
        <v>20000</v>
      </c>
      <c r="F24" s="4">
        <v>100000</v>
      </c>
    </row>
    <row r="25" spans="1:6" ht="15">
      <c r="A25" s="2">
        <v>45697</v>
      </c>
      <c r="B25" s="3" t="s">
        <v>9</v>
      </c>
      <c r="C25" s="3" t="s">
        <v>16</v>
      </c>
      <c r="D25" s="4">
        <v>2</v>
      </c>
      <c r="E25" s="4">
        <v>30000</v>
      </c>
      <c r="F25" s="4">
        <v>60000</v>
      </c>
    </row>
    <row r="26" spans="1:6" ht="15">
      <c r="A26" s="3" t="s">
        <v>18</v>
      </c>
      <c r="B26" s="3" t="s">
        <v>9</v>
      </c>
      <c r="C26" s="3" t="s">
        <v>12</v>
      </c>
      <c r="D26" s="4">
        <v>2</v>
      </c>
      <c r="E26" s="4">
        <v>30000</v>
      </c>
      <c r="F26" s="4">
        <v>60000</v>
      </c>
    </row>
    <row r="27" spans="1:6" ht="15">
      <c r="A27" s="3" t="s">
        <v>10</v>
      </c>
      <c r="B27" s="3" t="s">
        <v>9</v>
      </c>
      <c r="C27" s="3" t="s">
        <v>8</v>
      </c>
      <c r="D27" s="4">
        <v>1</v>
      </c>
      <c r="E27" s="4">
        <v>20000</v>
      </c>
      <c r="F27" s="4">
        <v>20000</v>
      </c>
    </row>
    <row r="28" spans="1:6" ht="15">
      <c r="A28" s="2">
        <v>45847</v>
      </c>
      <c r="B28" s="3" t="s">
        <v>9</v>
      </c>
      <c r="C28" s="3" t="s">
        <v>15</v>
      </c>
      <c r="D28" s="4">
        <v>4</v>
      </c>
      <c r="E28" s="4">
        <v>30000</v>
      </c>
      <c r="F28" s="4">
        <v>120000</v>
      </c>
    </row>
    <row r="29" spans="1:6" ht="15">
      <c r="A29" s="3" t="s">
        <v>29</v>
      </c>
      <c r="B29" s="3" t="s">
        <v>9</v>
      </c>
      <c r="C29" s="3" t="s">
        <v>13</v>
      </c>
      <c r="D29" s="4">
        <v>1</v>
      </c>
      <c r="E29" s="4">
        <v>28000</v>
      </c>
      <c r="F29" s="4">
        <v>28000</v>
      </c>
    </row>
    <row r="30" spans="1:6" ht="15">
      <c r="A30" s="3" t="s">
        <v>19</v>
      </c>
      <c r="B30" s="3" t="s">
        <v>9</v>
      </c>
      <c r="C30" s="3" t="s">
        <v>16</v>
      </c>
      <c r="D30" s="4">
        <v>5</v>
      </c>
      <c r="E30" s="4">
        <v>35000</v>
      </c>
      <c r="F30" s="4">
        <v>175000</v>
      </c>
    </row>
    <row r="31" spans="1:6" ht="15">
      <c r="A31" s="3" t="s">
        <v>32</v>
      </c>
      <c r="B31" s="3" t="s">
        <v>9</v>
      </c>
      <c r="C31" s="3" t="s">
        <v>12</v>
      </c>
      <c r="D31" s="4">
        <v>5</v>
      </c>
      <c r="E31" s="4">
        <v>28000</v>
      </c>
      <c r="F31" s="4">
        <v>140000</v>
      </c>
    </row>
    <row r="32" spans="1:6" ht="15">
      <c r="A32" s="3" t="s">
        <v>21</v>
      </c>
      <c r="B32" s="3" t="s">
        <v>9</v>
      </c>
      <c r="C32" s="3" t="s">
        <v>8</v>
      </c>
      <c r="D32" s="4">
        <v>3</v>
      </c>
      <c r="E32" s="4">
        <v>25000</v>
      </c>
      <c r="F32" s="4">
        <v>75000</v>
      </c>
    </row>
    <row r="33" spans="1:6" ht="15">
      <c r="A33" s="3" t="s">
        <v>25</v>
      </c>
      <c r="B33" s="3" t="s">
        <v>9</v>
      </c>
      <c r="C33" s="3" t="s">
        <v>15</v>
      </c>
      <c r="D33" s="4">
        <v>2</v>
      </c>
      <c r="E33" s="4">
        <v>28000</v>
      </c>
      <c r="F33" s="4">
        <v>56000</v>
      </c>
    </row>
    <row r="34" spans="1:6" ht="15">
      <c r="A34" s="3" t="s">
        <v>27</v>
      </c>
      <c r="B34" s="3" t="s">
        <v>9</v>
      </c>
      <c r="C34" s="3" t="s">
        <v>13</v>
      </c>
      <c r="D34" s="4">
        <v>4</v>
      </c>
      <c r="E34" s="4">
        <v>25000</v>
      </c>
      <c r="F34" s="4">
        <v>100000</v>
      </c>
    </row>
    <row r="35" spans="1:6" ht="15">
      <c r="A35" s="3" t="s">
        <v>27</v>
      </c>
      <c r="B35" s="3" t="s">
        <v>9</v>
      </c>
      <c r="C35" s="3" t="s">
        <v>16</v>
      </c>
      <c r="D35" s="4">
        <v>3</v>
      </c>
      <c r="E35" s="4">
        <v>28000</v>
      </c>
      <c r="F35" s="4">
        <v>84000</v>
      </c>
    </row>
    <row r="36" spans="1:6" ht="15">
      <c r="A36" s="3" t="s">
        <v>29</v>
      </c>
      <c r="B36" s="3" t="s">
        <v>9</v>
      </c>
      <c r="C36" s="3" t="s">
        <v>12</v>
      </c>
      <c r="D36" s="4">
        <v>1</v>
      </c>
      <c r="E36" s="4">
        <v>30000</v>
      </c>
      <c r="F36" s="4">
        <v>30000</v>
      </c>
    </row>
    <row r="37" spans="1:6" ht="15">
      <c r="A37" s="2">
        <v>45970</v>
      </c>
      <c r="B37" s="3" t="s">
        <v>9</v>
      </c>
      <c r="C37" s="3" t="s">
        <v>8</v>
      </c>
      <c r="D37" s="4">
        <v>1</v>
      </c>
      <c r="E37" s="4">
        <v>25000</v>
      </c>
      <c r="F37" s="4">
        <v>25000</v>
      </c>
    </row>
    <row r="38" spans="1:6" ht="15">
      <c r="A38" s="3" t="s">
        <v>30</v>
      </c>
      <c r="B38" s="3" t="s">
        <v>9</v>
      </c>
      <c r="C38" s="3" t="s">
        <v>15</v>
      </c>
      <c r="D38" s="4">
        <v>5</v>
      </c>
      <c r="E38" s="4">
        <v>20000</v>
      </c>
      <c r="F38" s="4">
        <v>100000</v>
      </c>
    </row>
    <row r="39" spans="1:6" ht="15">
      <c r="A39" s="2">
        <v>45909</v>
      </c>
      <c r="B39" s="3" t="s">
        <v>9</v>
      </c>
      <c r="C39" s="3" t="s">
        <v>13</v>
      </c>
      <c r="D39" s="4">
        <v>3</v>
      </c>
      <c r="E39" s="4">
        <v>35000</v>
      </c>
      <c r="F39" s="4">
        <v>105000</v>
      </c>
    </row>
    <row r="40" spans="1:6" ht="15">
      <c r="A40" s="3" t="s">
        <v>25</v>
      </c>
      <c r="B40" s="3" t="s">
        <v>9</v>
      </c>
      <c r="C40" s="3" t="s">
        <v>16</v>
      </c>
      <c r="D40" s="4">
        <v>2</v>
      </c>
      <c r="E40" s="4">
        <v>30000</v>
      </c>
      <c r="F40" s="4">
        <v>60000</v>
      </c>
    </row>
    <row r="41" spans="1:6" ht="15">
      <c r="A41" s="3" t="s">
        <v>21</v>
      </c>
      <c r="B41" s="3" t="s">
        <v>9</v>
      </c>
      <c r="C41" s="3" t="s">
        <v>12</v>
      </c>
      <c r="D41" s="4">
        <v>1</v>
      </c>
      <c r="E41" s="4">
        <v>30000</v>
      </c>
      <c r="F41" s="4">
        <v>30000</v>
      </c>
    </row>
    <row r="42" spans="1:6" ht="15">
      <c r="A42" s="2">
        <v>46000</v>
      </c>
      <c r="B42" s="3" t="s">
        <v>9</v>
      </c>
      <c r="C42" s="3" t="s">
        <v>8</v>
      </c>
      <c r="D42" s="4">
        <v>5</v>
      </c>
      <c r="E42" s="4">
        <v>35000</v>
      </c>
      <c r="F42" s="4">
        <v>175000</v>
      </c>
    </row>
    <row r="43" spans="1:6" ht="15">
      <c r="A43" s="3" t="s">
        <v>21</v>
      </c>
      <c r="B43" s="3" t="s">
        <v>9</v>
      </c>
      <c r="C43" s="3" t="s">
        <v>15</v>
      </c>
      <c r="D43" s="4">
        <v>5</v>
      </c>
      <c r="E43" s="4">
        <v>28000</v>
      </c>
      <c r="F43" s="4">
        <v>140000</v>
      </c>
    </row>
    <row r="44" spans="1:6" ht="15">
      <c r="A44" s="3" t="s">
        <v>24</v>
      </c>
      <c r="B44" s="3" t="s">
        <v>9</v>
      </c>
      <c r="C44" s="3" t="s">
        <v>13</v>
      </c>
      <c r="D44" s="4">
        <v>1</v>
      </c>
      <c r="E44" s="4">
        <v>25000</v>
      </c>
      <c r="F44" s="4">
        <v>25000</v>
      </c>
    </row>
    <row r="45" spans="1:6" ht="15">
      <c r="A45" s="2">
        <v>45725</v>
      </c>
      <c r="B45" s="3" t="s">
        <v>9</v>
      </c>
      <c r="C45" s="3" t="s">
        <v>16</v>
      </c>
      <c r="D45" s="4">
        <v>2</v>
      </c>
      <c r="E45" s="4">
        <v>25000</v>
      </c>
      <c r="F45" s="4">
        <v>50000</v>
      </c>
    </row>
    <row r="46" spans="1:6" ht="15">
      <c r="A46" s="3" t="s">
        <v>26</v>
      </c>
      <c r="B46" s="3" t="s">
        <v>9</v>
      </c>
      <c r="C46" s="3" t="s">
        <v>12</v>
      </c>
      <c r="D46" s="4">
        <v>4</v>
      </c>
      <c r="E46" s="4">
        <v>28000</v>
      </c>
      <c r="F46" s="4">
        <v>112000</v>
      </c>
    </row>
    <row r="47" spans="1:6" ht="15">
      <c r="A47" s="2">
        <v>45909</v>
      </c>
      <c r="B47" s="3" t="s">
        <v>9</v>
      </c>
      <c r="C47" s="3" t="s">
        <v>8</v>
      </c>
      <c r="D47" s="4">
        <v>4</v>
      </c>
      <c r="E47" s="4">
        <v>25000</v>
      </c>
      <c r="F47" s="4">
        <v>100000</v>
      </c>
    </row>
    <row r="48" spans="1:6" ht="15">
      <c r="A48" s="3" t="s">
        <v>23</v>
      </c>
      <c r="B48" s="3" t="s">
        <v>9</v>
      </c>
      <c r="C48" s="3" t="s">
        <v>15</v>
      </c>
      <c r="D48" s="4">
        <v>5</v>
      </c>
      <c r="E48" s="4">
        <v>30000</v>
      </c>
      <c r="F48" s="4">
        <v>150000</v>
      </c>
    </row>
    <row r="49" spans="1:6" ht="15">
      <c r="A49" s="2">
        <v>45786</v>
      </c>
      <c r="B49" s="3" t="s">
        <v>9</v>
      </c>
      <c r="C49" s="3" t="s">
        <v>13</v>
      </c>
      <c r="D49" s="4">
        <v>2</v>
      </c>
      <c r="E49" s="4">
        <v>20000</v>
      </c>
      <c r="F49" s="4">
        <v>40000</v>
      </c>
    </row>
    <row r="50" spans="1:6" ht="15">
      <c r="A50" s="2">
        <v>45817</v>
      </c>
      <c r="B50" s="3" t="s">
        <v>9</v>
      </c>
      <c r="C50" s="3" t="s">
        <v>16</v>
      </c>
      <c r="D50" s="4">
        <v>1</v>
      </c>
      <c r="E50" s="4">
        <v>20000</v>
      </c>
      <c r="F50" s="4">
        <v>20000</v>
      </c>
    </row>
    <row r="51" spans="1:6" ht="15">
      <c r="A51" s="2">
        <v>45817</v>
      </c>
      <c r="B51" s="3" t="s">
        <v>9</v>
      </c>
      <c r="C51" s="3" t="s">
        <v>12</v>
      </c>
      <c r="D51" s="4">
        <v>3</v>
      </c>
      <c r="E51" s="4">
        <v>20000</v>
      </c>
      <c r="F51" s="4">
        <v>60000</v>
      </c>
    </row>
    <row r="52" spans="1:6" ht="15">
      <c r="A52" s="3" t="s">
        <v>6</v>
      </c>
      <c r="B52" s="3" t="s">
        <v>9</v>
      </c>
      <c r="C52" s="3" t="s">
        <v>8</v>
      </c>
      <c r="D52" s="4">
        <v>3</v>
      </c>
      <c r="E52" s="4">
        <v>25000</v>
      </c>
      <c r="F52" s="4">
        <v>75000</v>
      </c>
    </row>
    <row r="53" spans="1:6" ht="15">
      <c r="A53" s="2">
        <v>45786</v>
      </c>
      <c r="B53" s="3" t="s">
        <v>9</v>
      </c>
      <c r="C53" s="3" t="s">
        <v>15</v>
      </c>
      <c r="D53" s="4">
        <v>2</v>
      </c>
      <c r="E53" s="4">
        <v>25000</v>
      </c>
      <c r="F53" s="4">
        <v>50000</v>
      </c>
    </row>
    <row r="54" spans="1:6" ht="15">
      <c r="A54" s="2">
        <v>45697</v>
      </c>
      <c r="B54" s="3" t="s">
        <v>9</v>
      </c>
      <c r="C54" s="3" t="s">
        <v>13</v>
      </c>
      <c r="D54" s="4">
        <v>2</v>
      </c>
      <c r="E54" s="4">
        <v>28000</v>
      </c>
      <c r="F54" s="4">
        <v>56000</v>
      </c>
    </row>
    <row r="55" spans="1:6" ht="15">
      <c r="A55" s="3" t="s">
        <v>20</v>
      </c>
      <c r="B55" s="3" t="s">
        <v>9</v>
      </c>
      <c r="C55" s="3" t="s">
        <v>16</v>
      </c>
      <c r="D55" s="4">
        <v>2</v>
      </c>
      <c r="E55" s="4">
        <v>35000</v>
      </c>
      <c r="F55" s="4">
        <v>70000</v>
      </c>
    </row>
    <row r="56" spans="1:6" ht="15">
      <c r="A56" s="3" t="s">
        <v>32</v>
      </c>
      <c r="B56" s="3" t="s">
        <v>9</v>
      </c>
      <c r="C56" s="3" t="s">
        <v>12</v>
      </c>
      <c r="D56" s="4">
        <v>3</v>
      </c>
      <c r="E56" s="4">
        <v>25000</v>
      </c>
      <c r="F56" s="4">
        <v>75000</v>
      </c>
    </row>
    <row r="57" spans="1:6" ht="15">
      <c r="A57" s="2">
        <v>45817</v>
      </c>
      <c r="B57" s="3" t="s">
        <v>9</v>
      </c>
      <c r="C57" s="3" t="s">
        <v>13</v>
      </c>
      <c r="D57" s="4">
        <v>5</v>
      </c>
      <c r="E57" s="4">
        <v>20000</v>
      </c>
      <c r="F57" s="4">
        <v>100000</v>
      </c>
    </row>
    <row r="58" spans="1:6" ht="15">
      <c r="A58" s="3" t="s">
        <v>29</v>
      </c>
      <c r="B58" s="3" t="s">
        <v>9</v>
      </c>
      <c r="C58" s="3" t="s">
        <v>16</v>
      </c>
      <c r="D58" s="4">
        <v>5</v>
      </c>
      <c r="E58" s="4">
        <v>20000</v>
      </c>
      <c r="F58" s="4">
        <v>100000</v>
      </c>
    </row>
    <row r="59" spans="1:6" ht="15">
      <c r="A59" s="3" t="s">
        <v>22</v>
      </c>
      <c r="B59" s="3" t="s">
        <v>9</v>
      </c>
      <c r="C59" s="3" t="s">
        <v>12</v>
      </c>
      <c r="D59" s="4">
        <v>3</v>
      </c>
      <c r="E59" s="4">
        <v>20000</v>
      </c>
      <c r="F59" s="4">
        <v>60000</v>
      </c>
    </row>
    <row r="60" spans="1:6" ht="15">
      <c r="A60" s="2">
        <v>45756</v>
      </c>
      <c r="B60" s="3" t="s">
        <v>9</v>
      </c>
      <c r="C60" s="3" t="s">
        <v>16</v>
      </c>
      <c r="D60" s="4">
        <v>1</v>
      </c>
      <c r="E60" s="4">
        <v>20000</v>
      </c>
      <c r="F60" s="4">
        <v>20000</v>
      </c>
    </row>
    <row r="61" spans="1:6" ht="15">
      <c r="A61" s="2">
        <v>45939</v>
      </c>
      <c r="B61" s="3" t="s">
        <v>9</v>
      </c>
      <c r="C61" s="3" t="s">
        <v>12</v>
      </c>
      <c r="D61" s="4">
        <v>4</v>
      </c>
      <c r="E61" s="4">
        <v>25000</v>
      </c>
      <c r="F61" s="4">
        <v>100000</v>
      </c>
    </row>
    <row r="62" spans="1:6" ht="15">
      <c r="A62" s="3" t="s">
        <v>6</v>
      </c>
      <c r="B62" s="3" t="s">
        <v>9</v>
      </c>
      <c r="C62" s="3" t="s">
        <v>8</v>
      </c>
      <c r="D62" s="4">
        <v>3</v>
      </c>
      <c r="E62" s="4">
        <v>25000</v>
      </c>
      <c r="F62" s="4">
        <v>75000</v>
      </c>
    </row>
    <row r="63" spans="1:6" ht="15">
      <c r="A63" s="3" t="s">
        <v>25</v>
      </c>
      <c r="B63" s="3" t="s">
        <v>9</v>
      </c>
      <c r="C63" s="3" t="s">
        <v>15</v>
      </c>
      <c r="D63" s="4">
        <v>1</v>
      </c>
      <c r="E63" s="4">
        <v>28000</v>
      </c>
      <c r="F63" s="4">
        <v>28000</v>
      </c>
    </row>
    <row r="64" spans="1:6" ht="15">
      <c r="A64" s="3" t="s">
        <v>19</v>
      </c>
      <c r="B64" s="3" t="s">
        <v>9</v>
      </c>
      <c r="C64" s="3" t="s">
        <v>13</v>
      </c>
      <c r="D64" s="4">
        <v>1</v>
      </c>
      <c r="E64" s="4">
        <v>28000</v>
      </c>
      <c r="F64" s="4">
        <v>28000</v>
      </c>
    </row>
    <row r="65" spans="1:6" ht="15">
      <c r="A65" s="3" t="s">
        <v>26</v>
      </c>
      <c r="B65" s="3" t="s">
        <v>9</v>
      </c>
      <c r="C65" s="3" t="s">
        <v>16</v>
      </c>
      <c r="D65" s="4">
        <v>3</v>
      </c>
      <c r="E65" s="4">
        <v>20000</v>
      </c>
      <c r="F65" s="4">
        <v>60000</v>
      </c>
    </row>
    <row r="66" spans="1:6" ht="15">
      <c r="A66" s="3" t="s">
        <v>23</v>
      </c>
      <c r="B66" s="3" t="s">
        <v>9</v>
      </c>
      <c r="C66" s="3" t="s">
        <v>12</v>
      </c>
      <c r="D66" s="4">
        <v>5</v>
      </c>
      <c r="E66" s="4">
        <v>25000</v>
      </c>
      <c r="F66" s="4">
        <v>125000</v>
      </c>
    </row>
    <row r="67" spans="1:6" ht="15">
      <c r="A67" s="2">
        <v>45970</v>
      </c>
      <c r="B67" s="3" t="s">
        <v>9</v>
      </c>
      <c r="C67" s="3" t="s">
        <v>13</v>
      </c>
      <c r="D67" s="4">
        <v>2</v>
      </c>
      <c r="E67" s="4">
        <v>30000</v>
      </c>
      <c r="F67" s="4">
        <v>60000</v>
      </c>
    </row>
    <row r="68" spans="1:6" ht="15">
      <c r="A68" s="2">
        <v>45725</v>
      </c>
      <c r="B68" s="3" t="s">
        <v>9</v>
      </c>
      <c r="C68" s="3" t="s">
        <v>16</v>
      </c>
      <c r="D68" s="4">
        <v>4</v>
      </c>
      <c r="E68" s="4">
        <v>30000</v>
      </c>
      <c r="F68" s="4">
        <v>120000</v>
      </c>
    </row>
    <row r="69" spans="1:6" ht="15">
      <c r="A69" s="3" t="s">
        <v>21</v>
      </c>
      <c r="B69" s="3" t="s">
        <v>9</v>
      </c>
      <c r="C69" s="3" t="s">
        <v>12</v>
      </c>
      <c r="D69" s="4">
        <v>5</v>
      </c>
      <c r="E69" s="4">
        <v>30000</v>
      </c>
      <c r="F69" s="4">
        <v>150000</v>
      </c>
    </row>
    <row r="70" spans="1:6" ht="15">
      <c r="A70" s="2">
        <v>45847</v>
      </c>
      <c r="B70" s="3" t="s">
        <v>9</v>
      </c>
      <c r="C70" s="3" t="s">
        <v>8</v>
      </c>
      <c r="D70" s="4">
        <v>1</v>
      </c>
      <c r="E70" s="4">
        <v>25000</v>
      </c>
      <c r="F70" s="4">
        <v>25000</v>
      </c>
    </row>
    <row r="71" spans="1:6" ht="15">
      <c r="A71" s="2">
        <v>45756</v>
      </c>
      <c r="B71" s="3" t="s">
        <v>9</v>
      </c>
      <c r="C71" s="3" t="s">
        <v>15</v>
      </c>
      <c r="D71" s="4">
        <v>2</v>
      </c>
      <c r="E71" s="4">
        <v>30000</v>
      </c>
      <c r="F71" s="4">
        <v>60000</v>
      </c>
    </row>
    <row r="72" spans="1:6" ht="15">
      <c r="A72" s="3" t="s">
        <v>25</v>
      </c>
      <c r="B72" s="3" t="s">
        <v>9</v>
      </c>
      <c r="C72" s="3" t="s">
        <v>13</v>
      </c>
      <c r="D72" s="4">
        <v>1</v>
      </c>
      <c r="E72" s="4">
        <v>28000</v>
      </c>
      <c r="F72" s="4">
        <v>28000</v>
      </c>
    </row>
    <row r="73" spans="1:6" ht="15">
      <c r="A73" s="3" t="s">
        <v>21</v>
      </c>
      <c r="B73" s="3" t="s">
        <v>9</v>
      </c>
      <c r="C73" s="3" t="s">
        <v>16</v>
      </c>
      <c r="D73" s="4">
        <v>2</v>
      </c>
      <c r="E73" s="4">
        <v>25000</v>
      </c>
      <c r="F73" s="4">
        <v>50000</v>
      </c>
    </row>
    <row r="74" spans="1:6" ht="15">
      <c r="A74" s="3" t="s">
        <v>24</v>
      </c>
      <c r="B74" s="3" t="s">
        <v>9</v>
      </c>
      <c r="C74" s="3" t="s">
        <v>12</v>
      </c>
      <c r="D74" s="4">
        <v>1</v>
      </c>
      <c r="E74" s="4">
        <v>35000</v>
      </c>
      <c r="F74" s="4">
        <v>35000</v>
      </c>
    </row>
    <row r="75" spans="1:6" ht="15">
      <c r="A75" s="3" t="s">
        <v>32</v>
      </c>
      <c r="B75" s="3" t="s">
        <v>9</v>
      </c>
      <c r="C75" s="3" t="s">
        <v>8</v>
      </c>
      <c r="D75" s="4">
        <v>2</v>
      </c>
      <c r="E75" s="4">
        <v>20000</v>
      </c>
      <c r="F75" s="4">
        <v>40000</v>
      </c>
    </row>
    <row r="76" spans="1:6" ht="15">
      <c r="A76" s="3" t="s">
        <v>30</v>
      </c>
      <c r="B76" s="3" t="s">
        <v>9</v>
      </c>
      <c r="C76" s="3" t="s">
        <v>15</v>
      </c>
      <c r="D76" s="4">
        <v>1</v>
      </c>
      <c r="E76" s="4">
        <v>35000</v>
      </c>
      <c r="F76" s="4">
        <v>35000</v>
      </c>
    </row>
    <row r="77" spans="1:6" ht="15">
      <c r="A77" s="3" t="s">
        <v>20</v>
      </c>
      <c r="B77" s="3" t="s">
        <v>9</v>
      </c>
      <c r="C77" s="3" t="s">
        <v>13</v>
      </c>
      <c r="D77" s="4">
        <v>4</v>
      </c>
      <c r="E77" s="4">
        <v>25000</v>
      </c>
      <c r="F77" s="4">
        <v>100000</v>
      </c>
    </row>
    <row r="78" spans="1:6" ht="15">
      <c r="A78" s="2">
        <v>45909</v>
      </c>
      <c r="B78" s="3" t="s">
        <v>9</v>
      </c>
      <c r="C78" s="3" t="s">
        <v>16</v>
      </c>
      <c r="D78" s="4">
        <v>2</v>
      </c>
      <c r="E78" s="4">
        <v>28000</v>
      </c>
      <c r="F78" s="4">
        <v>56000</v>
      </c>
    </row>
    <row r="79" spans="1:6" ht="15">
      <c r="A79" s="2">
        <v>45970</v>
      </c>
      <c r="B79" s="3" t="s">
        <v>9</v>
      </c>
      <c r="C79" s="3" t="s">
        <v>12</v>
      </c>
      <c r="D79" s="4">
        <v>3</v>
      </c>
      <c r="E79" s="4">
        <v>35000</v>
      </c>
      <c r="F79" s="4">
        <v>105000</v>
      </c>
    </row>
    <row r="80" spans="1:6" ht="15">
      <c r="A80" s="3" t="s">
        <v>6</v>
      </c>
      <c r="B80" s="3" t="s">
        <v>9</v>
      </c>
      <c r="C80" s="3" t="s">
        <v>8</v>
      </c>
      <c r="D80" s="4">
        <v>4</v>
      </c>
      <c r="E80" s="4">
        <v>20000</v>
      </c>
      <c r="F80" s="4">
        <v>80000</v>
      </c>
    </row>
    <row r="81" spans="1:6" ht="15">
      <c r="A81" s="3" t="s">
        <v>23</v>
      </c>
      <c r="B81" s="3" t="s">
        <v>9</v>
      </c>
      <c r="C81" s="3" t="s">
        <v>15</v>
      </c>
      <c r="D81" s="4">
        <v>3</v>
      </c>
      <c r="E81" s="4">
        <v>20000</v>
      </c>
      <c r="F81" s="4">
        <v>60000</v>
      </c>
    </row>
    <row r="82" spans="1:6" ht="15">
      <c r="A82" s="2">
        <v>45786</v>
      </c>
      <c r="B82" s="3" t="s">
        <v>9</v>
      </c>
      <c r="C82" s="3" t="s">
        <v>13</v>
      </c>
      <c r="D82" s="4">
        <v>1</v>
      </c>
      <c r="E82" s="4">
        <v>30000</v>
      </c>
      <c r="F82" s="4">
        <v>30000</v>
      </c>
    </row>
    <row r="83" spans="1:6" ht="15">
      <c r="A83" s="3" t="s">
        <v>25</v>
      </c>
      <c r="B83" s="3" t="s">
        <v>9</v>
      </c>
      <c r="C83" s="3" t="s">
        <v>16</v>
      </c>
      <c r="D83" s="4">
        <v>4</v>
      </c>
      <c r="E83" s="4">
        <v>28000</v>
      </c>
      <c r="F83" s="4">
        <v>112000</v>
      </c>
    </row>
    <row r="84" spans="1:6" ht="15">
      <c r="A84" s="2">
        <v>45725</v>
      </c>
      <c r="B84" s="3" t="s">
        <v>9</v>
      </c>
      <c r="C84" s="3" t="s">
        <v>12</v>
      </c>
      <c r="D84" s="4">
        <v>1</v>
      </c>
      <c r="E84" s="4">
        <v>35000</v>
      </c>
      <c r="F84" s="4">
        <v>35000</v>
      </c>
    </row>
    <row r="85" spans="1:6" ht="15">
      <c r="A85" s="3" t="s">
        <v>24</v>
      </c>
      <c r="B85" s="3" t="s">
        <v>9</v>
      </c>
      <c r="C85" s="3" t="s">
        <v>8</v>
      </c>
      <c r="D85" s="4">
        <v>1</v>
      </c>
      <c r="E85" s="4">
        <v>20000</v>
      </c>
      <c r="F85" s="4">
        <v>20000</v>
      </c>
    </row>
    <row r="86" spans="1:6" ht="15">
      <c r="A86" s="2">
        <v>45847</v>
      </c>
      <c r="B86" s="3" t="s">
        <v>9</v>
      </c>
      <c r="C86" s="3" t="s">
        <v>15</v>
      </c>
      <c r="D86" s="4">
        <v>1</v>
      </c>
      <c r="E86" s="4">
        <v>25000</v>
      </c>
      <c r="F86" s="4">
        <v>25000</v>
      </c>
    </row>
    <row r="87" spans="1:6" ht="15">
      <c r="A87" s="3" t="s">
        <v>17</v>
      </c>
      <c r="B87" s="3" t="s">
        <v>9</v>
      </c>
      <c r="C87" s="3" t="s">
        <v>13</v>
      </c>
      <c r="D87" s="4">
        <v>1</v>
      </c>
      <c r="E87" s="4">
        <v>20000</v>
      </c>
      <c r="F87" s="4">
        <v>20000</v>
      </c>
    </row>
    <row r="88" spans="1:6" ht="15">
      <c r="A88" s="3" t="s">
        <v>28</v>
      </c>
      <c r="B88" s="3" t="s">
        <v>9</v>
      </c>
      <c r="C88" s="3" t="s">
        <v>16</v>
      </c>
      <c r="D88" s="4">
        <v>5</v>
      </c>
      <c r="E88" s="4">
        <v>28000</v>
      </c>
      <c r="F88" s="4">
        <v>140000</v>
      </c>
    </row>
    <row r="89" spans="1:6" ht="15">
      <c r="A89" s="3" t="s">
        <v>21</v>
      </c>
      <c r="B89" s="3" t="s">
        <v>9</v>
      </c>
      <c r="C89" s="3" t="s">
        <v>12</v>
      </c>
      <c r="D89" s="4">
        <v>3</v>
      </c>
      <c r="E89" s="4">
        <v>20000</v>
      </c>
      <c r="F89" s="4">
        <v>60000</v>
      </c>
    </row>
    <row r="90" spans="1:6" ht="15">
      <c r="A90" s="3" t="s">
        <v>17</v>
      </c>
      <c r="B90" s="3" t="s">
        <v>9</v>
      </c>
      <c r="C90" s="3" t="s">
        <v>8</v>
      </c>
      <c r="D90" s="4">
        <v>1</v>
      </c>
      <c r="E90" s="4">
        <v>20000</v>
      </c>
      <c r="F90" s="4">
        <v>20000</v>
      </c>
    </row>
    <row r="91" spans="1:6" ht="15">
      <c r="A91" s="2">
        <v>45756</v>
      </c>
      <c r="B91" s="3" t="s">
        <v>9</v>
      </c>
      <c r="C91" s="3" t="s">
        <v>15</v>
      </c>
      <c r="D91" s="4">
        <v>2</v>
      </c>
      <c r="E91" s="4">
        <v>30000</v>
      </c>
      <c r="F91" s="4">
        <v>60000</v>
      </c>
    </row>
    <row r="92" spans="1:6" ht="15">
      <c r="A92" s="2">
        <v>45970</v>
      </c>
      <c r="B92" s="3" t="s">
        <v>9</v>
      </c>
      <c r="C92" s="3" t="s">
        <v>13</v>
      </c>
      <c r="D92" s="4">
        <v>4</v>
      </c>
      <c r="E92" s="4">
        <v>28000</v>
      </c>
      <c r="F92" s="4">
        <v>112000</v>
      </c>
    </row>
    <row r="93" spans="1:6" ht="15">
      <c r="A93" s="3" t="s">
        <v>30</v>
      </c>
      <c r="B93" s="3" t="s">
        <v>9</v>
      </c>
      <c r="C93" s="3" t="s">
        <v>16</v>
      </c>
      <c r="D93" s="4">
        <v>3</v>
      </c>
      <c r="E93" s="4">
        <v>25000</v>
      </c>
      <c r="F93" s="4">
        <v>75000</v>
      </c>
    </row>
    <row r="94" spans="1:6" ht="15">
      <c r="A94" s="3" t="s">
        <v>32</v>
      </c>
      <c r="B94" s="3" t="s">
        <v>9</v>
      </c>
      <c r="C94" s="3" t="s">
        <v>12</v>
      </c>
      <c r="D94" s="4">
        <v>2</v>
      </c>
      <c r="E94" s="4">
        <v>28000</v>
      </c>
      <c r="F94" s="4">
        <v>56000</v>
      </c>
    </row>
    <row r="95" spans="1:6" ht="15">
      <c r="A95" s="2">
        <v>45697</v>
      </c>
      <c r="B95" s="3" t="s">
        <v>9</v>
      </c>
      <c r="C95" s="3" t="s">
        <v>8</v>
      </c>
      <c r="D95" s="4">
        <v>3</v>
      </c>
      <c r="E95" s="4">
        <v>28000</v>
      </c>
      <c r="F95" s="4">
        <v>84000</v>
      </c>
    </row>
    <row r="96" spans="1:6" ht="15">
      <c r="A96" s="3" t="s">
        <v>27</v>
      </c>
      <c r="B96" s="3" t="s">
        <v>9</v>
      </c>
      <c r="C96" s="3" t="s">
        <v>15</v>
      </c>
      <c r="D96" s="4">
        <v>1</v>
      </c>
      <c r="E96" s="4">
        <v>20000</v>
      </c>
      <c r="F96" s="4">
        <v>20000</v>
      </c>
    </row>
    <row r="97" spans="1:6" ht="15">
      <c r="A97" s="2">
        <v>45725</v>
      </c>
      <c r="B97" s="3" t="s">
        <v>9</v>
      </c>
      <c r="C97" s="3" t="s">
        <v>13</v>
      </c>
      <c r="D97" s="4">
        <v>1</v>
      </c>
      <c r="E97" s="4">
        <v>25000</v>
      </c>
      <c r="F97" s="4">
        <v>25000</v>
      </c>
    </row>
    <row r="98" spans="1:6" ht="15">
      <c r="A98" s="2">
        <v>45666</v>
      </c>
      <c r="B98" s="3" t="s">
        <v>9</v>
      </c>
      <c r="C98" s="3" t="s">
        <v>16</v>
      </c>
      <c r="D98" s="4">
        <v>4</v>
      </c>
      <c r="E98" s="4">
        <v>20000</v>
      </c>
      <c r="F98" s="4">
        <v>80000</v>
      </c>
    </row>
    <row r="99" spans="1:6" ht="15">
      <c r="A99" s="3" t="s">
        <v>6</v>
      </c>
      <c r="B99" s="3" t="s">
        <v>9</v>
      </c>
      <c r="C99" s="3" t="s">
        <v>12</v>
      </c>
      <c r="D99" s="4">
        <v>1</v>
      </c>
      <c r="E99" s="4">
        <v>35000</v>
      </c>
      <c r="F99" s="4">
        <v>35000</v>
      </c>
    </row>
    <row r="100" spans="1:6" ht="15">
      <c r="A100" s="2">
        <v>45939</v>
      </c>
      <c r="B100" s="3" t="s">
        <v>9</v>
      </c>
      <c r="C100" s="3" t="s">
        <v>13</v>
      </c>
      <c r="D100" s="4">
        <v>3</v>
      </c>
      <c r="E100" s="4">
        <v>25000</v>
      </c>
      <c r="F100" s="4">
        <v>75000</v>
      </c>
    </row>
    <row r="101" spans="1:6" ht="15">
      <c r="A101" s="3" t="s">
        <v>29</v>
      </c>
      <c r="B101" s="3" t="s">
        <v>9</v>
      </c>
      <c r="C101" s="3" t="s">
        <v>16</v>
      </c>
      <c r="D101" s="4">
        <v>5</v>
      </c>
      <c r="E101" s="4">
        <v>25000</v>
      </c>
      <c r="F101" s="4">
        <v>125000</v>
      </c>
    </row>
    <row r="102" spans="1:6" ht="15">
      <c r="A102" s="2">
        <v>45878</v>
      </c>
      <c r="B102" s="3" t="s">
        <v>9</v>
      </c>
      <c r="C102" s="3" t="s">
        <v>12</v>
      </c>
      <c r="D102" s="4">
        <v>2</v>
      </c>
      <c r="E102" s="4">
        <v>35000</v>
      </c>
      <c r="F102" s="4">
        <v>70000</v>
      </c>
    </row>
    <row r="103" spans="1:6" ht="15">
      <c r="A103" s="2">
        <v>45725</v>
      </c>
      <c r="B103" s="3" t="s">
        <v>9</v>
      </c>
      <c r="C103" s="3" t="s">
        <v>8</v>
      </c>
      <c r="D103" s="4">
        <v>1</v>
      </c>
      <c r="E103" s="4">
        <v>30000</v>
      </c>
      <c r="F103" s="4">
        <v>30000</v>
      </c>
    </row>
    <row r="104" spans="1:6" ht="15">
      <c r="A104" s="2">
        <v>46000</v>
      </c>
      <c r="B104" s="3" t="s">
        <v>9</v>
      </c>
      <c r="C104" s="3" t="s">
        <v>15</v>
      </c>
      <c r="D104" s="4">
        <v>1</v>
      </c>
      <c r="E104" s="4">
        <v>25000</v>
      </c>
      <c r="F104" s="4">
        <v>25000</v>
      </c>
    </row>
    <row r="105" spans="1:6" ht="15">
      <c r="A105" s="3" t="s">
        <v>30</v>
      </c>
      <c r="B105" s="3" t="s">
        <v>9</v>
      </c>
      <c r="C105" s="3" t="s">
        <v>13</v>
      </c>
      <c r="D105" s="4">
        <v>4</v>
      </c>
      <c r="E105" s="4">
        <v>35000</v>
      </c>
      <c r="F105" s="4">
        <v>140000</v>
      </c>
    </row>
    <row r="106" spans="1:6" ht="15">
      <c r="A106" s="2">
        <v>45847</v>
      </c>
      <c r="B106" s="3" t="s">
        <v>9</v>
      </c>
      <c r="C106" s="3" t="s">
        <v>16</v>
      </c>
      <c r="D106" s="4">
        <v>1</v>
      </c>
      <c r="E106" s="4">
        <v>30000</v>
      </c>
      <c r="F106" s="4">
        <v>30000</v>
      </c>
    </row>
    <row r="107" spans="1:6" ht="15">
      <c r="A107" s="3" t="s">
        <v>22</v>
      </c>
      <c r="B107" s="3" t="s">
        <v>9</v>
      </c>
      <c r="C107" s="3" t="s">
        <v>12</v>
      </c>
      <c r="D107" s="4">
        <v>3</v>
      </c>
      <c r="E107" s="4">
        <v>28000</v>
      </c>
      <c r="F107" s="4">
        <v>84000</v>
      </c>
    </row>
    <row r="108" spans="1:6" ht="15">
      <c r="A108" s="2">
        <v>45817</v>
      </c>
      <c r="B108" s="3" t="s">
        <v>9</v>
      </c>
      <c r="C108" s="3" t="s">
        <v>8</v>
      </c>
      <c r="D108" s="4">
        <v>2</v>
      </c>
      <c r="E108" s="4">
        <v>20000</v>
      </c>
      <c r="F108" s="4">
        <v>40000</v>
      </c>
    </row>
    <row r="109" spans="1:6" ht="15">
      <c r="A109" s="2">
        <v>45939</v>
      </c>
      <c r="B109" s="3" t="s">
        <v>9</v>
      </c>
      <c r="C109" s="3" t="s">
        <v>8</v>
      </c>
      <c r="D109" s="4">
        <v>2</v>
      </c>
      <c r="E109" s="4">
        <v>28000</v>
      </c>
      <c r="F109" s="4">
        <v>56000</v>
      </c>
    </row>
    <row r="110" spans="1:6" ht="15">
      <c r="A110" s="3" t="s">
        <v>19</v>
      </c>
      <c r="B110" s="3" t="s">
        <v>9</v>
      </c>
      <c r="C110" s="3" t="s">
        <v>15</v>
      </c>
      <c r="D110" s="4">
        <v>1</v>
      </c>
      <c r="E110" s="4">
        <v>28000</v>
      </c>
      <c r="F110" s="4">
        <v>28000</v>
      </c>
    </row>
    <row r="111" spans="1:6" ht="15">
      <c r="A111" s="2">
        <v>45666</v>
      </c>
      <c r="B111" s="3" t="s">
        <v>9</v>
      </c>
      <c r="C111" s="3" t="s">
        <v>13</v>
      </c>
      <c r="D111" s="4">
        <v>1</v>
      </c>
      <c r="E111" s="4">
        <v>20000</v>
      </c>
      <c r="F111" s="4">
        <v>20000</v>
      </c>
    </row>
    <row r="112" spans="1:6" ht="15">
      <c r="A112" s="3" t="s">
        <v>29</v>
      </c>
      <c r="B112" s="3" t="s">
        <v>9</v>
      </c>
      <c r="C112" s="3" t="s">
        <v>16</v>
      </c>
      <c r="D112" s="4">
        <v>3</v>
      </c>
      <c r="E112" s="4">
        <v>20000</v>
      </c>
      <c r="F112" s="4">
        <v>60000</v>
      </c>
    </row>
    <row r="113" spans="1:6" ht="15">
      <c r="A113" s="3" t="s">
        <v>19</v>
      </c>
      <c r="B113" s="3" t="s">
        <v>9</v>
      </c>
      <c r="C113" s="3" t="s">
        <v>12</v>
      </c>
      <c r="D113" s="4">
        <v>3</v>
      </c>
      <c r="E113" s="4">
        <v>28000</v>
      </c>
      <c r="F113" s="4">
        <v>84000</v>
      </c>
    </row>
    <row r="114" spans="1:6" ht="15">
      <c r="A114" s="3" t="s">
        <v>26</v>
      </c>
      <c r="B114" s="3" t="s">
        <v>9</v>
      </c>
      <c r="C114" s="3" t="s">
        <v>13</v>
      </c>
      <c r="D114" s="4">
        <v>3</v>
      </c>
      <c r="E114" s="4">
        <v>25000</v>
      </c>
      <c r="F114" s="4">
        <v>75000</v>
      </c>
    </row>
    <row r="115" spans="1:6" ht="15">
      <c r="A115" s="3" t="s">
        <v>23</v>
      </c>
      <c r="B115" s="3" t="s">
        <v>9</v>
      </c>
      <c r="C115" s="3" t="s">
        <v>16</v>
      </c>
      <c r="D115" s="4">
        <v>2</v>
      </c>
      <c r="E115" s="4">
        <v>28000</v>
      </c>
      <c r="F115" s="4">
        <v>56000</v>
      </c>
    </row>
    <row r="116" spans="1:6" ht="15">
      <c r="A116" s="3" t="s">
        <v>6</v>
      </c>
      <c r="B116" s="3" t="s">
        <v>9</v>
      </c>
      <c r="C116" s="3" t="s">
        <v>12</v>
      </c>
      <c r="D116" s="4">
        <v>1</v>
      </c>
      <c r="E116" s="4">
        <v>28000</v>
      </c>
      <c r="F116" s="4">
        <v>28000</v>
      </c>
    </row>
    <row r="117" spans="1:6" ht="15">
      <c r="A117" s="2">
        <v>45817</v>
      </c>
      <c r="B117" s="3" t="s">
        <v>9</v>
      </c>
      <c r="C117" s="3" t="s">
        <v>8</v>
      </c>
      <c r="D117" s="4">
        <v>5</v>
      </c>
      <c r="E117" s="3" t="s">
        <v>33</v>
      </c>
      <c r="F117" s="4">
        <v>100000</v>
      </c>
    </row>
    <row r="118" spans="1:6" ht="15">
      <c r="A118" s="3" t="s">
        <v>17</v>
      </c>
      <c r="B118" s="3" t="s">
        <v>9</v>
      </c>
      <c r="C118" s="3" t="s">
        <v>15</v>
      </c>
      <c r="D118" s="4">
        <v>1</v>
      </c>
      <c r="E118" s="4">
        <v>35000</v>
      </c>
      <c r="F118" s="4">
        <v>35000</v>
      </c>
    </row>
    <row r="119" spans="1:6" ht="15">
      <c r="A119" s="2">
        <v>45725</v>
      </c>
      <c r="B119" s="3" t="s">
        <v>9</v>
      </c>
      <c r="C119" s="3" t="s">
        <v>13</v>
      </c>
      <c r="D119" s="4">
        <v>3</v>
      </c>
      <c r="E119" s="4">
        <v>20000</v>
      </c>
      <c r="F119" s="4">
        <v>60000</v>
      </c>
    </row>
    <row r="120" spans="1:6" ht="15">
      <c r="A120" s="2">
        <v>45666</v>
      </c>
      <c r="B120" s="3" t="s">
        <v>9</v>
      </c>
      <c r="C120" s="3" t="s">
        <v>16</v>
      </c>
      <c r="D120" s="4">
        <v>3</v>
      </c>
      <c r="E120" s="4">
        <v>20000</v>
      </c>
      <c r="F120" s="4">
        <v>60000</v>
      </c>
    </row>
    <row r="121" spans="1:6" ht="15">
      <c r="A121" s="3" t="s">
        <v>24</v>
      </c>
      <c r="B121" s="3" t="s">
        <v>9</v>
      </c>
      <c r="C121" s="3" t="s">
        <v>12</v>
      </c>
      <c r="D121" s="4">
        <v>1</v>
      </c>
      <c r="E121" s="4">
        <v>30000</v>
      </c>
      <c r="F121" s="4">
        <v>30000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21"/>
  <sheetViews>
    <sheetView workbookViewId="0">
      <selection sqref="A1:F121"/>
    </sheetView>
  </sheetViews>
  <sheetFormatPr defaultColWidth="12.5703125" defaultRowHeight="15.75" customHeight="1"/>
  <cols>
    <col min="1" max="1" width="10.42578125" bestFit="1" customWidth="1"/>
    <col min="2" max="2" width="8.7109375" bestFit="1" customWidth="1"/>
    <col min="3" max="3" width="9.140625" bestFit="1" customWidth="1"/>
    <col min="4" max="4" width="4.140625" bestFit="1" customWidth="1"/>
    <col min="5" max="5" width="6" bestFit="1" customWidth="1"/>
    <col min="6" max="6" width="7" bestFit="1" customWidth="1"/>
  </cols>
  <sheetData>
    <row r="1" spans="1:6" ht="15">
      <c r="A1" s="1" t="s">
        <v>0</v>
      </c>
      <c r="B1" s="1" t="s">
        <v>1</v>
      </c>
      <c r="C1" s="1" t="s">
        <v>2</v>
      </c>
      <c r="D1" s="1" t="s">
        <v>3</v>
      </c>
      <c r="E1" s="1" t="s">
        <v>4</v>
      </c>
      <c r="F1" s="1" t="s">
        <v>5</v>
      </c>
    </row>
    <row r="2" spans="1:6" ht="15">
      <c r="A2" s="3" t="s">
        <v>6</v>
      </c>
      <c r="B2" s="3" t="s">
        <v>11</v>
      </c>
      <c r="C2" s="3" t="s">
        <v>13</v>
      </c>
      <c r="D2" s="4">
        <v>3</v>
      </c>
      <c r="E2" s="4">
        <v>20000</v>
      </c>
      <c r="F2" s="4">
        <v>60000</v>
      </c>
    </row>
    <row r="3" spans="1:6" ht="15">
      <c r="A3" s="2">
        <v>45970</v>
      </c>
      <c r="B3" s="3" t="s">
        <v>11</v>
      </c>
      <c r="C3" s="3" t="s">
        <v>8</v>
      </c>
      <c r="D3" s="4">
        <v>5</v>
      </c>
      <c r="E3" s="4">
        <v>30000</v>
      </c>
      <c r="F3" s="4">
        <v>150000</v>
      </c>
    </row>
    <row r="4" spans="1:6" ht="15">
      <c r="A4" s="3" t="s">
        <v>18</v>
      </c>
      <c r="B4" s="3" t="s">
        <v>11</v>
      </c>
      <c r="C4" s="3" t="s">
        <v>12</v>
      </c>
      <c r="D4" s="4">
        <v>1</v>
      </c>
      <c r="E4" s="4">
        <v>28000</v>
      </c>
      <c r="F4" s="4">
        <v>28000</v>
      </c>
    </row>
    <row r="5" spans="1:6" ht="15">
      <c r="A5" s="3" t="s">
        <v>18</v>
      </c>
      <c r="B5" s="3" t="s">
        <v>11</v>
      </c>
      <c r="C5" s="3" t="s">
        <v>8</v>
      </c>
      <c r="D5" s="4">
        <v>2</v>
      </c>
      <c r="E5" s="4">
        <v>30000</v>
      </c>
      <c r="F5" s="4">
        <v>60000</v>
      </c>
    </row>
    <row r="6" spans="1:6" ht="15">
      <c r="A6" s="2">
        <v>45847</v>
      </c>
      <c r="B6" s="3" t="s">
        <v>11</v>
      </c>
      <c r="C6" s="3" t="s">
        <v>15</v>
      </c>
      <c r="D6" s="4">
        <v>2</v>
      </c>
      <c r="E6" s="4">
        <v>35000</v>
      </c>
      <c r="F6" s="4">
        <v>70000</v>
      </c>
    </row>
    <row r="7" spans="1:6" ht="15">
      <c r="A7" s="3" t="s">
        <v>18</v>
      </c>
      <c r="B7" s="3" t="s">
        <v>11</v>
      </c>
      <c r="C7" s="3" t="s">
        <v>13</v>
      </c>
      <c r="D7" s="4">
        <v>3</v>
      </c>
      <c r="E7" s="4">
        <v>25000</v>
      </c>
      <c r="F7" s="4">
        <v>75000</v>
      </c>
    </row>
    <row r="8" spans="1:6" ht="15">
      <c r="A8" s="3" t="s">
        <v>22</v>
      </c>
      <c r="B8" s="3" t="s">
        <v>11</v>
      </c>
      <c r="C8" s="3" t="s">
        <v>16</v>
      </c>
      <c r="D8" s="4">
        <v>1</v>
      </c>
      <c r="E8" s="4">
        <v>20000</v>
      </c>
      <c r="F8" s="4">
        <v>20000</v>
      </c>
    </row>
    <row r="9" spans="1:6" ht="15">
      <c r="A9" s="3" t="s">
        <v>24</v>
      </c>
      <c r="B9" s="3" t="s">
        <v>11</v>
      </c>
      <c r="C9" s="3" t="s">
        <v>12</v>
      </c>
      <c r="D9" s="4">
        <v>1</v>
      </c>
      <c r="E9" s="4">
        <v>35000</v>
      </c>
      <c r="F9" s="4">
        <v>35000</v>
      </c>
    </row>
    <row r="10" spans="1:6" ht="15">
      <c r="A10" s="3" t="s">
        <v>26</v>
      </c>
      <c r="B10" s="3" t="s">
        <v>11</v>
      </c>
      <c r="C10" s="3" t="s">
        <v>8</v>
      </c>
      <c r="D10" s="4">
        <v>5</v>
      </c>
      <c r="E10" s="4">
        <v>30000</v>
      </c>
      <c r="F10" s="4">
        <v>150000</v>
      </c>
    </row>
    <row r="11" spans="1:6" ht="15">
      <c r="A11" s="3" t="s">
        <v>18</v>
      </c>
      <c r="B11" s="3" t="s">
        <v>11</v>
      </c>
      <c r="C11" s="3" t="s">
        <v>15</v>
      </c>
      <c r="D11" s="4">
        <v>1</v>
      </c>
      <c r="E11" s="4">
        <v>28000</v>
      </c>
      <c r="F11" s="4">
        <v>28000</v>
      </c>
    </row>
    <row r="12" spans="1:6" ht="15">
      <c r="A12" s="2">
        <v>45756</v>
      </c>
      <c r="B12" s="3" t="s">
        <v>11</v>
      </c>
      <c r="C12" s="3" t="s">
        <v>13</v>
      </c>
      <c r="D12" s="4">
        <v>1</v>
      </c>
      <c r="E12" s="4">
        <v>30000</v>
      </c>
      <c r="F12" s="4">
        <v>30000</v>
      </c>
    </row>
    <row r="13" spans="1:6" ht="15">
      <c r="A13" s="3" t="s">
        <v>10</v>
      </c>
      <c r="B13" s="3" t="s">
        <v>11</v>
      </c>
      <c r="C13" s="3" t="s">
        <v>13</v>
      </c>
      <c r="D13" s="4">
        <v>4</v>
      </c>
      <c r="E13" s="4">
        <v>25000</v>
      </c>
      <c r="F13" s="4">
        <v>100000</v>
      </c>
    </row>
    <row r="14" spans="1:6" ht="15">
      <c r="A14" s="2">
        <v>45970</v>
      </c>
      <c r="B14" s="3" t="s">
        <v>11</v>
      </c>
      <c r="C14" s="3" t="s">
        <v>8</v>
      </c>
      <c r="D14" s="4">
        <v>3</v>
      </c>
      <c r="E14" s="4">
        <v>28000</v>
      </c>
      <c r="F14" s="4">
        <v>84000</v>
      </c>
    </row>
    <row r="15" spans="1:6" ht="15">
      <c r="A15" s="3" t="s">
        <v>10</v>
      </c>
      <c r="B15" s="3" t="s">
        <v>11</v>
      </c>
      <c r="C15" s="3" t="s">
        <v>12</v>
      </c>
      <c r="D15" s="4">
        <v>5</v>
      </c>
      <c r="E15" s="4">
        <v>20000</v>
      </c>
      <c r="F15" s="4">
        <v>100000</v>
      </c>
    </row>
    <row r="16" spans="1:6" ht="15">
      <c r="A16" s="3" t="s">
        <v>28</v>
      </c>
      <c r="B16" s="3" t="s">
        <v>11</v>
      </c>
      <c r="C16" s="3" t="s">
        <v>8</v>
      </c>
      <c r="D16" s="4">
        <v>3</v>
      </c>
      <c r="E16" s="4">
        <v>30000</v>
      </c>
      <c r="F16" s="4">
        <v>90000</v>
      </c>
    </row>
    <row r="17" spans="1:6" ht="15">
      <c r="A17" s="3" t="s">
        <v>30</v>
      </c>
      <c r="B17" s="3" t="s">
        <v>11</v>
      </c>
      <c r="C17" s="3" t="s">
        <v>15</v>
      </c>
      <c r="D17" s="4">
        <v>5</v>
      </c>
      <c r="E17" s="4">
        <v>30000</v>
      </c>
      <c r="F17" s="4">
        <v>150000</v>
      </c>
    </row>
    <row r="18" spans="1:6" ht="15">
      <c r="A18" s="3" t="s">
        <v>19</v>
      </c>
      <c r="B18" s="3" t="s">
        <v>11</v>
      </c>
      <c r="C18" s="3" t="s">
        <v>13</v>
      </c>
      <c r="D18" s="4">
        <v>5</v>
      </c>
      <c r="E18" s="4">
        <v>35000</v>
      </c>
      <c r="F18" s="4">
        <v>175000</v>
      </c>
    </row>
    <row r="19" spans="1:6" ht="15">
      <c r="A19" s="3" t="s">
        <v>21</v>
      </c>
      <c r="B19" s="3" t="s">
        <v>11</v>
      </c>
      <c r="C19" s="3" t="s">
        <v>16</v>
      </c>
      <c r="D19" s="4">
        <v>3</v>
      </c>
      <c r="E19" s="4">
        <v>30000</v>
      </c>
      <c r="F19" s="4">
        <v>90000</v>
      </c>
    </row>
    <row r="20" spans="1:6" ht="15">
      <c r="A20" s="3" t="s">
        <v>31</v>
      </c>
      <c r="B20" s="3" t="s">
        <v>11</v>
      </c>
      <c r="C20" s="3" t="s">
        <v>12</v>
      </c>
      <c r="D20" s="4">
        <v>2</v>
      </c>
      <c r="E20" s="4">
        <v>30000</v>
      </c>
      <c r="F20" s="4">
        <v>60000</v>
      </c>
    </row>
    <row r="21" spans="1:6" ht="15">
      <c r="A21" s="3" t="s">
        <v>22</v>
      </c>
      <c r="B21" s="3" t="s">
        <v>11</v>
      </c>
      <c r="C21" s="3" t="s">
        <v>8</v>
      </c>
      <c r="D21" s="4">
        <v>1</v>
      </c>
      <c r="E21" s="4">
        <v>25000</v>
      </c>
      <c r="F21" s="4">
        <v>25000</v>
      </c>
    </row>
    <row r="22" spans="1:6" ht="15">
      <c r="A22" s="3" t="s">
        <v>10</v>
      </c>
      <c r="B22" s="3" t="s">
        <v>11</v>
      </c>
      <c r="C22" s="3" t="s">
        <v>15</v>
      </c>
      <c r="D22" s="4">
        <v>3</v>
      </c>
      <c r="E22" s="4">
        <v>28000</v>
      </c>
      <c r="F22" s="4">
        <v>84000</v>
      </c>
    </row>
    <row r="23" spans="1:6" ht="15">
      <c r="A23" s="3" t="s">
        <v>26</v>
      </c>
      <c r="B23" s="3" t="s">
        <v>11</v>
      </c>
      <c r="C23" s="3" t="s">
        <v>13</v>
      </c>
      <c r="D23" s="4">
        <v>1</v>
      </c>
      <c r="E23" s="4">
        <v>28000</v>
      </c>
      <c r="F23" s="4">
        <v>28000</v>
      </c>
    </row>
    <row r="24" spans="1:6" ht="15">
      <c r="A24" s="3" t="s">
        <v>30</v>
      </c>
      <c r="B24" s="3" t="s">
        <v>11</v>
      </c>
      <c r="C24" s="3" t="s">
        <v>13</v>
      </c>
      <c r="D24" s="4">
        <v>5</v>
      </c>
      <c r="E24" s="4">
        <v>30000</v>
      </c>
      <c r="F24" s="4">
        <v>150000</v>
      </c>
    </row>
    <row r="25" spans="1:6" ht="15">
      <c r="A25" s="2">
        <v>45878</v>
      </c>
      <c r="B25" s="3" t="s">
        <v>11</v>
      </c>
      <c r="C25" s="3" t="s">
        <v>8</v>
      </c>
      <c r="D25" s="4">
        <v>2</v>
      </c>
      <c r="E25" s="4">
        <v>30000</v>
      </c>
      <c r="F25" s="4">
        <v>60000</v>
      </c>
    </row>
    <row r="26" spans="1:6" ht="15">
      <c r="A26" s="2">
        <v>45909</v>
      </c>
      <c r="B26" s="3" t="s">
        <v>11</v>
      </c>
      <c r="C26" s="3" t="s">
        <v>12</v>
      </c>
      <c r="D26" s="4">
        <v>5</v>
      </c>
      <c r="E26" s="4">
        <v>20000</v>
      </c>
      <c r="F26" s="4">
        <v>100000</v>
      </c>
    </row>
    <row r="27" spans="1:6" ht="15">
      <c r="A27" s="2">
        <v>45666</v>
      </c>
      <c r="B27" s="3" t="s">
        <v>11</v>
      </c>
      <c r="C27" s="3" t="s">
        <v>8</v>
      </c>
      <c r="D27" s="4">
        <v>4</v>
      </c>
      <c r="E27" s="4">
        <v>20000</v>
      </c>
      <c r="F27" s="4">
        <v>80000</v>
      </c>
    </row>
    <row r="28" spans="1:6" ht="15">
      <c r="A28" s="3" t="s">
        <v>17</v>
      </c>
      <c r="B28" s="3" t="s">
        <v>11</v>
      </c>
      <c r="C28" s="3" t="s">
        <v>15</v>
      </c>
      <c r="D28" s="4">
        <v>2</v>
      </c>
      <c r="E28" s="4">
        <v>28000</v>
      </c>
      <c r="F28" s="4">
        <v>56000</v>
      </c>
    </row>
    <row r="29" spans="1:6" ht="15">
      <c r="A29" s="2">
        <v>45725</v>
      </c>
      <c r="B29" s="3" t="s">
        <v>11</v>
      </c>
      <c r="C29" s="3" t="s">
        <v>13</v>
      </c>
      <c r="D29" s="4">
        <v>3</v>
      </c>
      <c r="E29" s="4">
        <v>28000</v>
      </c>
      <c r="F29" s="4">
        <v>84000</v>
      </c>
    </row>
    <row r="30" spans="1:6" ht="15">
      <c r="A30" s="3" t="s">
        <v>21</v>
      </c>
      <c r="B30" s="3" t="s">
        <v>11</v>
      </c>
      <c r="C30" s="3" t="s">
        <v>16</v>
      </c>
      <c r="D30" s="4">
        <v>5</v>
      </c>
      <c r="E30" s="4">
        <v>35000</v>
      </c>
      <c r="F30" s="4">
        <v>175000</v>
      </c>
    </row>
    <row r="31" spans="1:6" ht="15">
      <c r="A31" s="3" t="s">
        <v>28</v>
      </c>
      <c r="B31" s="3" t="s">
        <v>11</v>
      </c>
      <c r="C31" s="3" t="s">
        <v>12</v>
      </c>
      <c r="D31" s="4">
        <v>5</v>
      </c>
      <c r="E31" s="4">
        <v>35000</v>
      </c>
      <c r="F31" s="4">
        <v>175000</v>
      </c>
    </row>
    <row r="32" spans="1:6" ht="15">
      <c r="A32" s="2">
        <v>45817</v>
      </c>
      <c r="B32" s="3" t="s">
        <v>11</v>
      </c>
      <c r="C32" s="3" t="s">
        <v>8</v>
      </c>
      <c r="D32" s="4">
        <v>1</v>
      </c>
      <c r="E32" s="4">
        <v>35000</v>
      </c>
      <c r="F32" s="4">
        <v>35000</v>
      </c>
    </row>
    <row r="33" spans="1:6" ht="15">
      <c r="A33" s="3" t="s">
        <v>32</v>
      </c>
      <c r="B33" s="3" t="s">
        <v>11</v>
      </c>
      <c r="C33" s="3" t="s">
        <v>15</v>
      </c>
      <c r="D33" s="4">
        <v>4</v>
      </c>
      <c r="E33" s="4">
        <v>35000</v>
      </c>
      <c r="F33" s="4">
        <v>140000</v>
      </c>
    </row>
    <row r="34" spans="1:6" ht="15">
      <c r="A34" s="2">
        <v>45666</v>
      </c>
      <c r="B34" s="3" t="s">
        <v>11</v>
      </c>
      <c r="C34" s="3" t="s">
        <v>13</v>
      </c>
      <c r="D34" s="4">
        <v>1</v>
      </c>
      <c r="E34" s="4">
        <v>20000</v>
      </c>
      <c r="F34" s="4">
        <v>20000</v>
      </c>
    </row>
    <row r="35" spans="1:6" ht="15">
      <c r="A35" s="3" t="s">
        <v>27</v>
      </c>
      <c r="B35" s="3" t="s">
        <v>11</v>
      </c>
      <c r="C35" s="3" t="s">
        <v>13</v>
      </c>
      <c r="D35" s="4">
        <v>5</v>
      </c>
      <c r="E35" s="4">
        <v>30000</v>
      </c>
      <c r="F35" s="4">
        <v>150000</v>
      </c>
    </row>
    <row r="36" spans="1:6" ht="15">
      <c r="A36" s="2">
        <v>45909</v>
      </c>
      <c r="B36" s="3" t="s">
        <v>11</v>
      </c>
      <c r="C36" s="3" t="s">
        <v>8</v>
      </c>
      <c r="D36" s="4">
        <v>1</v>
      </c>
      <c r="E36" s="4">
        <v>35000</v>
      </c>
      <c r="F36" s="4">
        <v>35000</v>
      </c>
    </row>
    <row r="37" spans="1:6" ht="15">
      <c r="A37" s="2">
        <v>45878</v>
      </c>
      <c r="B37" s="3" t="s">
        <v>11</v>
      </c>
      <c r="C37" s="3" t="s">
        <v>12</v>
      </c>
      <c r="D37" s="4">
        <v>3</v>
      </c>
      <c r="E37" s="4">
        <v>30000</v>
      </c>
      <c r="F37" s="4">
        <v>90000</v>
      </c>
    </row>
    <row r="38" spans="1:6" ht="15">
      <c r="A38" s="2">
        <v>45909</v>
      </c>
      <c r="B38" s="3" t="s">
        <v>11</v>
      </c>
      <c r="C38" s="3" t="s">
        <v>8</v>
      </c>
      <c r="D38" s="4">
        <v>1</v>
      </c>
      <c r="E38" s="4">
        <v>25000</v>
      </c>
      <c r="F38" s="4">
        <v>25000</v>
      </c>
    </row>
    <row r="39" spans="1:6" ht="15">
      <c r="A39" s="2">
        <v>46000</v>
      </c>
      <c r="B39" s="3" t="s">
        <v>11</v>
      </c>
      <c r="C39" s="3" t="s">
        <v>15</v>
      </c>
      <c r="D39" s="4">
        <v>1</v>
      </c>
      <c r="E39" s="4">
        <v>35000</v>
      </c>
      <c r="F39" s="4">
        <v>35000</v>
      </c>
    </row>
    <row r="40" spans="1:6" ht="15">
      <c r="A40" s="2">
        <v>45939</v>
      </c>
      <c r="B40" s="3" t="s">
        <v>11</v>
      </c>
      <c r="C40" s="3" t="s">
        <v>13</v>
      </c>
      <c r="D40" s="4">
        <v>2</v>
      </c>
      <c r="E40" s="4">
        <v>20000</v>
      </c>
      <c r="F40" s="4">
        <v>40000</v>
      </c>
    </row>
    <row r="41" spans="1:6" ht="15">
      <c r="A41" s="3" t="s">
        <v>20</v>
      </c>
      <c r="B41" s="3" t="s">
        <v>11</v>
      </c>
      <c r="C41" s="3" t="s">
        <v>16</v>
      </c>
      <c r="D41" s="4">
        <v>5</v>
      </c>
      <c r="E41" s="4">
        <v>35000</v>
      </c>
      <c r="F41" s="4">
        <v>175000</v>
      </c>
    </row>
    <row r="42" spans="1:6" ht="15">
      <c r="A42" s="2">
        <v>45756</v>
      </c>
      <c r="B42" s="3" t="s">
        <v>11</v>
      </c>
      <c r="C42" s="3" t="s">
        <v>12</v>
      </c>
      <c r="D42" s="4">
        <v>1</v>
      </c>
      <c r="E42" s="4">
        <v>28000</v>
      </c>
      <c r="F42" s="4">
        <v>28000</v>
      </c>
    </row>
    <row r="43" spans="1:6" ht="15">
      <c r="A43" s="2">
        <v>45939</v>
      </c>
      <c r="B43" s="3" t="s">
        <v>11</v>
      </c>
      <c r="C43" s="3" t="s">
        <v>8</v>
      </c>
      <c r="D43" s="4">
        <v>1</v>
      </c>
      <c r="E43" s="4">
        <v>30000</v>
      </c>
      <c r="F43" s="4">
        <v>30000</v>
      </c>
    </row>
    <row r="44" spans="1:6" ht="15">
      <c r="A44" s="3" t="s">
        <v>19</v>
      </c>
      <c r="B44" s="3" t="s">
        <v>11</v>
      </c>
      <c r="C44" s="3" t="s">
        <v>15</v>
      </c>
      <c r="D44" s="4">
        <v>4</v>
      </c>
      <c r="E44" s="4">
        <v>35000</v>
      </c>
      <c r="F44" s="4">
        <v>140000</v>
      </c>
    </row>
    <row r="45" spans="1:6" ht="15">
      <c r="A45" s="3" t="s">
        <v>19</v>
      </c>
      <c r="B45" s="3" t="s">
        <v>11</v>
      </c>
      <c r="C45" s="3" t="s">
        <v>13</v>
      </c>
      <c r="D45" s="4">
        <v>3</v>
      </c>
      <c r="E45" s="4">
        <v>20000</v>
      </c>
      <c r="F45" s="4">
        <v>60000</v>
      </c>
    </row>
    <row r="46" spans="1:6" ht="15">
      <c r="A46" s="2">
        <v>45909</v>
      </c>
      <c r="B46" s="3" t="s">
        <v>11</v>
      </c>
      <c r="C46" s="3" t="s">
        <v>8</v>
      </c>
      <c r="D46" s="4">
        <v>3</v>
      </c>
      <c r="E46" s="4">
        <v>20000</v>
      </c>
      <c r="F46" s="4">
        <v>60000</v>
      </c>
    </row>
    <row r="47" spans="1:6" ht="15">
      <c r="A47" s="2">
        <v>45939</v>
      </c>
      <c r="B47" s="3" t="s">
        <v>11</v>
      </c>
      <c r="C47" s="3" t="s">
        <v>15</v>
      </c>
      <c r="D47" s="4">
        <v>2</v>
      </c>
      <c r="E47" s="4">
        <v>30000</v>
      </c>
      <c r="F47" s="4">
        <v>60000</v>
      </c>
    </row>
    <row r="48" spans="1:6" ht="15">
      <c r="A48" s="2">
        <v>46000</v>
      </c>
      <c r="B48" s="3" t="s">
        <v>11</v>
      </c>
      <c r="C48" s="3" t="s">
        <v>13</v>
      </c>
      <c r="D48" s="4">
        <v>5</v>
      </c>
      <c r="E48" s="4">
        <v>20000</v>
      </c>
      <c r="F48" s="4">
        <v>100000</v>
      </c>
    </row>
    <row r="49" spans="1:6" ht="15">
      <c r="A49" s="3" t="s">
        <v>28</v>
      </c>
      <c r="B49" s="3" t="s">
        <v>11</v>
      </c>
      <c r="C49" s="3" t="s">
        <v>16</v>
      </c>
      <c r="D49" s="4">
        <v>5</v>
      </c>
      <c r="E49" s="4">
        <v>30000</v>
      </c>
      <c r="F49" s="4">
        <v>150000</v>
      </c>
    </row>
    <row r="50" spans="1:6" ht="15">
      <c r="A50" s="3" t="s">
        <v>17</v>
      </c>
      <c r="B50" s="3" t="s">
        <v>11</v>
      </c>
      <c r="C50" s="3" t="s">
        <v>12</v>
      </c>
      <c r="D50" s="4">
        <v>1</v>
      </c>
      <c r="E50" s="4">
        <v>30000</v>
      </c>
      <c r="F50" s="4">
        <v>30000</v>
      </c>
    </row>
    <row r="51" spans="1:6" ht="15">
      <c r="A51" s="3" t="s">
        <v>26</v>
      </c>
      <c r="B51" s="3" t="s">
        <v>11</v>
      </c>
      <c r="C51" s="3" t="s">
        <v>8</v>
      </c>
      <c r="D51" s="4">
        <v>1</v>
      </c>
      <c r="E51" s="4">
        <v>28000</v>
      </c>
      <c r="F51" s="4">
        <v>28000</v>
      </c>
    </row>
    <row r="52" spans="1:6" ht="15">
      <c r="A52" s="3" t="s">
        <v>6</v>
      </c>
      <c r="B52" s="3" t="s">
        <v>11</v>
      </c>
      <c r="C52" s="3" t="s">
        <v>15</v>
      </c>
      <c r="D52" s="4">
        <v>2</v>
      </c>
      <c r="E52" s="4">
        <v>28000</v>
      </c>
      <c r="F52" s="4">
        <v>56000</v>
      </c>
    </row>
    <row r="53" spans="1:6" ht="15">
      <c r="A53" s="2">
        <v>45970</v>
      </c>
      <c r="B53" s="3" t="s">
        <v>11</v>
      </c>
      <c r="C53" s="3" t="s">
        <v>13</v>
      </c>
      <c r="D53" s="4">
        <v>4</v>
      </c>
      <c r="E53" s="4">
        <v>35000</v>
      </c>
      <c r="F53" s="4">
        <v>140000</v>
      </c>
    </row>
    <row r="54" spans="1:6" ht="15">
      <c r="A54" s="2">
        <v>45909</v>
      </c>
      <c r="B54" s="3" t="s">
        <v>11</v>
      </c>
      <c r="C54" s="3" t="s">
        <v>16</v>
      </c>
      <c r="D54" s="4">
        <v>1</v>
      </c>
      <c r="E54" s="4">
        <v>28000</v>
      </c>
      <c r="F54" s="4">
        <v>28000</v>
      </c>
    </row>
    <row r="55" spans="1:6" ht="15">
      <c r="A55" s="3" t="s">
        <v>31</v>
      </c>
      <c r="B55" s="3" t="s">
        <v>11</v>
      </c>
      <c r="C55" s="3" t="s">
        <v>12</v>
      </c>
      <c r="D55" s="4">
        <v>4</v>
      </c>
      <c r="E55" s="4">
        <v>20000</v>
      </c>
      <c r="F55" s="4">
        <v>80000</v>
      </c>
    </row>
    <row r="56" spans="1:6" ht="15">
      <c r="A56" s="3" t="s">
        <v>6</v>
      </c>
      <c r="B56" s="3" t="s">
        <v>11</v>
      </c>
      <c r="C56" s="3" t="s">
        <v>8</v>
      </c>
      <c r="D56" s="4">
        <v>3</v>
      </c>
      <c r="E56" s="4">
        <v>35000</v>
      </c>
      <c r="F56" s="4">
        <v>105000</v>
      </c>
    </row>
    <row r="57" spans="1:6" ht="15">
      <c r="A57" s="2">
        <v>46000</v>
      </c>
      <c r="B57" s="3" t="s">
        <v>11</v>
      </c>
      <c r="C57" s="3" t="s">
        <v>15</v>
      </c>
      <c r="D57" s="4">
        <v>4</v>
      </c>
      <c r="E57" s="4">
        <v>35000</v>
      </c>
      <c r="F57" s="4">
        <v>140000</v>
      </c>
    </row>
    <row r="58" spans="1:6" ht="15">
      <c r="A58" s="3" t="s">
        <v>30</v>
      </c>
      <c r="B58" s="3" t="s">
        <v>11</v>
      </c>
      <c r="C58" s="3" t="s">
        <v>13</v>
      </c>
      <c r="D58" s="4">
        <v>5</v>
      </c>
      <c r="E58" s="4">
        <v>28000</v>
      </c>
      <c r="F58" s="4">
        <v>140000</v>
      </c>
    </row>
    <row r="59" spans="1:6" ht="15">
      <c r="A59" s="2">
        <v>45725</v>
      </c>
      <c r="B59" s="3" t="s">
        <v>11</v>
      </c>
      <c r="C59" s="3" t="s">
        <v>16</v>
      </c>
      <c r="D59" s="4">
        <v>1</v>
      </c>
      <c r="E59" s="4">
        <v>35000</v>
      </c>
      <c r="F59" s="4">
        <v>35000</v>
      </c>
    </row>
    <row r="60" spans="1:6" ht="15">
      <c r="A60" s="2">
        <v>45970</v>
      </c>
      <c r="B60" s="3" t="s">
        <v>11</v>
      </c>
      <c r="C60" s="3" t="s">
        <v>12</v>
      </c>
      <c r="D60" s="4">
        <v>2</v>
      </c>
      <c r="E60" s="4">
        <v>20000</v>
      </c>
      <c r="F60" s="4">
        <v>40000</v>
      </c>
    </row>
    <row r="61" spans="1:6" ht="15">
      <c r="A61" s="2">
        <v>45817</v>
      </c>
      <c r="B61" s="3" t="s">
        <v>11</v>
      </c>
      <c r="C61" s="3" t="s">
        <v>8</v>
      </c>
      <c r="D61" s="4">
        <v>5</v>
      </c>
      <c r="E61" s="4">
        <v>30000</v>
      </c>
      <c r="F61" s="4">
        <v>150000</v>
      </c>
    </row>
    <row r="62" spans="1:6" ht="15">
      <c r="A62" s="3" t="s">
        <v>17</v>
      </c>
      <c r="B62" s="3" t="s">
        <v>11</v>
      </c>
      <c r="C62" s="3" t="s">
        <v>15</v>
      </c>
      <c r="D62" s="4">
        <v>1</v>
      </c>
      <c r="E62" s="4">
        <v>30000</v>
      </c>
      <c r="F62" s="4">
        <v>30000</v>
      </c>
    </row>
    <row r="63" spans="1:6" ht="15">
      <c r="A63" s="3" t="s">
        <v>26</v>
      </c>
      <c r="B63" s="3" t="s">
        <v>11</v>
      </c>
      <c r="C63" s="3" t="s">
        <v>13</v>
      </c>
      <c r="D63" s="4">
        <v>1</v>
      </c>
      <c r="E63" s="4">
        <v>28000</v>
      </c>
      <c r="F63" s="4">
        <v>28000</v>
      </c>
    </row>
    <row r="64" spans="1:6" ht="15">
      <c r="A64" s="2">
        <v>45847</v>
      </c>
      <c r="B64" s="3" t="s">
        <v>11</v>
      </c>
      <c r="C64" s="3" t="s">
        <v>16</v>
      </c>
      <c r="D64" s="4">
        <v>3</v>
      </c>
      <c r="E64" s="4">
        <v>30000</v>
      </c>
      <c r="F64" s="4">
        <v>90000</v>
      </c>
    </row>
    <row r="65" spans="1:6" ht="15">
      <c r="A65" s="3" t="s">
        <v>26</v>
      </c>
      <c r="B65" s="3" t="s">
        <v>11</v>
      </c>
      <c r="C65" s="3" t="s">
        <v>12</v>
      </c>
      <c r="D65" s="4">
        <v>1</v>
      </c>
      <c r="E65" s="4">
        <v>25000</v>
      </c>
      <c r="F65" s="4">
        <v>25000</v>
      </c>
    </row>
    <row r="66" spans="1:6" ht="15">
      <c r="A66" s="3" t="s">
        <v>28</v>
      </c>
      <c r="B66" s="3" t="s">
        <v>11</v>
      </c>
      <c r="C66" s="3" t="s">
        <v>13</v>
      </c>
      <c r="D66" s="4">
        <v>1</v>
      </c>
      <c r="E66" s="4">
        <v>35000</v>
      </c>
      <c r="F66" s="4">
        <v>35000</v>
      </c>
    </row>
    <row r="67" spans="1:6" ht="15">
      <c r="A67" s="2">
        <v>45786</v>
      </c>
      <c r="B67" s="3" t="s">
        <v>11</v>
      </c>
      <c r="C67" s="3" t="s">
        <v>16</v>
      </c>
      <c r="D67" s="4">
        <v>1</v>
      </c>
      <c r="E67" s="4">
        <v>20000</v>
      </c>
      <c r="F67" s="4">
        <v>20000</v>
      </c>
    </row>
    <row r="68" spans="1:6" ht="15">
      <c r="A68" s="3" t="s">
        <v>20</v>
      </c>
      <c r="B68" s="3" t="s">
        <v>11</v>
      </c>
      <c r="C68" s="3" t="s">
        <v>12</v>
      </c>
      <c r="D68" s="4">
        <v>1</v>
      </c>
      <c r="E68" s="4">
        <v>35000</v>
      </c>
      <c r="F68" s="4">
        <v>35000</v>
      </c>
    </row>
    <row r="69" spans="1:6" ht="15">
      <c r="A69" s="3" t="s">
        <v>21</v>
      </c>
      <c r="B69" s="3" t="s">
        <v>11</v>
      </c>
      <c r="C69" s="3" t="s">
        <v>8</v>
      </c>
      <c r="D69" s="4">
        <v>1</v>
      </c>
      <c r="E69" s="4">
        <v>28000</v>
      </c>
      <c r="F69" s="4">
        <v>28000</v>
      </c>
    </row>
    <row r="70" spans="1:6" ht="15">
      <c r="A70" s="3" t="s">
        <v>10</v>
      </c>
      <c r="B70" s="3" t="s">
        <v>11</v>
      </c>
      <c r="C70" s="3" t="s">
        <v>15</v>
      </c>
      <c r="D70" s="4">
        <v>1</v>
      </c>
      <c r="E70" s="4">
        <v>25000</v>
      </c>
      <c r="F70" s="4">
        <v>25000</v>
      </c>
    </row>
    <row r="71" spans="1:6" ht="15">
      <c r="A71" s="2">
        <v>45697</v>
      </c>
      <c r="B71" s="3" t="s">
        <v>11</v>
      </c>
      <c r="C71" s="3" t="s">
        <v>13</v>
      </c>
      <c r="D71" s="4">
        <v>1</v>
      </c>
      <c r="E71" s="4">
        <v>35000</v>
      </c>
      <c r="F71" s="4">
        <v>35000</v>
      </c>
    </row>
    <row r="72" spans="1:6" ht="15">
      <c r="A72" s="3" t="s">
        <v>31</v>
      </c>
      <c r="B72" s="3" t="s">
        <v>11</v>
      </c>
      <c r="C72" s="3" t="s">
        <v>16</v>
      </c>
      <c r="D72" s="4">
        <v>4</v>
      </c>
      <c r="E72" s="4">
        <v>28000</v>
      </c>
      <c r="F72" s="4">
        <v>112000</v>
      </c>
    </row>
    <row r="73" spans="1:6" ht="15">
      <c r="A73" s="3" t="s">
        <v>31</v>
      </c>
      <c r="B73" s="3" t="s">
        <v>11</v>
      </c>
      <c r="C73" s="3" t="s">
        <v>12</v>
      </c>
      <c r="D73" s="4">
        <v>1</v>
      </c>
      <c r="E73" s="4">
        <v>28000</v>
      </c>
      <c r="F73" s="4">
        <v>28000</v>
      </c>
    </row>
    <row r="74" spans="1:6" ht="15">
      <c r="A74" s="3" t="s">
        <v>23</v>
      </c>
      <c r="B74" s="3" t="s">
        <v>11</v>
      </c>
      <c r="C74" s="3" t="s">
        <v>8</v>
      </c>
      <c r="D74" s="4">
        <v>5</v>
      </c>
      <c r="E74" s="4">
        <v>25000</v>
      </c>
      <c r="F74" s="4">
        <v>125000</v>
      </c>
    </row>
    <row r="75" spans="1:6" ht="15">
      <c r="A75" s="3" t="s">
        <v>28</v>
      </c>
      <c r="B75" s="3" t="s">
        <v>11</v>
      </c>
      <c r="C75" s="3" t="s">
        <v>15</v>
      </c>
      <c r="D75" s="4">
        <v>5</v>
      </c>
      <c r="E75" s="4">
        <v>28000</v>
      </c>
      <c r="F75" s="4">
        <v>140000</v>
      </c>
    </row>
    <row r="76" spans="1:6" ht="15">
      <c r="A76" s="2">
        <v>45909</v>
      </c>
      <c r="B76" s="3" t="s">
        <v>11</v>
      </c>
      <c r="C76" s="3" t="s">
        <v>13</v>
      </c>
      <c r="D76" s="4">
        <v>5</v>
      </c>
      <c r="E76" s="4">
        <v>35000</v>
      </c>
      <c r="F76" s="4">
        <v>175000</v>
      </c>
    </row>
    <row r="77" spans="1:6" ht="15">
      <c r="A77" s="3" t="s">
        <v>30</v>
      </c>
      <c r="B77" s="3" t="s">
        <v>11</v>
      </c>
      <c r="C77" s="3" t="s">
        <v>16</v>
      </c>
      <c r="D77" s="4">
        <v>5</v>
      </c>
      <c r="E77" s="4">
        <v>25000</v>
      </c>
      <c r="F77" s="4">
        <v>125000</v>
      </c>
    </row>
    <row r="78" spans="1:6" ht="15">
      <c r="A78" s="3" t="s">
        <v>32</v>
      </c>
      <c r="B78" s="3" t="s">
        <v>11</v>
      </c>
      <c r="C78" s="3" t="s">
        <v>12</v>
      </c>
      <c r="D78" s="4">
        <v>1</v>
      </c>
      <c r="E78" s="4">
        <v>28000</v>
      </c>
      <c r="F78" s="4">
        <v>28000</v>
      </c>
    </row>
    <row r="79" spans="1:6" ht="15">
      <c r="A79" s="3" t="s">
        <v>25</v>
      </c>
      <c r="B79" s="3" t="s">
        <v>11</v>
      </c>
      <c r="C79" s="3" t="s">
        <v>16</v>
      </c>
      <c r="D79" s="4">
        <v>3</v>
      </c>
      <c r="E79" s="4">
        <v>25000</v>
      </c>
      <c r="F79" s="4">
        <v>75000</v>
      </c>
    </row>
    <row r="80" spans="1:6" ht="15">
      <c r="A80" s="2">
        <v>45786</v>
      </c>
      <c r="B80" s="3" t="s">
        <v>11</v>
      </c>
      <c r="C80" s="3" t="s">
        <v>12</v>
      </c>
      <c r="D80" s="4">
        <v>1</v>
      </c>
      <c r="E80" s="4">
        <v>25000</v>
      </c>
      <c r="F80" s="4">
        <v>25000</v>
      </c>
    </row>
    <row r="81" spans="1:6" ht="15">
      <c r="A81" s="3" t="s">
        <v>21</v>
      </c>
      <c r="B81" s="3" t="s">
        <v>11</v>
      </c>
      <c r="C81" s="3" t="s">
        <v>8</v>
      </c>
      <c r="D81" s="4">
        <v>2</v>
      </c>
      <c r="E81" s="4">
        <v>25000</v>
      </c>
      <c r="F81" s="4">
        <v>50000</v>
      </c>
    </row>
    <row r="82" spans="1:6" ht="15">
      <c r="A82" s="3" t="s">
        <v>23</v>
      </c>
      <c r="B82" s="3" t="s">
        <v>11</v>
      </c>
      <c r="C82" s="3" t="s">
        <v>15</v>
      </c>
      <c r="D82" s="4">
        <v>1</v>
      </c>
      <c r="E82" s="4">
        <v>35000</v>
      </c>
      <c r="F82" s="4">
        <v>35000</v>
      </c>
    </row>
    <row r="83" spans="1:6" ht="15">
      <c r="A83" s="3" t="s">
        <v>22</v>
      </c>
      <c r="B83" s="3" t="s">
        <v>11</v>
      </c>
      <c r="C83" s="3" t="s">
        <v>13</v>
      </c>
      <c r="D83" s="4">
        <v>5</v>
      </c>
      <c r="E83" s="4">
        <v>28000</v>
      </c>
      <c r="F83" s="4">
        <v>140000</v>
      </c>
    </row>
    <row r="84" spans="1:6" ht="15">
      <c r="A84" s="3" t="s">
        <v>27</v>
      </c>
      <c r="B84" s="3" t="s">
        <v>11</v>
      </c>
      <c r="C84" s="3" t="s">
        <v>16</v>
      </c>
      <c r="D84" s="4">
        <v>2</v>
      </c>
      <c r="E84" s="4">
        <v>35000</v>
      </c>
      <c r="F84" s="4">
        <v>70000</v>
      </c>
    </row>
    <row r="85" spans="1:6" ht="15">
      <c r="A85" s="3" t="s">
        <v>26</v>
      </c>
      <c r="B85" s="3" t="s">
        <v>11</v>
      </c>
      <c r="C85" s="3" t="s">
        <v>12</v>
      </c>
      <c r="D85" s="4">
        <v>2</v>
      </c>
      <c r="E85" s="4">
        <v>30000</v>
      </c>
      <c r="F85" s="4">
        <v>60000</v>
      </c>
    </row>
    <row r="86" spans="1:6" ht="15">
      <c r="A86" s="3" t="s">
        <v>17</v>
      </c>
      <c r="B86" s="3" t="s">
        <v>11</v>
      </c>
      <c r="C86" s="3" t="s">
        <v>13</v>
      </c>
      <c r="D86" s="4">
        <v>1</v>
      </c>
      <c r="E86" s="4">
        <v>35000</v>
      </c>
      <c r="F86" s="4">
        <v>35000</v>
      </c>
    </row>
    <row r="87" spans="1:6" ht="15">
      <c r="A87" s="3" t="s">
        <v>22</v>
      </c>
      <c r="B87" s="3" t="s">
        <v>11</v>
      </c>
      <c r="C87" s="3" t="s">
        <v>16</v>
      </c>
      <c r="D87" s="4">
        <v>3</v>
      </c>
      <c r="E87" s="4">
        <v>28000</v>
      </c>
      <c r="F87" s="4">
        <v>84000</v>
      </c>
    </row>
    <row r="88" spans="1:6" ht="15">
      <c r="A88" s="3" t="s">
        <v>23</v>
      </c>
      <c r="B88" s="3" t="s">
        <v>11</v>
      </c>
      <c r="C88" s="3" t="s">
        <v>12</v>
      </c>
      <c r="D88" s="4">
        <v>2</v>
      </c>
      <c r="E88" s="4">
        <v>25000</v>
      </c>
      <c r="F88" s="4">
        <v>50000</v>
      </c>
    </row>
    <row r="89" spans="1:6" ht="15">
      <c r="A89" s="3" t="s">
        <v>19</v>
      </c>
      <c r="B89" s="3" t="s">
        <v>11</v>
      </c>
      <c r="C89" s="3" t="s">
        <v>8</v>
      </c>
      <c r="D89" s="4">
        <v>1</v>
      </c>
      <c r="E89" s="4">
        <v>30000</v>
      </c>
      <c r="F89" s="4">
        <v>30000</v>
      </c>
    </row>
    <row r="90" spans="1:6" ht="15">
      <c r="A90" s="3" t="s">
        <v>31</v>
      </c>
      <c r="B90" s="3" t="s">
        <v>11</v>
      </c>
      <c r="C90" s="3" t="s">
        <v>15</v>
      </c>
      <c r="D90" s="4">
        <v>3</v>
      </c>
      <c r="E90" s="4">
        <v>30000</v>
      </c>
      <c r="F90" s="4">
        <v>90000</v>
      </c>
    </row>
    <row r="91" spans="1:6" ht="15">
      <c r="A91" s="3" t="s">
        <v>17</v>
      </c>
      <c r="B91" s="3" t="s">
        <v>11</v>
      </c>
      <c r="C91" s="3" t="s">
        <v>13</v>
      </c>
      <c r="D91" s="4">
        <v>1</v>
      </c>
      <c r="E91" s="4">
        <v>20000</v>
      </c>
      <c r="F91" s="4">
        <v>20000</v>
      </c>
    </row>
    <row r="92" spans="1:6" ht="15">
      <c r="A92" s="2">
        <v>45970</v>
      </c>
      <c r="B92" s="3" t="s">
        <v>11</v>
      </c>
      <c r="C92" s="3" t="s">
        <v>16</v>
      </c>
      <c r="D92" s="4">
        <v>5</v>
      </c>
      <c r="E92" s="4">
        <v>28000</v>
      </c>
      <c r="F92" s="4">
        <v>140000</v>
      </c>
    </row>
    <row r="93" spans="1:6" ht="15">
      <c r="A93" s="2">
        <v>45666</v>
      </c>
      <c r="B93" s="3" t="s">
        <v>11</v>
      </c>
      <c r="C93" s="3" t="s">
        <v>12</v>
      </c>
      <c r="D93" s="4">
        <v>3</v>
      </c>
      <c r="E93" s="4">
        <v>20000</v>
      </c>
      <c r="F93" s="4">
        <v>60000</v>
      </c>
    </row>
    <row r="94" spans="1:6" ht="15">
      <c r="A94" s="3" t="s">
        <v>19</v>
      </c>
      <c r="B94" s="3" t="s">
        <v>11</v>
      </c>
      <c r="C94" s="3" t="s">
        <v>8</v>
      </c>
      <c r="D94" s="4">
        <v>2</v>
      </c>
      <c r="E94" s="4">
        <v>35000</v>
      </c>
      <c r="F94" s="4">
        <v>70000</v>
      </c>
    </row>
    <row r="95" spans="1:6" ht="15">
      <c r="A95" s="2">
        <v>45697</v>
      </c>
      <c r="B95" s="3" t="s">
        <v>11</v>
      </c>
      <c r="C95" s="3" t="s">
        <v>15</v>
      </c>
      <c r="D95" s="4">
        <v>3</v>
      </c>
      <c r="E95" s="4">
        <v>30000</v>
      </c>
      <c r="F95" s="4">
        <v>90000</v>
      </c>
    </row>
    <row r="96" spans="1:6" ht="15">
      <c r="A96" s="3" t="s">
        <v>22</v>
      </c>
      <c r="B96" s="3" t="s">
        <v>11</v>
      </c>
      <c r="C96" s="3" t="s">
        <v>13</v>
      </c>
      <c r="D96" s="4">
        <v>4</v>
      </c>
      <c r="E96" s="4">
        <v>30000</v>
      </c>
      <c r="F96" s="4">
        <v>120000</v>
      </c>
    </row>
    <row r="97" spans="1:6" ht="15">
      <c r="A97" s="2">
        <v>45817</v>
      </c>
      <c r="B97" s="3" t="s">
        <v>11</v>
      </c>
      <c r="C97" s="3" t="s">
        <v>16</v>
      </c>
      <c r="D97" s="4">
        <v>3</v>
      </c>
      <c r="E97" s="4">
        <v>30000</v>
      </c>
      <c r="F97" s="4">
        <v>90000</v>
      </c>
    </row>
    <row r="98" spans="1:6" ht="15">
      <c r="A98" s="3" t="s">
        <v>22</v>
      </c>
      <c r="B98" s="3" t="s">
        <v>11</v>
      </c>
      <c r="C98" s="3" t="s">
        <v>12</v>
      </c>
      <c r="D98" s="4">
        <v>3</v>
      </c>
      <c r="E98" s="4">
        <v>28000</v>
      </c>
      <c r="F98" s="4">
        <v>84000</v>
      </c>
    </row>
    <row r="99" spans="1:6" ht="15">
      <c r="A99" s="3" t="s">
        <v>28</v>
      </c>
      <c r="B99" s="3" t="s">
        <v>11</v>
      </c>
      <c r="C99" s="3" t="s">
        <v>8</v>
      </c>
      <c r="D99" s="4">
        <v>2</v>
      </c>
      <c r="E99" s="4">
        <v>30000</v>
      </c>
      <c r="F99" s="4">
        <v>60000</v>
      </c>
    </row>
    <row r="100" spans="1:6" ht="15">
      <c r="A100" s="3" t="s">
        <v>30</v>
      </c>
      <c r="B100" s="3" t="s">
        <v>11</v>
      </c>
      <c r="C100" s="3" t="s">
        <v>15</v>
      </c>
      <c r="D100" s="4">
        <v>3</v>
      </c>
      <c r="E100" s="4">
        <v>20000</v>
      </c>
      <c r="F100" s="4">
        <v>60000</v>
      </c>
    </row>
    <row r="101" spans="1:6" ht="15">
      <c r="A101" s="2">
        <v>45697</v>
      </c>
      <c r="B101" s="3" t="s">
        <v>11</v>
      </c>
      <c r="C101" s="3" t="s">
        <v>13</v>
      </c>
      <c r="D101" s="4">
        <v>1</v>
      </c>
      <c r="E101" s="4">
        <v>35000</v>
      </c>
      <c r="F101" s="4">
        <v>35000</v>
      </c>
    </row>
    <row r="102" spans="1:6" ht="15">
      <c r="A102" s="3" t="s">
        <v>22</v>
      </c>
      <c r="B102" s="3" t="s">
        <v>11</v>
      </c>
      <c r="C102" s="3" t="s">
        <v>16</v>
      </c>
      <c r="D102" s="4">
        <v>1</v>
      </c>
      <c r="E102" s="4">
        <v>30000</v>
      </c>
      <c r="F102" s="4">
        <v>30000</v>
      </c>
    </row>
    <row r="103" spans="1:6" ht="15">
      <c r="A103" s="2">
        <v>45725</v>
      </c>
      <c r="B103" s="3" t="s">
        <v>11</v>
      </c>
      <c r="C103" s="3" t="s">
        <v>12</v>
      </c>
      <c r="D103" s="4">
        <v>1</v>
      </c>
      <c r="E103" s="4">
        <v>35000</v>
      </c>
      <c r="F103" s="4">
        <v>35000</v>
      </c>
    </row>
    <row r="104" spans="1:6" ht="15">
      <c r="A104" s="3" t="s">
        <v>22</v>
      </c>
      <c r="B104" s="3" t="s">
        <v>11</v>
      </c>
      <c r="C104" s="3" t="s">
        <v>8</v>
      </c>
      <c r="D104" s="4">
        <v>3</v>
      </c>
      <c r="E104" s="4">
        <v>25000</v>
      </c>
      <c r="F104" s="4">
        <v>75000</v>
      </c>
    </row>
    <row r="105" spans="1:6" ht="15">
      <c r="A105" s="2">
        <v>46000</v>
      </c>
      <c r="B105" s="3" t="s">
        <v>11</v>
      </c>
      <c r="C105" s="3" t="s">
        <v>15</v>
      </c>
      <c r="D105" s="4">
        <v>4</v>
      </c>
      <c r="E105" s="4">
        <v>30000</v>
      </c>
      <c r="F105" s="4">
        <v>120000</v>
      </c>
    </row>
    <row r="106" spans="1:6" ht="15">
      <c r="A106" s="3" t="s">
        <v>20</v>
      </c>
      <c r="B106" s="3" t="s">
        <v>11</v>
      </c>
      <c r="C106" s="3" t="s">
        <v>13</v>
      </c>
      <c r="D106" s="4">
        <v>1</v>
      </c>
      <c r="E106" s="4">
        <v>25000</v>
      </c>
      <c r="F106" s="4">
        <v>25000</v>
      </c>
    </row>
    <row r="107" spans="1:6" ht="15">
      <c r="A107" s="2">
        <v>45756</v>
      </c>
      <c r="B107" s="3" t="s">
        <v>11</v>
      </c>
      <c r="C107" s="3" t="s">
        <v>16</v>
      </c>
      <c r="D107" s="4">
        <v>3</v>
      </c>
      <c r="E107" s="4">
        <v>25000</v>
      </c>
      <c r="F107" s="4">
        <v>75000</v>
      </c>
    </row>
    <row r="108" spans="1:6" ht="15">
      <c r="A108" s="3" t="s">
        <v>25</v>
      </c>
      <c r="B108" s="3" t="s">
        <v>11</v>
      </c>
      <c r="C108" s="3" t="s">
        <v>12</v>
      </c>
      <c r="D108" s="4">
        <v>4</v>
      </c>
      <c r="E108" s="4">
        <v>28000</v>
      </c>
      <c r="F108" s="4">
        <v>112000</v>
      </c>
    </row>
    <row r="109" spans="1:6" ht="15">
      <c r="A109" s="3" t="s">
        <v>31</v>
      </c>
      <c r="B109" s="3" t="s">
        <v>11</v>
      </c>
      <c r="C109" s="3" t="s">
        <v>8</v>
      </c>
      <c r="D109" s="4">
        <v>1</v>
      </c>
      <c r="E109" s="4">
        <v>20000</v>
      </c>
      <c r="F109" s="4">
        <v>20000</v>
      </c>
    </row>
    <row r="110" spans="1:6" ht="15">
      <c r="A110" s="2">
        <v>46000</v>
      </c>
      <c r="B110" s="3" t="s">
        <v>11</v>
      </c>
      <c r="C110" s="3" t="s">
        <v>15</v>
      </c>
      <c r="D110" s="4">
        <v>5</v>
      </c>
      <c r="E110" s="4">
        <v>30000</v>
      </c>
      <c r="F110" s="4">
        <v>150000</v>
      </c>
    </row>
    <row r="111" spans="1:6" ht="15">
      <c r="A111" s="3" t="s">
        <v>25</v>
      </c>
      <c r="B111" s="3" t="s">
        <v>11</v>
      </c>
      <c r="C111" s="3" t="s">
        <v>13</v>
      </c>
      <c r="D111" s="4">
        <v>3</v>
      </c>
      <c r="E111" s="4">
        <v>20000</v>
      </c>
      <c r="F111" s="4">
        <v>60000</v>
      </c>
    </row>
    <row r="112" spans="1:6" ht="15">
      <c r="A112" s="3" t="s">
        <v>27</v>
      </c>
      <c r="B112" s="3" t="s">
        <v>11</v>
      </c>
      <c r="C112" s="3" t="s">
        <v>16</v>
      </c>
      <c r="D112" s="4">
        <v>1</v>
      </c>
      <c r="E112" s="4">
        <v>28000</v>
      </c>
      <c r="F112" s="4">
        <v>28000</v>
      </c>
    </row>
    <row r="113" spans="1:6" ht="15">
      <c r="A113" s="3" t="s">
        <v>17</v>
      </c>
      <c r="B113" s="3" t="s">
        <v>11</v>
      </c>
      <c r="C113" s="3" t="s">
        <v>12</v>
      </c>
      <c r="D113" s="4">
        <v>1</v>
      </c>
      <c r="E113" s="4">
        <v>35000</v>
      </c>
      <c r="F113" s="4">
        <v>35000</v>
      </c>
    </row>
    <row r="114" spans="1:6" ht="15">
      <c r="A114" s="3" t="s">
        <v>17</v>
      </c>
      <c r="B114" s="3" t="s">
        <v>11</v>
      </c>
      <c r="C114" s="3" t="s">
        <v>8</v>
      </c>
      <c r="D114" s="4">
        <v>3</v>
      </c>
      <c r="E114" s="4">
        <v>28000</v>
      </c>
      <c r="F114" s="4">
        <v>84000</v>
      </c>
    </row>
    <row r="115" spans="1:6" ht="15">
      <c r="A115" s="3" t="s">
        <v>31</v>
      </c>
      <c r="B115" s="3" t="s">
        <v>11</v>
      </c>
      <c r="C115" s="3" t="s">
        <v>15</v>
      </c>
      <c r="D115" s="4">
        <v>4</v>
      </c>
      <c r="E115" s="4">
        <v>20000</v>
      </c>
      <c r="F115" s="4">
        <v>80000</v>
      </c>
    </row>
    <row r="116" spans="1:6" ht="15">
      <c r="A116" s="2">
        <v>45847</v>
      </c>
      <c r="B116" s="3" t="s">
        <v>11</v>
      </c>
      <c r="C116" s="3" t="s">
        <v>13</v>
      </c>
      <c r="D116" s="4">
        <v>1</v>
      </c>
      <c r="E116" s="4">
        <v>20000</v>
      </c>
      <c r="F116" s="4">
        <v>20000</v>
      </c>
    </row>
    <row r="117" spans="1:6" ht="15">
      <c r="A117" s="2">
        <v>46000</v>
      </c>
      <c r="B117" s="3" t="s">
        <v>11</v>
      </c>
      <c r="C117" s="3" t="s">
        <v>16</v>
      </c>
      <c r="D117" s="4">
        <v>3</v>
      </c>
      <c r="E117" s="4">
        <v>20000</v>
      </c>
      <c r="F117" s="4">
        <v>60000</v>
      </c>
    </row>
    <row r="118" spans="1:6" ht="15">
      <c r="A118" s="2">
        <v>45939</v>
      </c>
      <c r="B118" s="3" t="s">
        <v>11</v>
      </c>
      <c r="C118" s="3" t="s">
        <v>12</v>
      </c>
      <c r="D118" s="4">
        <v>4</v>
      </c>
      <c r="E118" s="4">
        <v>28000</v>
      </c>
      <c r="F118" s="4">
        <v>112000</v>
      </c>
    </row>
    <row r="119" spans="1:6" ht="15">
      <c r="A119" s="3" t="s">
        <v>6</v>
      </c>
      <c r="B119" s="3" t="s">
        <v>11</v>
      </c>
      <c r="C119" s="3" t="s">
        <v>13</v>
      </c>
      <c r="D119" s="4">
        <v>1</v>
      </c>
      <c r="E119" s="4">
        <v>20000</v>
      </c>
      <c r="F119" s="4">
        <v>20000</v>
      </c>
    </row>
    <row r="120" spans="1:6" ht="15">
      <c r="A120" s="3" t="s">
        <v>27</v>
      </c>
      <c r="B120" s="3" t="s">
        <v>11</v>
      </c>
      <c r="C120" s="3" t="s">
        <v>16</v>
      </c>
      <c r="D120" s="4">
        <v>1</v>
      </c>
      <c r="E120" s="4">
        <v>20000</v>
      </c>
      <c r="F120" s="4">
        <v>20000</v>
      </c>
    </row>
    <row r="121" spans="1:6" ht="15">
      <c r="A121" s="3" t="s">
        <v>25</v>
      </c>
      <c r="B121" s="3" t="s">
        <v>11</v>
      </c>
      <c r="C121" s="3" t="s">
        <v>12</v>
      </c>
      <c r="D121" s="4">
        <v>4</v>
      </c>
      <c r="E121" s="4">
        <v>28000</v>
      </c>
      <c r="F121" s="4">
        <v>112000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21"/>
  <sheetViews>
    <sheetView workbookViewId="0">
      <selection sqref="A1:F121"/>
    </sheetView>
  </sheetViews>
  <sheetFormatPr defaultColWidth="12.5703125" defaultRowHeight="15.75" customHeight="1"/>
  <cols>
    <col min="1" max="1" width="10.42578125" bestFit="1" customWidth="1"/>
    <col min="2" max="2" width="9" bestFit="1" customWidth="1"/>
    <col min="3" max="3" width="9.140625" bestFit="1" customWidth="1"/>
    <col min="4" max="4" width="4.140625" bestFit="1" customWidth="1"/>
    <col min="5" max="5" width="6" bestFit="1" customWidth="1"/>
    <col min="6" max="6" width="7" bestFit="1" customWidth="1"/>
  </cols>
  <sheetData>
    <row r="1" spans="1:6" ht="15">
      <c r="A1" s="1" t="s">
        <v>0</v>
      </c>
      <c r="B1" s="1" t="s">
        <v>1</v>
      </c>
      <c r="C1" s="1" t="s">
        <v>2</v>
      </c>
      <c r="D1" s="1" t="s">
        <v>3</v>
      </c>
      <c r="E1" s="1" t="s">
        <v>4</v>
      </c>
      <c r="F1" s="1" t="s">
        <v>5</v>
      </c>
    </row>
    <row r="2" spans="1:6" ht="15">
      <c r="A2" s="3" t="s">
        <v>20</v>
      </c>
      <c r="B2" s="3" t="s">
        <v>34</v>
      </c>
      <c r="C2" s="3" t="s">
        <v>8</v>
      </c>
      <c r="D2" s="4">
        <v>3</v>
      </c>
      <c r="E2" s="4">
        <v>28000</v>
      </c>
      <c r="F2" s="4">
        <v>84000</v>
      </c>
    </row>
    <row r="3" spans="1:6" ht="15">
      <c r="A3" s="3" t="s">
        <v>30</v>
      </c>
      <c r="B3" s="3" t="s">
        <v>34</v>
      </c>
      <c r="C3" s="3" t="s">
        <v>15</v>
      </c>
      <c r="D3" s="4">
        <v>2</v>
      </c>
      <c r="E3" s="4">
        <v>30000</v>
      </c>
      <c r="F3" s="4">
        <v>60000</v>
      </c>
    </row>
    <row r="4" spans="1:6" ht="15">
      <c r="A4" s="2">
        <v>45817</v>
      </c>
      <c r="B4" s="3" t="s">
        <v>34</v>
      </c>
      <c r="C4" s="3" t="s">
        <v>13</v>
      </c>
      <c r="D4" s="4">
        <v>2</v>
      </c>
      <c r="E4" s="4">
        <v>30000</v>
      </c>
      <c r="F4" s="4">
        <v>60000</v>
      </c>
    </row>
    <row r="5" spans="1:6" ht="15">
      <c r="A5" s="3" t="s">
        <v>17</v>
      </c>
      <c r="B5" s="3" t="s">
        <v>34</v>
      </c>
      <c r="C5" s="3" t="s">
        <v>16</v>
      </c>
      <c r="D5" s="4">
        <v>1</v>
      </c>
      <c r="E5" s="4">
        <v>20000</v>
      </c>
      <c r="F5" s="4">
        <v>20000</v>
      </c>
    </row>
    <row r="6" spans="1:6" ht="15">
      <c r="A6" s="3" t="s">
        <v>31</v>
      </c>
      <c r="B6" s="3" t="s">
        <v>34</v>
      </c>
      <c r="C6" s="3" t="s">
        <v>12</v>
      </c>
      <c r="D6" s="4">
        <v>2</v>
      </c>
      <c r="E6" s="4">
        <v>35000</v>
      </c>
      <c r="F6" s="4">
        <v>70000</v>
      </c>
    </row>
    <row r="7" spans="1:6" ht="15">
      <c r="A7" s="3" t="s">
        <v>23</v>
      </c>
      <c r="B7" s="3" t="s">
        <v>34</v>
      </c>
      <c r="C7" s="3" t="s">
        <v>8</v>
      </c>
      <c r="D7" s="4">
        <v>5</v>
      </c>
      <c r="E7" s="4">
        <v>25000</v>
      </c>
      <c r="F7" s="4">
        <v>125000</v>
      </c>
    </row>
    <row r="8" spans="1:6" ht="15">
      <c r="A8" s="3" t="s">
        <v>20</v>
      </c>
      <c r="B8" s="3" t="s">
        <v>34</v>
      </c>
      <c r="C8" s="3" t="s">
        <v>15</v>
      </c>
      <c r="D8" s="4">
        <v>3</v>
      </c>
      <c r="E8" s="4">
        <v>20000</v>
      </c>
      <c r="F8" s="4">
        <v>60000</v>
      </c>
    </row>
    <row r="9" spans="1:6" ht="15">
      <c r="A9" s="2">
        <v>45909</v>
      </c>
      <c r="B9" s="3" t="s">
        <v>34</v>
      </c>
      <c r="C9" s="3" t="s">
        <v>13</v>
      </c>
      <c r="D9" s="4">
        <v>4</v>
      </c>
      <c r="E9" s="4">
        <v>35000</v>
      </c>
      <c r="F9" s="4">
        <v>140000</v>
      </c>
    </row>
    <row r="10" spans="1:6" ht="15">
      <c r="A10" s="2">
        <v>45725</v>
      </c>
      <c r="B10" s="3" t="s">
        <v>34</v>
      </c>
      <c r="C10" s="3" t="s">
        <v>16</v>
      </c>
      <c r="D10" s="4">
        <v>3</v>
      </c>
      <c r="E10" s="4">
        <v>30000</v>
      </c>
      <c r="F10" s="4">
        <v>90000</v>
      </c>
    </row>
    <row r="11" spans="1:6" ht="15">
      <c r="A11" s="3" t="s">
        <v>26</v>
      </c>
      <c r="B11" s="3" t="s">
        <v>34</v>
      </c>
      <c r="C11" s="3" t="s">
        <v>12</v>
      </c>
      <c r="D11" s="4">
        <v>5</v>
      </c>
      <c r="E11" s="4">
        <v>25000</v>
      </c>
      <c r="F11" s="4">
        <v>125000</v>
      </c>
    </row>
    <row r="12" spans="1:6" ht="15">
      <c r="A12" s="3" t="s">
        <v>30</v>
      </c>
      <c r="B12" s="3" t="s">
        <v>34</v>
      </c>
      <c r="C12" s="3" t="s">
        <v>8</v>
      </c>
      <c r="D12" s="4">
        <v>4</v>
      </c>
      <c r="E12" s="4">
        <v>25000</v>
      </c>
      <c r="F12" s="4">
        <v>100000</v>
      </c>
    </row>
    <row r="13" spans="1:6" ht="15">
      <c r="A13" s="3" t="s">
        <v>20</v>
      </c>
      <c r="B13" s="3" t="s">
        <v>34</v>
      </c>
      <c r="C13" s="3" t="s">
        <v>15</v>
      </c>
      <c r="D13" s="4">
        <v>2</v>
      </c>
      <c r="E13" s="4">
        <v>35000</v>
      </c>
      <c r="F13" s="4">
        <v>70000</v>
      </c>
    </row>
    <row r="14" spans="1:6" ht="15">
      <c r="A14" s="3" t="s">
        <v>25</v>
      </c>
      <c r="B14" s="3" t="s">
        <v>34</v>
      </c>
      <c r="C14" s="3" t="s">
        <v>13</v>
      </c>
      <c r="D14" s="4">
        <v>3</v>
      </c>
      <c r="E14" s="4">
        <v>30000</v>
      </c>
      <c r="F14" s="4">
        <v>90000</v>
      </c>
    </row>
    <row r="15" spans="1:6" ht="15">
      <c r="A15" s="3" t="s">
        <v>20</v>
      </c>
      <c r="B15" s="3" t="s">
        <v>34</v>
      </c>
      <c r="C15" s="3" t="s">
        <v>16</v>
      </c>
      <c r="D15" s="4">
        <v>1</v>
      </c>
      <c r="E15" s="4">
        <v>25000</v>
      </c>
      <c r="F15" s="4">
        <v>25000</v>
      </c>
    </row>
    <row r="16" spans="1:6" ht="15">
      <c r="A16" s="3" t="s">
        <v>25</v>
      </c>
      <c r="B16" s="3" t="s">
        <v>34</v>
      </c>
      <c r="C16" s="3" t="s">
        <v>12</v>
      </c>
      <c r="D16" s="4">
        <v>3</v>
      </c>
      <c r="E16" s="4">
        <v>30000</v>
      </c>
      <c r="F16" s="4">
        <v>90000</v>
      </c>
    </row>
    <row r="17" spans="1:6" ht="15">
      <c r="A17" s="3" t="s">
        <v>25</v>
      </c>
      <c r="B17" s="3" t="s">
        <v>34</v>
      </c>
      <c r="C17" s="3" t="s">
        <v>8</v>
      </c>
      <c r="D17" s="4">
        <v>1</v>
      </c>
      <c r="E17" s="4">
        <v>20000</v>
      </c>
      <c r="F17" s="4">
        <v>20000</v>
      </c>
    </row>
    <row r="18" spans="1:6" ht="15">
      <c r="A18" s="2">
        <v>45666</v>
      </c>
      <c r="B18" s="3" t="s">
        <v>34</v>
      </c>
      <c r="C18" s="3" t="s">
        <v>15</v>
      </c>
      <c r="D18" s="4">
        <v>2</v>
      </c>
      <c r="E18" s="4">
        <v>30000</v>
      </c>
      <c r="F18" s="4">
        <v>60000</v>
      </c>
    </row>
    <row r="19" spans="1:6" ht="15">
      <c r="A19" s="2">
        <v>45878</v>
      </c>
      <c r="B19" s="3" t="s">
        <v>34</v>
      </c>
      <c r="C19" s="3" t="s">
        <v>13</v>
      </c>
      <c r="D19" s="4">
        <v>1</v>
      </c>
      <c r="E19" s="4">
        <v>25000</v>
      </c>
      <c r="F19" s="4">
        <v>25000</v>
      </c>
    </row>
    <row r="20" spans="1:6" ht="15">
      <c r="A20" s="2">
        <v>45697</v>
      </c>
      <c r="B20" s="3" t="s">
        <v>34</v>
      </c>
      <c r="C20" s="3" t="s">
        <v>16</v>
      </c>
      <c r="D20" s="4">
        <v>2</v>
      </c>
      <c r="E20" s="4">
        <v>20000</v>
      </c>
      <c r="F20" s="4">
        <v>40000</v>
      </c>
    </row>
    <row r="21" spans="1:6" ht="15">
      <c r="A21" s="3" t="s">
        <v>23</v>
      </c>
      <c r="B21" s="3" t="s">
        <v>34</v>
      </c>
      <c r="C21" s="3" t="s">
        <v>12</v>
      </c>
      <c r="D21" s="4">
        <v>5</v>
      </c>
      <c r="E21" s="4">
        <v>28000</v>
      </c>
      <c r="F21" s="4">
        <v>140000</v>
      </c>
    </row>
    <row r="22" spans="1:6" ht="15">
      <c r="A22" s="3" t="s">
        <v>27</v>
      </c>
      <c r="B22" s="3" t="s">
        <v>34</v>
      </c>
      <c r="C22" s="3" t="s">
        <v>13</v>
      </c>
      <c r="D22" s="4">
        <v>1</v>
      </c>
      <c r="E22" s="4">
        <v>35000</v>
      </c>
      <c r="F22" s="4">
        <v>35000</v>
      </c>
    </row>
    <row r="23" spans="1:6" ht="15">
      <c r="A23" s="3" t="s">
        <v>20</v>
      </c>
      <c r="B23" s="3" t="s">
        <v>34</v>
      </c>
      <c r="C23" s="3" t="s">
        <v>16</v>
      </c>
      <c r="D23" s="4">
        <v>5</v>
      </c>
      <c r="E23" s="4">
        <v>30000</v>
      </c>
      <c r="F23" s="4">
        <v>150000</v>
      </c>
    </row>
    <row r="24" spans="1:6" ht="15">
      <c r="A24" s="2">
        <v>45939</v>
      </c>
      <c r="B24" s="3" t="s">
        <v>34</v>
      </c>
      <c r="C24" s="3" t="s">
        <v>12</v>
      </c>
      <c r="D24" s="4">
        <v>3</v>
      </c>
      <c r="E24" s="4">
        <v>30000</v>
      </c>
      <c r="F24" s="4">
        <v>90000</v>
      </c>
    </row>
    <row r="25" spans="1:6" ht="15">
      <c r="A25" s="3" t="s">
        <v>29</v>
      </c>
      <c r="B25" s="3" t="s">
        <v>34</v>
      </c>
      <c r="C25" s="3" t="s">
        <v>8</v>
      </c>
      <c r="D25" s="4">
        <v>4</v>
      </c>
      <c r="E25" s="4">
        <v>20000</v>
      </c>
      <c r="F25" s="4">
        <v>80000</v>
      </c>
    </row>
    <row r="26" spans="1:6" ht="15">
      <c r="A26" s="2">
        <v>45909</v>
      </c>
      <c r="B26" s="3" t="s">
        <v>34</v>
      </c>
      <c r="C26" s="3" t="s">
        <v>15</v>
      </c>
      <c r="D26" s="4">
        <v>3</v>
      </c>
      <c r="E26" s="4">
        <v>35000</v>
      </c>
      <c r="F26" s="4">
        <v>105000</v>
      </c>
    </row>
    <row r="27" spans="1:6" ht="15">
      <c r="A27" s="3" t="s">
        <v>32</v>
      </c>
      <c r="B27" s="3" t="s">
        <v>34</v>
      </c>
      <c r="C27" s="3" t="s">
        <v>13</v>
      </c>
      <c r="D27" s="4">
        <v>2</v>
      </c>
      <c r="E27" s="4">
        <v>20000</v>
      </c>
      <c r="F27" s="4">
        <v>40000</v>
      </c>
    </row>
    <row r="28" spans="1:6" ht="15">
      <c r="A28" s="3" t="s">
        <v>21</v>
      </c>
      <c r="B28" s="3" t="s">
        <v>34</v>
      </c>
      <c r="C28" s="3" t="s">
        <v>16</v>
      </c>
      <c r="D28" s="4">
        <v>5</v>
      </c>
      <c r="E28" s="4">
        <v>20000</v>
      </c>
      <c r="F28" s="4">
        <v>100000</v>
      </c>
    </row>
    <row r="29" spans="1:6" ht="15">
      <c r="A29" s="3" t="s">
        <v>25</v>
      </c>
      <c r="B29" s="3" t="s">
        <v>34</v>
      </c>
      <c r="C29" s="3" t="s">
        <v>12</v>
      </c>
      <c r="D29" s="4">
        <v>4</v>
      </c>
      <c r="E29" s="4">
        <v>35000</v>
      </c>
      <c r="F29" s="4">
        <v>140000</v>
      </c>
    </row>
    <row r="30" spans="1:6" ht="15">
      <c r="A30" s="2">
        <v>45666</v>
      </c>
      <c r="B30" s="3" t="s">
        <v>34</v>
      </c>
      <c r="C30" s="3" t="s">
        <v>8</v>
      </c>
      <c r="D30" s="4">
        <v>2</v>
      </c>
      <c r="E30" s="4">
        <v>20000</v>
      </c>
      <c r="F30" s="4">
        <v>40000</v>
      </c>
    </row>
    <row r="31" spans="1:6" ht="15">
      <c r="A31" s="3" t="s">
        <v>24</v>
      </c>
      <c r="B31" s="3" t="s">
        <v>34</v>
      </c>
      <c r="C31" s="3" t="s">
        <v>15</v>
      </c>
      <c r="D31" s="4">
        <v>1</v>
      </c>
      <c r="E31" s="4">
        <v>28000</v>
      </c>
      <c r="F31" s="4">
        <v>28000</v>
      </c>
    </row>
    <row r="32" spans="1:6" ht="15">
      <c r="A32" s="3" t="s">
        <v>17</v>
      </c>
      <c r="B32" s="3" t="s">
        <v>34</v>
      </c>
      <c r="C32" s="3" t="s">
        <v>13</v>
      </c>
      <c r="D32" s="4">
        <v>1</v>
      </c>
      <c r="E32" s="4">
        <v>28000</v>
      </c>
      <c r="F32" s="4">
        <v>28000</v>
      </c>
    </row>
    <row r="33" spans="1:6" ht="15">
      <c r="A33" s="3" t="s">
        <v>17</v>
      </c>
      <c r="B33" s="3" t="s">
        <v>34</v>
      </c>
      <c r="C33" s="3" t="s">
        <v>16</v>
      </c>
      <c r="D33" s="4">
        <v>5</v>
      </c>
      <c r="E33" s="4">
        <v>20000</v>
      </c>
      <c r="F33" s="4">
        <v>100000</v>
      </c>
    </row>
    <row r="34" spans="1:6" ht="15">
      <c r="A34" s="3" t="s">
        <v>19</v>
      </c>
      <c r="B34" s="3" t="s">
        <v>34</v>
      </c>
      <c r="C34" s="3" t="s">
        <v>12</v>
      </c>
      <c r="D34" s="4">
        <v>5</v>
      </c>
      <c r="E34" s="4">
        <v>20000</v>
      </c>
      <c r="F34" s="4">
        <v>100000</v>
      </c>
    </row>
    <row r="35" spans="1:6" ht="15">
      <c r="A35" s="2">
        <v>45786</v>
      </c>
      <c r="B35" s="3" t="s">
        <v>34</v>
      </c>
      <c r="C35" s="3" t="s">
        <v>16</v>
      </c>
      <c r="D35" s="4">
        <v>1</v>
      </c>
      <c r="E35" s="4">
        <v>28000</v>
      </c>
      <c r="F35" s="4">
        <v>28000</v>
      </c>
    </row>
    <row r="36" spans="1:6" ht="15">
      <c r="A36" s="2">
        <v>45970</v>
      </c>
      <c r="B36" s="3" t="s">
        <v>34</v>
      </c>
      <c r="C36" s="3" t="s">
        <v>12</v>
      </c>
      <c r="D36" s="4">
        <v>1</v>
      </c>
      <c r="E36" s="4">
        <v>30000</v>
      </c>
      <c r="F36" s="4">
        <v>30000</v>
      </c>
    </row>
    <row r="37" spans="1:6" ht="15">
      <c r="A37" s="2">
        <v>45756</v>
      </c>
      <c r="B37" s="3" t="s">
        <v>34</v>
      </c>
      <c r="C37" s="3" t="s">
        <v>8</v>
      </c>
      <c r="D37" s="4">
        <v>3</v>
      </c>
      <c r="E37" s="4">
        <v>20000</v>
      </c>
      <c r="F37" s="4">
        <v>60000</v>
      </c>
    </row>
    <row r="38" spans="1:6" ht="15">
      <c r="A38" s="3" t="s">
        <v>6</v>
      </c>
      <c r="B38" s="3" t="s">
        <v>34</v>
      </c>
      <c r="C38" s="3" t="s">
        <v>15</v>
      </c>
      <c r="D38" s="4">
        <v>2</v>
      </c>
      <c r="E38" s="4">
        <v>20000</v>
      </c>
      <c r="F38" s="4">
        <v>40000</v>
      </c>
    </row>
    <row r="39" spans="1:6" ht="15">
      <c r="A39" s="3" t="s">
        <v>32</v>
      </c>
      <c r="B39" s="3" t="s">
        <v>34</v>
      </c>
      <c r="C39" s="3" t="s">
        <v>13</v>
      </c>
      <c r="D39" s="4">
        <v>4</v>
      </c>
      <c r="E39" s="4">
        <v>25000</v>
      </c>
      <c r="F39" s="4">
        <v>100000</v>
      </c>
    </row>
    <row r="40" spans="1:6" ht="15">
      <c r="A40" s="2">
        <v>45756</v>
      </c>
      <c r="B40" s="3" t="s">
        <v>34</v>
      </c>
      <c r="C40" s="3" t="s">
        <v>16</v>
      </c>
      <c r="D40" s="4">
        <v>4</v>
      </c>
      <c r="E40" s="4">
        <v>25000</v>
      </c>
      <c r="F40" s="4">
        <v>100000</v>
      </c>
    </row>
    <row r="41" spans="1:6" ht="15">
      <c r="A41" s="3" t="s">
        <v>10</v>
      </c>
      <c r="B41" s="3" t="s">
        <v>34</v>
      </c>
      <c r="C41" s="3" t="s">
        <v>12</v>
      </c>
      <c r="D41" s="4">
        <v>3</v>
      </c>
      <c r="E41" s="4">
        <v>25000</v>
      </c>
      <c r="F41" s="4">
        <v>75000</v>
      </c>
    </row>
    <row r="42" spans="1:6" ht="15">
      <c r="A42" s="2">
        <v>45878</v>
      </c>
      <c r="B42" s="3" t="s">
        <v>34</v>
      </c>
      <c r="C42" s="3" t="s">
        <v>13</v>
      </c>
      <c r="D42" s="4">
        <v>1</v>
      </c>
      <c r="E42" s="4">
        <v>20000</v>
      </c>
      <c r="F42" s="4">
        <v>20000</v>
      </c>
    </row>
    <row r="43" spans="1:6" ht="15">
      <c r="A43" s="2">
        <v>45666</v>
      </c>
      <c r="B43" s="3" t="s">
        <v>34</v>
      </c>
      <c r="C43" s="3" t="s">
        <v>16</v>
      </c>
      <c r="D43" s="4">
        <v>3</v>
      </c>
      <c r="E43" s="4">
        <v>25000</v>
      </c>
      <c r="F43" s="4">
        <v>75000</v>
      </c>
    </row>
    <row r="44" spans="1:6" ht="15">
      <c r="A44" s="2">
        <v>46000</v>
      </c>
      <c r="B44" s="3" t="s">
        <v>34</v>
      </c>
      <c r="C44" s="3" t="s">
        <v>12</v>
      </c>
      <c r="D44" s="4">
        <v>1</v>
      </c>
      <c r="E44" s="4">
        <v>30000</v>
      </c>
      <c r="F44" s="4">
        <v>30000</v>
      </c>
    </row>
    <row r="45" spans="1:6" ht="15">
      <c r="A45" s="2">
        <v>45756</v>
      </c>
      <c r="B45" s="3" t="s">
        <v>34</v>
      </c>
      <c r="C45" s="3" t="s">
        <v>8</v>
      </c>
      <c r="D45" s="4">
        <v>3</v>
      </c>
      <c r="E45" s="4">
        <v>25000</v>
      </c>
      <c r="F45" s="4">
        <v>75000</v>
      </c>
    </row>
    <row r="46" spans="1:6" ht="15">
      <c r="A46" s="2">
        <v>45847</v>
      </c>
      <c r="B46" s="3" t="s">
        <v>34</v>
      </c>
      <c r="C46" s="3" t="s">
        <v>15</v>
      </c>
      <c r="D46" s="4">
        <v>5</v>
      </c>
      <c r="E46" s="4">
        <v>28000</v>
      </c>
      <c r="F46" s="4">
        <v>140000</v>
      </c>
    </row>
    <row r="47" spans="1:6" ht="15">
      <c r="A47" s="3" t="s">
        <v>21</v>
      </c>
      <c r="B47" s="3" t="s">
        <v>34</v>
      </c>
      <c r="C47" s="3" t="s">
        <v>13</v>
      </c>
      <c r="D47" s="4">
        <v>4</v>
      </c>
      <c r="E47" s="4">
        <v>20000</v>
      </c>
      <c r="F47" s="4">
        <v>80000</v>
      </c>
    </row>
    <row r="48" spans="1:6" ht="15">
      <c r="A48" s="2">
        <v>45909</v>
      </c>
      <c r="B48" s="3" t="s">
        <v>34</v>
      </c>
      <c r="C48" s="3" t="s">
        <v>16</v>
      </c>
      <c r="D48" s="4">
        <v>4</v>
      </c>
      <c r="E48" s="4">
        <v>20000</v>
      </c>
      <c r="F48" s="4">
        <v>80000</v>
      </c>
    </row>
    <row r="49" spans="1:6" ht="15">
      <c r="A49" s="3" t="s">
        <v>20</v>
      </c>
      <c r="B49" s="3" t="s">
        <v>34</v>
      </c>
      <c r="C49" s="3" t="s">
        <v>12</v>
      </c>
      <c r="D49" s="4">
        <v>4</v>
      </c>
      <c r="E49" s="4">
        <v>25000</v>
      </c>
      <c r="F49" s="4">
        <v>100000</v>
      </c>
    </row>
    <row r="50" spans="1:6" ht="15">
      <c r="A50" s="3" t="s">
        <v>32</v>
      </c>
      <c r="B50" s="3" t="s">
        <v>34</v>
      </c>
      <c r="C50" s="3" t="s">
        <v>8</v>
      </c>
      <c r="D50" s="4">
        <v>4</v>
      </c>
      <c r="E50" s="4">
        <v>28000</v>
      </c>
      <c r="F50" s="4">
        <v>112000</v>
      </c>
    </row>
    <row r="51" spans="1:6" ht="15">
      <c r="A51" s="3" t="s">
        <v>30</v>
      </c>
      <c r="B51" s="3" t="s">
        <v>34</v>
      </c>
      <c r="C51" s="3" t="s">
        <v>15</v>
      </c>
      <c r="D51" s="4">
        <v>1</v>
      </c>
      <c r="E51" s="4">
        <v>25000</v>
      </c>
      <c r="F51" s="4">
        <v>25000</v>
      </c>
    </row>
    <row r="52" spans="1:6" ht="15">
      <c r="A52" s="3" t="s">
        <v>29</v>
      </c>
      <c r="B52" s="3" t="s">
        <v>34</v>
      </c>
      <c r="C52" s="3" t="s">
        <v>13</v>
      </c>
      <c r="D52" s="4">
        <v>1</v>
      </c>
      <c r="E52" s="4">
        <v>25000</v>
      </c>
      <c r="F52" s="4">
        <v>25000</v>
      </c>
    </row>
    <row r="53" spans="1:6" ht="15">
      <c r="A53" s="3" t="s">
        <v>6</v>
      </c>
      <c r="B53" s="3" t="s">
        <v>34</v>
      </c>
      <c r="C53" s="3" t="s">
        <v>16</v>
      </c>
      <c r="D53" s="4">
        <v>3</v>
      </c>
      <c r="E53" s="4">
        <v>20000</v>
      </c>
      <c r="F53" s="4">
        <v>60000</v>
      </c>
    </row>
    <row r="54" spans="1:6" ht="15">
      <c r="A54" s="3" t="s">
        <v>20</v>
      </c>
      <c r="B54" s="3" t="s">
        <v>34</v>
      </c>
      <c r="C54" s="3" t="s">
        <v>12</v>
      </c>
      <c r="D54" s="4">
        <v>1</v>
      </c>
      <c r="E54" s="4">
        <v>20000</v>
      </c>
      <c r="F54" s="4">
        <v>20000</v>
      </c>
    </row>
    <row r="55" spans="1:6" ht="15">
      <c r="A55" s="3" t="s">
        <v>17</v>
      </c>
      <c r="B55" s="3" t="s">
        <v>34</v>
      </c>
      <c r="C55" s="3" t="s">
        <v>8</v>
      </c>
      <c r="D55" s="4">
        <v>2</v>
      </c>
      <c r="E55" s="4">
        <v>28000</v>
      </c>
      <c r="F55" s="4">
        <v>56000</v>
      </c>
    </row>
    <row r="56" spans="1:6" ht="15">
      <c r="A56" s="2">
        <v>45666</v>
      </c>
      <c r="B56" s="3" t="s">
        <v>34</v>
      </c>
      <c r="C56" s="3" t="s">
        <v>15</v>
      </c>
      <c r="D56" s="4">
        <v>1</v>
      </c>
      <c r="E56" s="4">
        <v>28000</v>
      </c>
      <c r="F56" s="4">
        <v>28000</v>
      </c>
    </row>
    <row r="57" spans="1:6" ht="15">
      <c r="A57" s="3" t="s">
        <v>23</v>
      </c>
      <c r="B57" s="3" t="s">
        <v>34</v>
      </c>
      <c r="C57" s="3" t="s">
        <v>13</v>
      </c>
      <c r="D57" s="4">
        <v>2</v>
      </c>
      <c r="E57" s="4">
        <v>35000</v>
      </c>
      <c r="F57" s="4">
        <v>70000</v>
      </c>
    </row>
    <row r="58" spans="1:6" ht="15">
      <c r="A58" s="3" t="s">
        <v>19</v>
      </c>
      <c r="B58" s="3" t="s">
        <v>34</v>
      </c>
      <c r="C58" s="3" t="s">
        <v>16</v>
      </c>
      <c r="D58" s="4">
        <v>1</v>
      </c>
      <c r="E58" s="4">
        <v>28000</v>
      </c>
      <c r="F58" s="4">
        <v>28000</v>
      </c>
    </row>
    <row r="59" spans="1:6" ht="15">
      <c r="A59" s="3" t="s">
        <v>26</v>
      </c>
      <c r="B59" s="3" t="s">
        <v>34</v>
      </c>
      <c r="C59" s="3" t="s">
        <v>12</v>
      </c>
      <c r="D59" s="4">
        <v>1</v>
      </c>
      <c r="E59" s="4">
        <v>28000</v>
      </c>
      <c r="F59" s="4">
        <v>28000</v>
      </c>
    </row>
    <row r="60" spans="1:6" ht="15">
      <c r="A60" s="3" t="s">
        <v>32</v>
      </c>
      <c r="B60" s="3" t="s">
        <v>34</v>
      </c>
      <c r="C60" s="3" t="s">
        <v>8</v>
      </c>
      <c r="D60" s="4">
        <v>1</v>
      </c>
      <c r="E60" s="4">
        <v>30000</v>
      </c>
      <c r="F60" s="4">
        <v>30000</v>
      </c>
    </row>
    <row r="61" spans="1:6" ht="15">
      <c r="A61" s="3" t="s">
        <v>6</v>
      </c>
      <c r="B61" s="3" t="s">
        <v>34</v>
      </c>
      <c r="C61" s="3" t="s">
        <v>15</v>
      </c>
      <c r="D61" s="4">
        <v>3</v>
      </c>
      <c r="E61" s="4">
        <v>25000</v>
      </c>
      <c r="F61" s="4">
        <v>75000</v>
      </c>
    </row>
    <row r="62" spans="1:6" ht="15">
      <c r="A62" s="3" t="s">
        <v>22</v>
      </c>
      <c r="B62" s="3" t="s">
        <v>34</v>
      </c>
      <c r="C62" s="3" t="s">
        <v>13</v>
      </c>
      <c r="D62" s="4">
        <v>2</v>
      </c>
      <c r="E62" s="4">
        <v>25000</v>
      </c>
      <c r="F62" s="4">
        <v>50000</v>
      </c>
    </row>
    <row r="63" spans="1:6" ht="15">
      <c r="A63" s="3" t="s">
        <v>22</v>
      </c>
      <c r="B63" s="3" t="s">
        <v>34</v>
      </c>
      <c r="C63" s="3" t="s">
        <v>16</v>
      </c>
      <c r="D63" s="4">
        <v>4</v>
      </c>
      <c r="E63" s="4">
        <v>28000</v>
      </c>
      <c r="F63" s="4">
        <v>112000</v>
      </c>
    </row>
    <row r="64" spans="1:6" ht="15">
      <c r="A64" s="3" t="s">
        <v>25</v>
      </c>
      <c r="B64" s="3" t="s">
        <v>34</v>
      </c>
      <c r="C64" s="3" t="s">
        <v>12</v>
      </c>
      <c r="D64" s="4">
        <v>2</v>
      </c>
      <c r="E64" s="4">
        <v>30000</v>
      </c>
      <c r="F64" s="4">
        <v>60000</v>
      </c>
    </row>
    <row r="65" spans="1:6" ht="15">
      <c r="A65" s="3" t="s">
        <v>25</v>
      </c>
      <c r="B65" s="3" t="s">
        <v>34</v>
      </c>
      <c r="C65" s="3" t="s">
        <v>8</v>
      </c>
      <c r="D65" s="4">
        <v>5</v>
      </c>
      <c r="E65" s="4">
        <v>20000</v>
      </c>
      <c r="F65" s="4">
        <v>100000</v>
      </c>
    </row>
    <row r="66" spans="1:6" ht="15">
      <c r="A66" s="3" t="s">
        <v>26</v>
      </c>
      <c r="B66" s="3" t="s">
        <v>34</v>
      </c>
      <c r="C66" s="3" t="s">
        <v>15</v>
      </c>
      <c r="D66" s="4">
        <v>2</v>
      </c>
      <c r="E66" s="4">
        <v>20000</v>
      </c>
      <c r="F66" s="4">
        <v>40000</v>
      </c>
    </row>
    <row r="67" spans="1:6" ht="15">
      <c r="A67" s="3" t="s">
        <v>20</v>
      </c>
      <c r="B67" s="3" t="s">
        <v>34</v>
      </c>
      <c r="C67" s="3" t="s">
        <v>13</v>
      </c>
      <c r="D67" s="4">
        <v>5</v>
      </c>
      <c r="E67" s="4">
        <v>30000</v>
      </c>
      <c r="F67" s="4">
        <v>150000</v>
      </c>
    </row>
    <row r="68" spans="1:6" ht="15">
      <c r="A68" s="3" t="s">
        <v>22</v>
      </c>
      <c r="B68" s="3" t="s">
        <v>34</v>
      </c>
      <c r="C68" s="3" t="s">
        <v>16</v>
      </c>
      <c r="D68" s="4">
        <v>4</v>
      </c>
      <c r="E68" s="4">
        <v>25000</v>
      </c>
      <c r="F68" s="4">
        <v>100000</v>
      </c>
    </row>
    <row r="69" spans="1:6" ht="15">
      <c r="A69" s="3" t="s">
        <v>22</v>
      </c>
      <c r="B69" s="3" t="s">
        <v>34</v>
      </c>
      <c r="C69" s="3" t="s">
        <v>12</v>
      </c>
      <c r="D69" s="4">
        <v>2</v>
      </c>
      <c r="E69" s="4">
        <v>20000</v>
      </c>
      <c r="F69" s="4">
        <v>40000</v>
      </c>
    </row>
    <row r="70" spans="1:6" ht="15">
      <c r="A70" s="3" t="s">
        <v>23</v>
      </c>
      <c r="B70" s="3" t="s">
        <v>34</v>
      </c>
      <c r="C70" s="3" t="s">
        <v>8</v>
      </c>
      <c r="D70" s="4">
        <v>2</v>
      </c>
      <c r="E70" s="4">
        <v>30000</v>
      </c>
      <c r="F70" s="4">
        <v>60000</v>
      </c>
    </row>
    <row r="71" spans="1:6" ht="15">
      <c r="A71" s="3" t="s">
        <v>6</v>
      </c>
      <c r="B71" s="3" t="s">
        <v>34</v>
      </c>
      <c r="C71" s="3" t="s">
        <v>15</v>
      </c>
      <c r="D71" s="4">
        <v>4</v>
      </c>
      <c r="E71" s="4">
        <v>25000</v>
      </c>
      <c r="F71" s="4">
        <v>100000</v>
      </c>
    </row>
    <row r="72" spans="1:6" ht="15">
      <c r="A72" s="2">
        <v>46000</v>
      </c>
      <c r="B72" s="3" t="s">
        <v>34</v>
      </c>
      <c r="C72" s="3" t="s">
        <v>13</v>
      </c>
      <c r="D72" s="4">
        <v>1</v>
      </c>
      <c r="E72" s="4">
        <v>25000</v>
      </c>
      <c r="F72" s="4">
        <v>25000</v>
      </c>
    </row>
    <row r="73" spans="1:6" ht="15">
      <c r="A73" s="3" t="s">
        <v>19</v>
      </c>
      <c r="B73" s="3" t="s">
        <v>34</v>
      </c>
      <c r="C73" s="3" t="s">
        <v>16</v>
      </c>
      <c r="D73" s="4">
        <v>5</v>
      </c>
      <c r="E73" s="4">
        <v>30000</v>
      </c>
      <c r="F73" s="4">
        <v>150000</v>
      </c>
    </row>
    <row r="74" spans="1:6" ht="15">
      <c r="A74" s="3" t="s">
        <v>31</v>
      </c>
      <c r="B74" s="3" t="s">
        <v>34</v>
      </c>
      <c r="C74" s="3" t="s">
        <v>12</v>
      </c>
      <c r="D74" s="4">
        <v>2</v>
      </c>
      <c r="E74" s="4">
        <v>25000</v>
      </c>
      <c r="F74" s="4">
        <v>50000</v>
      </c>
    </row>
    <row r="75" spans="1:6" ht="15">
      <c r="A75" s="2">
        <v>45970</v>
      </c>
      <c r="B75" s="3" t="s">
        <v>34</v>
      </c>
      <c r="C75" s="3" t="s">
        <v>13</v>
      </c>
      <c r="D75" s="4">
        <v>2</v>
      </c>
      <c r="E75" s="4">
        <v>30000</v>
      </c>
      <c r="F75" s="4">
        <v>60000</v>
      </c>
    </row>
    <row r="76" spans="1:6" ht="15">
      <c r="A76" s="3" t="s">
        <v>29</v>
      </c>
      <c r="B76" s="3" t="s">
        <v>34</v>
      </c>
      <c r="C76" s="3" t="s">
        <v>16</v>
      </c>
      <c r="D76" s="4">
        <v>4</v>
      </c>
      <c r="E76" s="4">
        <v>20000</v>
      </c>
      <c r="F76" s="4">
        <v>80000</v>
      </c>
    </row>
    <row r="77" spans="1:6" ht="15">
      <c r="A77" s="2">
        <v>45939</v>
      </c>
      <c r="B77" s="3" t="s">
        <v>34</v>
      </c>
      <c r="C77" s="3" t="s">
        <v>12</v>
      </c>
      <c r="D77" s="4">
        <v>2</v>
      </c>
      <c r="E77" s="4">
        <v>20000</v>
      </c>
      <c r="F77" s="4">
        <v>40000</v>
      </c>
    </row>
    <row r="78" spans="1:6" ht="15">
      <c r="A78" s="2">
        <v>45970</v>
      </c>
      <c r="B78" s="3" t="s">
        <v>34</v>
      </c>
      <c r="C78" s="3" t="s">
        <v>8</v>
      </c>
      <c r="D78" s="4">
        <v>2</v>
      </c>
      <c r="E78" s="4">
        <v>35000</v>
      </c>
      <c r="F78" s="4">
        <v>70000</v>
      </c>
    </row>
    <row r="79" spans="1:6" ht="15">
      <c r="A79" s="3" t="s">
        <v>27</v>
      </c>
      <c r="B79" s="3" t="s">
        <v>34</v>
      </c>
      <c r="C79" s="3" t="s">
        <v>15</v>
      </c>
      <c r="D79" s="4">
        <v>5</v>
      </c>
      <c r="E79" s="4">
        <v>30000</v>
      </c>
      <c r="F79" s="4">
        <v>150000</v>
      </c>
    </row>
    <row r="80" spans="1:6" ht="15">
      <c r="A80" s="3" t="s">
        <v>32</v>
      </c>
      <c r="B80" s="3" t="s">
        <v>34</v>
      </c>
      <c r="C80" s="3" t="s">
        <v>13</v>
      </c>
      <c r="D80" s="4">
        <v>4</v>
      </c>
      <c r="E80" s="4">
        <v>30000</v>
      </c>
      <c r="F80" s="4">
        <v>120000</v>
      </c>
    </row>
    <row r="81" spans="1:6" ht="15">
      <c r="A81" s="3" t="s">
        <v>24</v>
      </c>
      <c r="B81" s="3" t="s">
        <v>34</v>
      </c>
      <c r="C81" s="3" t="s">
        <v>16</v>
      </c>
      <c r="D81" s="4">
        <v>3</v>
      </c>
      <c r="E81" s="4">
        <v>28000</v>
      </c>
      <c r="F81" s="4">
        <v>84000</v>
      </c>
    </row>
    <row r="82" spans="1:6" ht="15">
      <c r="A82" s="3" t="s">
        <v>23</v>
      </c>
      <c r="B82" s="3" t="s">
        <v>34</v>
      </c>
      <c r="C82" s="3" t="s">
        <v>12</v>
      </c>
      <c r="D82" s="4">
        <v>5</v>
      </c>
      <c r="E82" s="4">
        <v>20000</v>
      </c>
      <c r="F82" s="4">
        <v>100000</v>
      </c>
    </row>
    <row r="83" spans="1:6" ht="15">
      <c r="A83" s="2">
        <v>45970</v>
      </c>
      <c r="B83" s="3" t="s">
        <v>34</v>
      </c>
      <c r="C83" s="3" t="s">
        <v>8</v>
      </c>
      <c r="D83" s="4">
        <v>2</v>
      </c>
      <c r="E83" s="4">
        <v>25000</v>
      </c>
      <c r="F83" s="4">
        <v>50000</v>
      </c>
    </row>
    <row r="84" spans="1:6" ht="15">
      <c r="A84" s="3" t="s">
        <v>19</v>
      </c>
      <c r="B84" s="3" t="s">
        <v>34</v>
      </c>
      <c r="C84" s="3" t="s">
        <v>15</v>
      </c>
      <c r="D84" s="4">
        <v>3</v>
      </c>
      <c r="E84" s="4">
        <v>28000</v>
      </c>
      <c r="F84" s="4">
        <v>84000</v>
      </c>
    </row>
    <row r="85" spans="1:6" ht="15">
      <c r="A85" s="3" t="s">
        <v>6</v>
      </c>
      <c r="B85" s="3" t="s">
        <v>34</v>
      </c>
      <c r="C85" s="3" t="s">
        <v>13</v>
      </c>
      <c r="D85" s="4">
        <v>1</v>
      </c>
      <c r="E85" s="4">
        <v>20000</v>
      </c>
      <c r="F85" s="4">
        <v>20000</v>
      </c>
    </row>
    <row r="86" spans="1:6" ht="15">
      <c r="A86" s="2">
        <v>45817</v>
      </c>
      <c r="B86" s="3" t="s">
        <v>34</v>
      </c>
      <c r="C86" s="3" t="s">
        <v>16</v>
      </c>
      <c r="D86" s="4">
        <v>5</v>
      </c>
      <c r="E86" s="4">
        <v>30000</v>
      </c>
      <c r="F86" s="4">
        <v>150000</v>
      </c>
    </row>
    <row r="87" spans="1:6" ht="15">
      <c r="A87" s="2">
        <v>45756</v>
      </c>
      <c r="B87" s="3" t="s">
        <v>34</v>
      </c>
      <c r="C87" s="3" t="s">
        <v>12</v>
      </c>
      <c r="D87" s="4">
        <v>4</v>
      </c>
      <c r="E87" s="4">
        <v>20000</v>
      </c>
      <c r="F87" s="4">
        <v>80000</v>
      </c>
    </row>
    <row r="88" spans="1:6" ht="15">
      <c r="A88" s="3" t="s">
        <v>27</v>
      </c>
      <c r="B88" s="3" t="s">
        <v>34</v>
      </c>
      <c r="C88" s="3" t="s">
        <v>16</v>
      </c>
      <c r="D88" s="4">
        <v>1</v>
      </c>
      <c r="E88" s="4">
        <v>25000</v>
      </c>
      <c r="F88" s="4">
        <v>25000</v>
      </c>
    </row>
    <row r="89" spans="1:6" ht="15">
      <c r="A89" s="2">
        <v>45817</v>
      </c>
      <c r="B89" s="3" t="s">
        <v>34</v>
      </c>
      <c r="C89" s="3" t="s">
        <v>12</v>
      </c>
      <c r="D89" s="4">
        <v>2</v>
      </c>
      <c r="E89" s="4">
        <v>30000</v>
      </c>
      <c r="F89" s="4">
        <v>60000</v>
      </c>
    </row>
    <row r="90" spans="1:6" ht="15">
      <c r="A90" s="3" t="s">
        <v>19</v>
      </c>
      <c r="B90" s="3" t="s">
        <v>34</v>
      </c>
      <c r="C90" s="3" t="s">
        <v>8</v>
      </c>
      <c r="D90" s="4">
        <v>1</v>
      </c>
      <c r="E90" s="4">
        <v>35000</v>
      </c>
      <c r="F90" s="4">
        <v>35000</v>
      </c>
    </row>
    <row r="91" spans="1:6" ht="15">
      <c r="A91" s="3" t="s">
        <v>25</v>
      </c>
      <c r="B91" s="3" t="s">
        <v>34</v>
      </c>
      <c r="C91" s="3" t="s">
        <v>15</v>
      </c>
      <c r="D91" s="4">
        <v>1</v>
      </c>
      <c r="E91" s="4">
        <v>35000</v>
      </c>
      <c r="F91" s="4">
        <v>35000</v>
      </c>
    </row>
    <row r="92" spans="1:6" ht="15">
      <c r="A92" s="2">
        <v>45909</v>
      </c>
      <c r="B92" s="3" t="s">
        <v>34</v>
      </c>
      <c r="C92" s="3" t="s">
        <v>13</v>
      </c>
      <c r="D92" s="4">
        <v>4</v>
      </c>
      <c r="E92" s="4">
        <v>25000</v>
      </c>
      <c r="F92" s="4">
        <v>100000</v>
      </c>
    </row>
    <row r="93" spans="1:6" ht="15">
      <c r="A93" s="3" t="s">
        <v>26</v>
      </c>
      <c r="B93" s="3" t="s">
        <v>34</v>
      </c>
      <c r="C93" s="3" t="s">
        <v>16</v>
      </c>
      <c r="D93" s="4">
        <v>2</v>
      </c>
      <c r="E93" s="4">
        <v>35000</v>
      </c>
      <c r="F93" s="4">
        <v>70000</v>
      </c>
    </row>
    <row r="94" spans="1:6" ht="15">
      <c r="A94" s="3" t="s">
        <v>20</v>
      </c>
      <c r="B94" s="3" t="s">
        <v>34</v>
      </c>
      <c r="C94" s="3" t="s">
        <v>12</v>
      </c>
      <c r="D94" s="4">
        <v>5</v>
      </c>
      <c r="E94" s="4">
        <v>30000</v>
      </c>
      <c r="F94" s="4">
        <v>150000</v>
      </c>
    </row>
    <row r="95" spans="1:6" ht="15">
      <c r="A95" s="3" t="s">
        <v>10</v>
      </c>
      <c r="B95" s="3" t="s">
        <v>34</v>
      </c>
      <c r="C95" s="3" t="s">
        <v>13</v>
      </c>
      <c r="D95" s="4">
        <v>1</v>
      </c>
      <c r="E95" s="4">
        <v>28000</v>
      </c>
      <c r="F95" s="4">
        <v>28000</v>
      </c>
    </row>
    <row r="96" spans="1:6" ht="15">
      <c r="A96" s="2">
        <v>45697</v>
      </c>
      <c r="B96" s="3" t="s">
        <v>34</v>
      </c>
      <c r="C96" s="3" t="s">
        <v>16</v>
      </c>
      <c r="D96" s="4">
        <v>2</v>
      </c>
      <c r="E96" s="4">
        <v>30000</v>
      </c>
      <c r="F96" s="4">
        <v>60000</v>
      </c>
    </row>
    <row r="97" spans="1:6" ht="15">
      <c r="A97" s="3" t="s">
        <v>19</v>
      </c>
      <c r="B97" s="3" t="s">
        <v>34</v>
      </c>
      <c r="C97" s="3" t="s">
        <v>12</v>
      </c>
      <c r="D97" s="4">
        <v>1</v>
      </c>
      <c r="E97" s="4">
        <v>20000</v>
      </c>
      <c r="F97" s="4">
        <v>20000</v>
      </c>
    </row>
    <row r="98" spans="1:6" ht="15">
      <c r="A98" s="2">
        <v>45878</v>
      </c>
      <c r="B98" s="3" t="s">
        <v>34</v>
      </c>
      <c r="C98" s="3" t="s">
        <v>8</v>
      </c>
      <c r="D98" s="4">
        <v>2</v>
      </c>
      <c r="E98" s="4">
        <v>25000</v>
      </c>
      <c r="F98" s="4">
        <v>50000</v>
      </c>
    </row>
    <row r="99" spans="1:6" ht="15">
      <c r="A99" s="2">
        <v>45878</v>
      </c>
      <c r="B99" s="3" t="s">
        <v>34</v>
      </c>
      <c r="C99" s="3" t="s">
        <v>15</v>
      </c>
      <c r="D99" s="4">
        <v>4</v>
      </c>
      <c r="E99" s="4">
        <v>35000</v>
      </c>
      <c r="F99" s="4">
        <v>140000</v>
      </c>
    </row>
    <row r="100" spans="1:6" ht="15">
      <c r="A100" s="3" t="s">
        <v>30</v>
      </c>
      <c r="B100" s="3" t="s">
        <v>34</v>
      </c>
      <c r="C100" s="3" t="s">
        <v>13</v>
      </c>
      <c r="D100" s="4">
        <v>3</v>
      </c>
      <c r="E100" s="4">
        <v>28000</v>
      </c>
      <c r="F100" s="4">
        <v>84000</v>
      </c>
    </row>
    <row r="101" spans="1:6" ht="15">
      <c r="A101" s="2">
        <v>45939</v>
      </c>
      <c r="B101" s="3" t="s">
        <v>34</v>
      </c>
      <c r="C101" s="3" t="s">
        <v>16</v>
      </c>
      <c r="D101" s="4">
        <v>3</v>
      </c>
      <c r="E101" s="4">
        <v>30000</v>
      </c>
      <c r="F101" s="4">
        <v>90000</v>
      </c>
    </row>
    <row r="102" spans="1:6" ht="15">
      <c r="A102" s="3" t="s">
        <v>26</v>
      </c>
      <c r="B102" s="3" t="s">
        <v>34</v>
      </c>
      <c r="C102" s="3" t="s">
        <v>12</v>
      </c>
      <c r="D102" s="4">
        <v>1</v>
      </c>
      <c r="E102" s="4">
        <v>25000</v>
      </c>
      <c r="F102" s="4">
        <v>25000</v>
      </c>
    </row>
    <row r="103" spans="1:6" ht="15">
      <c r="A103" s="2">
        <v>45786</v>
      </c>
      <c r="B103" s="3" t="s">
        <v>34</v>
      </c>
      <c r="C103" s="3" t="s">
        <v>8</v>
      </c>
      <c r="D103" s="4">
        <v>1</v>
      </c>
      <c r="E103" s="4">
        <v>35000</v>
      </c>
      <c r="F103" s="4">
        <v>35000</v>
      </c>
    </row>
    <row r="104" spans="1:6" ht="15">
      <c r="A104" s="2">
        <v>45666</v>
      </c>
      <c r="B104" s="3" t="s">
        <v>34</v>
      </c>
      <c r="C104" s="3" t="s">
        <v>15</v>
      </c>
      <c r="D104" s="4">
        <v>4</v>
      </c>
      <c r="E104" s="4">
        <v>20000</v>
      </c>
      <c r="F104" s="4">
        <v>80000</v>
      </c>
    </row>
    <row r="105" spans="1:6" ht="15">
      <c r="A105" s="3" t="s">
        <v>28</v>
      </c>
      <c r="B105" s="3" t="s">
        <v>34</v>
      </c>
      <c r="C105" s="3" t="s">
        <v>13</v>
      </c>
      <c r="D105" s="4">
        <v>5</v>
      </c>
      <c r="E105" s="4">
        <v>20000</v>
      </c>
      <c r="F105" s="4">
        <v>100000</v>
      </c>
    </row>
    <row r="106" spans="1:6" ht="15">
      <c r="A106" s="2">
        <v>45725</v>
      </c>
      <c r="B106" s="3" t="s">
        <v>34</v>
      </c>
      <c r="C106" s="3" t="s">
        <v>16</v>
      </c>
      <c r="D106" s="4">
        <v>3</v>
      </c>
      <c r="E106" s="4">
        <v>20000</v>
      </c>
      <c r="F106" s="4">
        <v>60000</v>
      </c>
    </row>
    <row r="107" spans="1:6" ht="15">
      <c r="A107" s="2">
        <v>45817</v>
      </c>
      <c r="B107" s="3" t="s">
        <v>34</v>
      </c>
      <c r="C107" s="3" t="s">
        <v>12</v>
      </c>
      <c r="D107" s="4">
        <v>1</v>
      </c>
      <c r="E107" s="4">
        <v>35000</v>
      </c>
      <c r="F107" s="4">
        <v>35000</v>
      </c>
    </row>
    <row r="108" spans="1:6" ht="15">
      <c r="A108" s="3" t="s">
        <v>24</v>
      </c>
      <c r="B108" s="3" t="s">
        <v>34</v>
      </c>
      <c r="C108" s="3" t="s">
        <v>8</v>
      </c>
      <c r="D108" s="4">
        <v>1</v>
      </c>
      <c r="E108" s="4">
        <v>28000</v>
      </c>
      <c r="F108" s="4">
        <v>28000</v>
      </c>
    </row>
    <row r="109" spans="1:6" ht="15">
      <c r="A109" s="3" t="s">
        <v>25</v>
      </c>
      <c r="B109" s="3" t="s">
        <v>34</v>
      </c>
      <c r="C109" s="3" t="s">
        <v>15</v>
      </c>
      <c r="D109" s="4">
        <v>5</v>
      </c>
      <c r="E109" s="4">
        <v>30000</v>
      </c>
      <c r="F109" s="4">
        <v>150000</v>
      </c>
    </row>
    <row r="110" spans="1:6" ht="15">
      <c r="A110" s="3" t="s">
        <v>20</v>
      </c>
      <c r="B110" s="3" t="s">
        <v>34</v>
      </c>
      <c r="C110" s="3" t="s">
        <v>13</v>
      </c>
      <c r="D110" s="4">
        <v>2</v>
      </c>
      <c r="E110" s="4">
        <v>30000</v>
      </c>
      <c r="F110" s="4">
        <v>60000</v>
      </c>
    </row>
    <row r="111" spans="1:6" ht="15">
      <c r="A111" s="3" t="s">
        <v>20</v>
      </c>
      <c r="B111" s="3" t="s">
        <v>34</v>
      </c>
      <c r="C111" s="3" t="s">
        <v>16</v>
      </c>
      <c r="D111" s="4">
        <v>4</v>
      </c>
      <c r="E111" s="4">
        <v>20000</v>
      </c>
      <c r="F111" s="4">
        <v>80000</v>
      </c>
    </row>
    <row r="112" spans="1:6" ht="15">
      <c r="A112" s="2">
        <v>45939</v>
      </c>
      <c r="B112" s="3" t="s">
        <v>34</v>
      </c>
      <c r="C112" s="3" t="s">
        <v>12</v>
      </c>
      <c r="D112" s="4">
        <v>1</v>
      </c>
      <c r="E112" s="4">
        <v>20000</v>
      </c>
      <c r="F112" s="4">
        <v>20000</v>
      </c>
    </row>
    <row r="113" spans="1:6" ht="15">
      <c r="A113" s="3" t="s">
        <v>18</v>
      </c>
      <c r="B113" s="3" t="s">
        <v>34</v>
      </c>
      <c r="C113" s="3" t="s">
        <v>8</v>
      </c>
      <c r="D113" s="4">
        <v>4</v>
      </c>
      <c r="E113" s="4">
        <v>25000</v>
      </c>
      <c r="F113" s="4">
        <v>100000</v>
      </c>
    </row>
    <row r="114" spans="1:6" ht="15">
      <c r="A114" s="3" t="s">
        <v>6</v>
      </c>
      <c r="B114" s="3" t="s">
        <v>34</v>
      </c>
      <c r="C114" s="3" t="s">
        <v>15</v>
      </c>
      <c r="D114" s="4">
        <v>3</v>
      </c>
      <c r="E114" s="4">
        <v>25000</v>
      </c>
      <c r="F114" s="4">
        <v>75000</v>
      </c>
    </row>
    <row r="115" spans="1:6" ht="15">
      <c r="A115" s="3" t="s">
        <v>27</v>
      </c>
      <c r="B115" s="3" t="s">
        <v>34</v>
      </c>
      <c r="C115" s="3" t="s">
        <v>13</v>
      </c>
      <c r="D115" s="4">
        <v>1</v>
      </c>
      <c r="E115" s="4">
        <v>25000</v>
      </c>
      <c r="F115" s="4">
        <v>25000</v>
      </c>
    </row>
    <row r="116" spans="1:6" ht="15">
      <c r="A116" s="3" t="s">
        <v>30</v>
      </c>
      <c r="B116" s="3" t="s">
        <v>34</v>
      </c>
      <c r="C116" s="3" t="s">
        <v>16</v>
      </c>
      <c r="D116" s="4">
        <v>4</v>
      </c>
      <c r="E116" s="4">
        <v>28000</v>
      </c>
      <c r="F116" s="4">
        <v>112000</v>
      </c>
    </row>
    <row r="117" spans="1:6" ht="15">
      <c r="A117" s="3" t="s">
        <v>31</v>
      </c>
      <c r="B117" s="3" t="s">
        <v>34</v>
      </c>
      <c r="C117" s="3" t="s">
        <v>12</v>
      </c>
      <c r="D117" s="4">
        <v>3</v>
      </c>
      <c r="E117" s="4">
        <v>30000</v>
      </c>
      <c r="F117" s="4">
        <v>90000</v>
      </c>
    </row>
    <row r="118" spans="1:6" ht="15">
      <c r="A118" s="3" t="s">
        <v>28</v>
      </c>
      <c r="B118" s="3" t="s">
        <v>34</v>
      </c>
      <c r="C118" s="3" t="s">
        <v>8</v>
      </c>
      <c r="D118" s="4">
        <v>1</v>
      </c>
      <c r="E118" s="4">
        <v>30000</v>
      </c>
      <c r="F118" s="4">
        <v>30000</v>
      </c>
    </row>
    <row r="119" spans="1:6" ht="15">
      <c r="A119" s="3" t="s">
        <v>24</v>
      </c>
      <c r="B119" s="3" t="s">
        <v>34</v>
      </c>
      <c r="C119" s="3" t="s">
        <v>15</v>
      </c>
      <c r="D119" s="4">
        <v>1</v>
      </c>
      <c r="E119" s="4">
        <v>20000</v>
      </c>
      <c r="F119" s="4">
        <v>20000</v>
      </c>
    </row>
    <row r="120" spans="1:6" ht="15">
      <c r="A120" s="3" t="s">
        <v>31</v>
      </c>
      <c r="B120" s="3" t="s">
        <v>34</v>
      </c>
      <c r="C120" s="3" t="s">
        <v>13</v>
      </c>
      <c r="D120" s="4">
        <v>1</v>
      </c>
      <c r="E120" s="4">
        <v>28000</v>
      </c>
      <c r="F120" s="4">
        <v>28000</v>
      </c>
    </row>
    <row r="121" spans="1:6" ht="15">
      <c r="A121" s="3" t="s">
        <v>19</v>
      </c>
      <c r="B121" s="3" t="s">
        <v>34</v>
      </c>
      <c r="C121" s="3" t="s">
        <v>16</v>
      </c>
      <c r="D121" s="4">
        <v>5</v>
      </c>
      <c r="E121" s="4">
        <v>30000</v>
      </c>
      <c r="F121" s="4">
        <v>150000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21"/>
  <sheetViews>
    <sheetView workbookViewId="0">
      <selection activeCell="J14" sqref="J14"/>
    </sheetView>
  </sheetViews>
  <sheetFormatPr defaultColWidth="12.5703125" defaultRowHeight="12.75"/>
  <cols>
    <col min="1" max="1" width="10.42578125" bestFit="1" customWidth="1"/>
    <col min="2" max="2" width="7.42578125" bestFit="1" customWidth="1"/>
    <col min="3" max="3" width="9.140625" bestFit="1" customWidth="1"/>
    <col min="4" max="4" width="4.140625" bestFit="1" customWidth="1"/>
    <col min="5" max="5" width="6" bestFit="1" customWidth="1"/>
    <col min="6" max="6" width="7" bestFit="1" customWidth="1"/>
  </cols>
  <sheetData>
    <row r="1" spans="1:6" ht="15">
      <c r="A1" s="1" t="s">
        <v>0</v>
      </c>
      <c r="B1" s="1" t="s">
        <v>1</v>
      </c>
      <c r="C1" s="1" t="s">
        <v>2</v>
      </c>
      <c r="D1" s="1" t="s">
        <v>3</v>
      </c>
      <c r="E1" s="1" t="s">
        <v>4</v>
      </c>
      <c r="F1" s="1" t="s">
        <v>5</v>
      </c>
    </row>
    <row r="2" spans="1:6" ht="15">
      <c r="A2" s="3" t="s">
        <v>30</v>
      </c>
      <c r="B2" s="3" t="s">
        <v>35</v>
      </c>
      <c r="C2" s="3" t="s">
        <v>8</v>
      </c>
      <c r="D2" s="4">
        <v>4</v>
      </c>
      <c r="E2" s="4">
        <v>28000</v>
      </c>
      <c r="F2" s="4">
        <v>112000</v>
      </c>
    </row>
    <row r="3" spans="1:6" ht="15">
      <c r="A3" s="2">
        <v>45756</v>
      </c>
      <c r="B3" s="3" t="s">
        <v>35</v>
      </c>
      <c r="C3" s="3" t="s">
        <v>15</v>
      </c>
      <c r="D3" s="4">
        <v>2</v>
      </c>
      <c r="E3" s="4">
        <v>20000</v>
      </c>
      <c r="F3" s="4">
        <v>40000</v>
      </c>
    </row>
    <row r="4" spans="1:6" ht="15">
      <c r="A4" s="3" t="s">
        <v>32</v>
      </c>
      <c r="B4" s="3" t="s">
        <v>35</v>
      </c>
      <c r="C4" s="3" t="s">
        <v>13</v>
      </c>
      <c r="D4" s="4">
        <v>1</v>
      </c>
      <c r="E4" s="4">
        <v>25000</v>
      </c>
      <c r="F4" s="4">
        <v>25000</v>
      </c>
    </row>
    <row r="5" spans="1:6" ht="15">
      <c r="A5" s="2">
        <v>46000</v>
      </c>
      <c r="B5" s="3" t="s">
        <v>35</v>
      </c>
      <c r="C5" s="3" t="s">
        <v>16</v>
      </c>
      <c r="D5" s="4">
        <v>3</v>
      </c>
      <c r="E5" s="4">
        <v>28000</v>
      </c>
      <c r="F5" s="4">
        <v>84000</v>
      </c>
    </row>
    <row r="6" spans="1:6" ht="15">
      <c r="A6" s="2">
        <v>45878</v>
      </c>
      <c r="B6" s="3" t="s">
        <v>35</v>
      </c>
      <c r="C6" s="3" t="s">
        <v>12</v>
      </c>
      <c r="D6" s="4">
        <v>2</v>
      </c>
      <c r="E6" s="4">
        <v>35000</v>
      </c>
      <c r="F6" s="4">
        <v>70000</v>
      </c>
    </row>
    <row r="7" spans="1:6" ht="15">
      <c r="A7" s="2">
        <v>46000</v>
      </c>
      <c r="B7" s="3" t="s">
        <v>35</v>
      </c>
      <c r="C7" s="3" t="s">
        <v>12</v>
      </c>
      <c r="D7" s="4">
        <v>1</v>
      </c>
      <c r="E7" s="4">
        <v>28000</v>
      </c>
      <c r="F7" s="4">
        <v>28000</v>
      </c>
    </row>
    <row r="8" spans="1:6" ht="15">
      <c r="A8" s="2">
        <v>45878</v>
      </c>
      <c r="B8" s="3" t="s">
        <v>35</v>
      </c>
      <c r="C8" s="3" t="s">
        <v>12</v>
      </c>
      <c r="D8" s="4">
        <v>4</v>
      </c>
      <c r="E8" s="4">
        <v>30000</v>
      </c>
      <c r="F8" s="4">
        <v>120000</v>
      </c>
    </row>
    <row r="9" spans="1:6" ht="15">
      <c r="A9" s="3" t="s">
        <v>32</v>
      </c>
      <c r="B9" s="3" t="s">
        <v>35</v>
      </c>
      <c r="C9" s="3" t="s">
        <v>12</v>
      </c>
      <c r="D9" s="4">
        <v>5</v>
      </c>
      <c r="E9" s="4">
        <v>30000</v>
      </c>
      <c r="F9" s="4">
        <v>150000</v>
      </c>
    </row>
    <row r="10" spans="1:6" ht="15">
      <c r="A10" s="3" t="s">
        <v>20</v>
      </c>
      <c r="B10" s="3" t="s">
        <v>35</v>
      </c>
      <c r="C10" s="3" t="s">
        <v>12</v>
      </c>
      <c r="D10" s="4">
        <v>3</v>
      </c>
      <c r="E10" s="4">
        <v>20000</v>
      </c>
      <c r="F10" s="4">
        <v>60000</v>
      </c>
    </row>
    <row r="11" spans="1:6" ht="15">
      <c r="A11" s="3" t="s">
        <v>31</v>
      </c>
      <c r="B11" s="3" t="s">
        <v>35</v>
      </c>
      <c r="C11" s="3" t="s">
        <v>12</v>
      </c>
      <c r="D11" s="4">
        <v>2</v>
      </c>
      <c r="E11" s="4">
        <v>35000</v>
      </c>
      <c r="F11" s="4">
        <v>70000</v>
      </c>
    </row>
    <row r="12" spans="1:6" ht="15">
      <c r="A12" s="3" t="s">
        <v>24</v>
      </c>
      <c r="B12" s="3" t="s">
        <v>35</v>
      </c>
      <c r="C12" s="3" t="s">
        <v>12</v>
      </c>
      <c r="D12" s="4">
        <v>3</v>
      </c>
      <c r="E12" s="4">
        <v>28000</v>
      </c>
      <c r="F12" s="4">
        <v>84000</v>
      </c>
    </row>
    <row r="13" spans="1:6" ht="15">
      <c r="A13" s="2">
        <v>45970</v>
      </c>
      <c r="B13" s="3" t="s">
        <v>35</v>
      </c>
      <c r="C13" s="3" t="s">
        <v>12</v>
      </c>
      <c r="D13" s="4">
        <v>3</v>
      </c>
      <c r="E13" s="4">
        <v>28000</v>
      </c>
      <c r="F13" s="4">
        <v>84000</v>
      </c>
    </row>
    <row r="14" spans="1:6" ht="15">
      <c r="A14" s="3" t="s">
        <v>26</v>
      </c>
      <c r="B14" s="3" t="s">
        <v>35</v>
      </c>
      <c r="C14" s="3" t="s">
        <v>12</v>
      </c>
      <c r="D14" s="4">
        <v>2</v>
      </c>
      <c r="E14" s="4">
        <v>20000</v>
      </c>
      <c r="F14" s="4">
        <v>40000</v>
      </c>
    </row>
    <row r="15" spans="1:6" ht="15">
      <c r="A15" s="2">
        <v>45939</v>
      </c>
      <c r="B15" s="3" t="s">
        <v>35</v>
      </c>
      <c r="C15" s="3" t="s">
        <v>12</v>
      </c>
      <c r="D15" s="4">
        <v>3</v>
      </c>
      <c r="E15" s="4">
        <v>30000</v>
      </c>
      <c r="F15" s="4">
        <v>90000</v>
      </c>
    </row>
    <row r="16" spans="1:6" ht="15">
      <c r="A16" s="3" t="s">
        <v>6</v>
      </c>
      <c r="B16" s="3" t="s">
        <v>35</v>
      </c>
      <c r="C16" s="3" t="s">
        <v>12</v>
      </c>
      <c r="D16" s="4">
        <v>1</v>
      </c>
      <c r="E16" s="4">
        <v>35000</v>
      </c>
      <c r="F16" s="4">
        <v>35000</v>
      </c>
    </row>
    <row r="17" spans="1:6" ht="15">
      <c r="A17" s="3" t="s">
        <v>30</v>
      </c>
      <c r="B17" s="3" t="s">
        <v>35</v>
      </c>
      <c r="C17" s="3" t="s">
        <v>12</v>
      </c>
      <c r="D17" s="4">
        <v>2</v>
      </c>
      <c r="E17" s="4">
        <v>30000</v>
      </c>
      <c r="F17" s="4">
        <v>60000</v>
      </c>
    </row>
    <row r="18" spans="1:6" ht="15">
      <c r="A18" s="2">
        <v>45847</v>
      </c>
      <c r="B18" s="3" t="s">
        <v>35</v>
      </c>
      <c r="C18" s="3" t="s">
        <v>12</v>
      </c>
      <c r="D18" s="4">
        <v>1</v>
      </c>
      <c r="E18" s="4">
        <v>35000</v>
      </c>
      <c r="F18" s="4">
        <v>35000</v>
      </c>
    </row>
    <row r="19" spans="1:6" ht="15">
      <c r="A19" s="2">
        <v>45970</v>
      </c>
      <c r="B19" s="3" t="s">
        <v>35</v>
      </c>
      <c r="C19" s="3" t="s">
        <v>12</v>
      </c>
      <c r="D19" s="4">
        <v>1</v>
      </c>
      <c r="E19" s="4">
        <v>30000</v>
      </c>
      <c r="F19" s="4">
        <v>30000</v>
      </c>
    </row>
    <row r="20" spans="1:6" ht="15">
      <c r="A20" s="2">
        <v>45666</v>
      </c>
      <c r="B20" s="3" t="s">
        <v>35</v>
      </c>
      <c r="C20" s="3" t="s">
        <v>12</v>
      </c>
      <c r="D20" s="4">
        <v>1</v>
      </c>
      <c r="E20" s="4">
        <v>28000</v>
      </c>
      <c r="F20" s="4">
        <v>28000</v>
      </c>
    </row>
    <row r="21" spans="1:6" ht="15">
      <c r="A21" s="2">
        <v>45697</v>
      </c>
      <c r="B21" s="3" t="s">
        <v>35</v>
      </c>
      <c r="C21" s="3" t="s">
        <v>8</v>
      </c>
      <c r="D21" s="4">
        <v>1</v>
      </c>
      <c r="E21" s="4">
        <v>35000</v>
      </c>
      <c r="F21" s="4">
        <v>35000</v>
      </c>
    </row>
    <row r="22" spans="1:6" ht="15">
      <c r="A22" s="2">
        <v>45666</v>
      </c>
      <c r="B22" s="3" t="s">
        <v>35</v>
      </c>
      <c r="C22" s="3" t="s">
        <v>15</v>
      </c>
      <c r="D22" s="4">
        <v>2</v>
      </c>
      <c r="E22" s="4">
        <v>25000</v>
      </c>
      <c r="F22" s="4">
        <v>50000</v>
      </c>
    </row>
    <row r="23" spans="1:6" ht="15">
      <c r="A23" s="3" t="s">
        <v>19</v>
      </c>
      <c r="B23" s="3" t="s">
        <v>35</v>
      </c>
      <c r="C23" s="3" t="s">
        <v>13</v>
      </c>
      <c r="D23" s="4">
        <v>3</v>
      </c>
      <c r="E23" s="4">
        <v>30000</v>
      </c>
      <c r="F23" s="4">
        <v>90000</v>
      </c>
    </row>
    <row r="24" spans="1:6" ht="15">
      <c r="A24" s="2">
        <v>45939</v>
      </c>
      <c r="B24" s="3" t="s">
        <v>35</v>
      </c>
      <c r="C24" s="3" t="s">
        <v>16</v>
      </c>
      <c r="D24" s="4">
        <v>4</v>
      </c>
      <c r="E24" s="4">
        <v>20000</v>
      </c>
      <c r="F24" s="4">
        <v>80000</v>
      </c>
    </row>
    <row r="25" spans="1:6" ht="15">
      <c r="A25" s="3" t="s">
        <v>17</v>
      </c>
      <c r="B25" s="3" t="s">
        <v>35</v>
      </c>
      <c r="C25" s="3" t="s">
        <v>12</v>
      </c>
      <c r="D25" s="4">
        <v>4</v>
      </c>
      <c r="E25" s="4">
        <v>20000</v>
      </c>
      <c r="F25" s="4">
        <v>80000</v>
      </c>
    </row>
    <row r="26" spans="1:6" ht="15">
      <c r="A26" s="2">
        <v>45725</v>
      </c>
      <c r="B26" s="3" t="s">
        <v>35</v>
      </c>
      <c r="C26" s="3" t="s">
        <v>12</v>
      </c>
      <c r="D26" s="4">
        <v>1</v>
      </c>
      <c r="E26" s="4">
        <v>28000</v>
      </c>
      <c r="F26" s="4">
        <v>28000</v>
      </c>
    </row>
    <row r="27" spans="1:6" ht="15">
      <c r="A27" s="3" t="s">
        <v>28</v>
      </c>
      <c r="B27" s="3" t="s">
        <v>35</v>
      </c>
      <c r="C27" s="3" t="s">
        <v>12</v>
      </c>
      <c r="D27" s="4">
        <v>4</v>
      </c>
      <c r="E27" s="4">
        <v>25000</v>
      </c>
      <c r="F27" s="4">
        <v>100000</v>
      </c>
    </row>
    <row r="28" spans="1:6" ht="15">
      <c r="A28" s="2">
        <v>45817</v>
      </c>
      <c r="B28" s="3" t="s">
        <v>35</v>
      </c>
      <c r="C28" s="3" t="s">
        <v>12</v>
      </c>
      <c r="D28" s="4">
        <v>4</v>
      </c>
      <c r="E28" s="4">
        <v>25000</v>
      </c>
      <c r="F28" s="4">
        <v>100000</v>
      </c>
    </row>
    <row r="29" spans="1:6" ht="15">
      <c r="A29" s="3" t="s">
        <v>24</v>
      </c>
      <c r="B29" s="3" t="s">
        <v>35</v>
      </c>
      <c r="C29" s="3" t="s">
        <v>12</v>
      </c>
      <c r="D29" s="4">
        <v>1</v>
      </c>
      <c r="E29" s="4">
        <v>30000</v>
      </c>
      <c r="F29" s="4">
        <v>30000</v>
      </c>
    </row>
    <row r="30" spans="1:6" ht="15">
      <c r="A30" s="3" t="s">
        <v>17</v>
      </c>
      <c r="B30" s="3" t="s">
        <v>35</v>
      </c>
      <c r="C30" s="3" t="s">
        <v>12</v>
      </c>
      <c r="D30" s="4">
        <v>1</v>
      </c>
      <c r="E30" s="4">
        <v>30000</v>
      </c>
      <c r="F30" s="4">
        <v>30000</v>
      </c>
    </row>
    <row r="31" spans="1:6" ht="15">
      <c r="A31" s="2">
        <v>45970</v>
      </c>
      <c r="B31" s="3" t="s">
        <v>35</v>
      </c>
      <c r="C31" s="3" t="s">
        <v>12</v>
      </c>
      <c r="D31" s="4">
        <v>4</v>
      </c>
      <c r="E31" s="4">
        <v>35000</v>
      </c>
      <c r="F31" s="4">
        <v>140000</v>
      </c>
    </row>
    <row r="32" spans="1:6" ht="15">
      <c r="A32" s="3" t="s">
        <v>17</v>
      </c>
      <c r="B32" s="3" t="s">
        <v>35</v>
      </c>
      <c r="C32" s="3" t="s">
        <v>12</v>
      </c>
      <c r="D32" s="4">
        <v>4</v>
      </c>
      <c r="E32" s="4">
        <v>30000</v>
      </c>
      <c r="F32" s="4">
        <v>120000</v>
      </c>
    </row>
    <row r="33" spans="1:6" ht="15">
      <c r="A33" s="3" t="s">
        <v>6</v>
      </c>
      <c r="B33" s="3" t="s">
        <v>35</v>
      </c>
      <c r="C33" s="3" t="s">
        <v>12</v>
      </c>
      <c r="D33" s="4">
        <v>1</v>
      </c>
      <c r="E33" s="4">
        <v>35000</v>
      </c>
      <c r="F33" s="4">
        <v>35000</v>
      </c>
    </row>
    <row r="34" spans="1:6" ht="15">
      <c r="A34" s="3" t="s">
        <v>32</v>
      </c>
      <c r="B34" s="3" t="s">
        <v>35</v>
      </c>
      <c r="C34" s="3" t="s">
        <v>12</v>
      </c>
      <c r="D34" s="4">
        <v>1</v>
      </c>
      <c r="E34" s="4">
        <v>30000</v>
      </c>
      <c r="F34" s="4">
        <v>30000</v>
      </c>
    </row>
    <row r="35" spans="1:6" ht="15">
      <c r="A35" s="2">
        <v>45817</v>
      </c>
      <c r="B35" s="3" t="s">
        <v>35</v>
      </c>
      <c r="C35" s="3" t="s">
        <v>12</v>
      </c>
      <c r="D35" s="4">
        <v>4</v>
      </c>
      <c r="E35" s="4">
        <v>20000</v>
      </c>
      <c r="F35" s="4">
        <v>80000</v>
      </c>
    </row>
    <row r="36" spans="1:6" ht="15">
      <c r="A36" s="3" t="s">
        <v>28</v>
      </c>
      <c r="B36" s="3" t="s">
        <v>35</v>
      </c>
      <c r="C36" s="3" t="s">
        <v>12</v>
      </c>
      <c r="D36" s="4">
        <v>1</v>
      </c>
      <c r="E36" s="4">
        <v>30000</v>
      </c>
      <c r="F36" s="4">
        <v>30000</v>
      </c>
    </row>
    <row r="37" spans="1:6" ht="15">
      <c r="A37" s="3" t="s">
        <v>21</v>
      </c>
      <c r="B37" s="3" t="s">
        <v>35</v>
      </c>
      <c r="C37" s="3" t="s">
        <v>12</v>
      </c>
      <c r="D37" s="4">
        <v>1</v>
      </c>
      <c r="E37" s="4">
        <v>25000</v>
      </c>
      <c r="F37" s="4">
        <v>25000</v>
      </c>
    </row>
    <row r="38" spans="1:6" ht="15">
      <c r="A38" s="3" t="s">
        <v>32</v>
      </c>
      <c r="B38" s="3" t="s">
        <v>35</v>
      </c>
      <c r="C38" s="3" t="s">
        <v>12</v>
      </c>
      <c r="D38" s="4">
        <v>3</v>
      </c>
      <c r="E38" s="4">
        <v>35000</v>
      </c>
      <c r="F38" s="4">
        <v>105000</v>
      </c>
    </row>
    <row r="39" spans="1:6" ht="15">
      <c r="A39" s="3" t="s">
        <v>30</v>
      </c>
      <c r="B39" s="3" t="s">
        <v>35</v>
      </c>
      <c r="C39" s="3" t="s">
        <v>12</v>
      </c>
      <c r="D39" s="4">
        <v>1</v>
      </c>
      <c r="E39" s="4">
        <v>35000</v>
      </c>
      <c r="F39" s="4">
        <v>35000</v>
      </c>
    </row>
    <row r="40" spans="1:6" ht="15">
      <c r="A40" s="3" t="s">
        <v>18</v>
      </c>
      <c r="B40" s="3" t="s">
        <v>35</v>
      </c>
      <c r="C40" s="3" t="s">
        <v>8</v>
      </c>
      <c r="D40" s="4">
        <v>5</v>
      </c>
      <c r="E40" s="4">
        <v>35000</v>
      </c>
      <c r="F40" s="4">
        <v>175000</v>
      </c>
    </row>
    <row r="41" spans="1:6" ht="15">
      <c r="A41" s="3" t="s">
        <v>32</v>
      </c>
      <c r="B41" s="3" t="s">
        <v>35</v>
      </c>
      <c r="C41" s="3" t="s">
        <v>15</v>
      </c>
      <c r="D41" s="4">
        <v>1</v>
      </c>
      <c r="E41" s="4">
        <v>30000</v>
      </c>
      <c r="F41" s="4">
        <v>30000</v>
      </c>
    </row>
    <row r="42" spans="1:6" ht="15">
      <c r="A42" s="3" t="s">
        <v>18</v>
      </c>
      <c r="B42" s="3" t="s">
        <v>35</v>
      </c>
      <c r="C42" s="3" t="s">
        <v>13</v>
      </c>
      <c r="D42" s="4">
        <v>1</v>
      </c>
      <c r="E42" s="4">
        <v>20000</v>
      </c>
      <c r="F42" s="4">
        <v>20000</v>
      </c>
    </row>
    <row r="43" spans="1:6" ht="15">
      <c r="A43" s="2">
        <v>45666</v>
      </c>
      <c r="B43" s="3" t="s">
        <v>35</v>
      </c>
      <c r="C43" s="3" t="s">
        <v>16</v>
      </c>
      <c r="D43" s="4">
        <v>2</v>
      </c>
      <c r="E43" s="4">
        <v>30000</v>
      </c>
      <c r="F43" s="4">
        <v>60000</v>
      </c>
    </row>
    <row r="44" spans="1:6" ht="15">
      <c r="A44" s="2">
        <v>45697</v>
      </c>
      <c r="B44" s="3" t="s">
        <v>35</v>
      </c>
      <c r="C44" s="3" t="s">
        <v>12</v>
      </c>
      <c r="D44" s="4">
        <v>2</v>
      </c>
      <c r="E44" s="4">
        <v>35000</v>
      </c>
      <c r="F44" s="4">
        <v>70000</v>
      </c>
    </row>
    <row r="45" spans="1:6" ht="15">
      <c r="A45" s="3" t="s">
        <v>24</v>
      </c>
      <c r="B45" s="3" t="s">
        <v>35</v>
      </c>
      <c r="C45" s="3" t="s">
        <v>8</v>
      </c>
      <c r="D45" s="4">
        <v>5</v>
      </c>
      <c r="E45" s="4">
        <v>28000</v>
      </c>
      <c r="F45" s="4">
        <v>140000</v>
      </c>
    </row>
    <row r="46" spans="1:6" ht="15">
      <c r="A46" s="3" t="s">
        <v>23</v>
      </c>
      <c r="B46" s="3" t="s">
        <v>35</v>
      </c>
      <c r="C46" s="3" t="s">
        <v>15</v>
      </c>
      <c r="D46" s="4">
        <v>1</v>
      </c>
      <c r="E46" s="4">
        <v>25000</v>
      </c>
      <c r="F46" s="4">
        <v>25000</v>
      </c>
    </row>
    <row r="47" spans="1:6" ht="15">
      <c r="A47" s="2">
        <v>45725</v>
      </c>
      <c r="B47" s="3" t="s">
        <v>35</v>
      </c>
      <c r="C47" s="3" t="s">
        <v>13</v>
      </c>
      <c r="D47" s="4">
        <v>1</v>
      </c>
      <c r="E47" s="4">
        <v>35000</v>
      </c>
      <c r="F47" s="4">
        <v>35000</v>
      </c>
    </row>
    <row r="48" spans="1:6" ht="15">
      <c r="A48" s="2">
        <v>45725</v>
      </c>
      <c r="B48" s="3" t="s">
        <v>35</v>
      </c>
      <c r="C48" s="3" t="s">
        <v>16</v>
      </c>
      <c r="D48" s="4">
        <v>2</v>
      </c>
      <c r="E48" s="4">
        <v>28000</v>
      </c>
      <c r="F48" s="4">
        <v>56000</v>
      </c>
    </row>
    <row r="49" spans="1:6" ht="15">
      <c r="A49" s="2">
        <v>45666</v>
      </c>
      <c r="B49" s="3" t="s">
        <v>35</v>
      </c>
      <c r="C49" s="3" t="s">
        <v>12</v>
      </c>
      <c r="D49" s="4">
        <v>3</v>
      </c>
      <c r="E49" s="4">
        <v>28000</v>
      </c>
      <c r="F49" s="4">
        <v>84000</v>
      </c>
    </row>
    <row r="50" spans="1:6" ht="15">
      <c r="A50" s="3" t="s">
        <v>10</v>
      </c>
      <c r="B50" s="3" t="s">
        <v>35</v>
      </c>
      <c r="C50" s="3" t="s">
        <v>8</v>
      </c>
      <c r="D50" s="4">
        <v>1</v>
      </c>
      <c r="E50" s="4">
        <v>25000</v>
      </c>
      <c r="F50" s="4">
        <v>25000</v>
      </c>
    </row>
    <row r="51" spans="1:6" ht="15">
      <c r="A51" s="3" t="s">
        <v>19</v>
      </c>
      <c r="B51" s="3" t="s">
        <v>35</v>
      </c>
      <c r="C51" s="3" t="s">
        <v>15</v>
      </c>
      <c r="D51" s="4">
        <v>2</v>
      </c>
      <c r="E51" s="4">
        <v>30000</v>
      </c>
      <c r="F51" s="4">
        <v>60000</v>
      </c>
    </row>
    <row r="52" spans="1:6" ht="15">
      <c r="A52" s="2">
        <v>45725</v>
      </c>
      <c r="B52" s="3" t="s">
        <v>35</v>
      </c>
      <c r="C52" s="3" t="s">
        <v>13</v>
      </c>
      <c r="D52" s="4">
        <v>1</v>
      </c>
      <c r="E52" s="4">
        <v>30000</v>
      </c>
      <c r="F52" s="4">
        <v>30000</v>
      </c>
    </row>
    <row r="53" spans="1:6" ht="15">
      <c r="A53" s="3" t="s">
        <v>6</v>
      </c>
      <c r="B53" s="3" t="s">
        <v>35</v>
      </c>
      <c r="C53" s="3" t="s">
        <v>16</v>
      </c>
      <c r="D53" s="4">
        <v>1</v>
      </c>
      <c r="E53" s="4">
        <v>35000</v>
      </c>
      <c r="F53" s="4">
        <v>35000</v>
      </c>
    </row>
    <row r="54" spans="1:6" ht="15">
      <c r="A54" s="3" t="s">
        <v>19</v>
      </c>
      <c r="B54" s="3" t="s">
        <v>35</v>
      </c>
      <c r="C54" s="3" t="s">
        <v>12</v>
      </c>
      <c r="D54" s="4">
        <v>3</v>
      </c>
      <c r="E54" s="4">
        <v>30000</v>
      </c>
      <c r="F54" s="4">
        <v>90000</v>
      </c>
    </row>
    <row r="55" spans="1:6" ht="15">
      <c r="A55" s="3" t="s">
        <v>18</v>
      </c>
      <c r="B55" s="3" t="s">
        <v>35</v>
      </c>
      <c r="C55" s="3" t="s">
        <v>8</v>
      </c>
      <c r="D55" s="4">
        <v>1</v>
      </c>
      <c r="E55" s="4">
        <v>20000</v>
      </c>
      <c r="F55" s="4">
        <v>20000</v>
      </c>
    </row>
    <row r="56" spans="1:6" ht="15">
      <c r="A56" s="3" t="s">
        <v>31</v>
      </c>
      <c r="B56" s="3" t="s">
        <v>35</v>
      </c>
      <c r="C56" s="3" t="s">
        <v>15</v>
      </c>
      <c r="D56" s="4">
        <v>2</v>
      </c>
      <c r="E56" s="4">
        <v>35000</v>
      </c>
      <c r="F56" s="4">
        <v>70000</v>
      </c>
    </row>
    <row r="57" spans="1:6" ht="15">
      <c r="A57" s="3" t="s">
        <v>10</v>
      </c>
      <c r="B57" s="3" t="s">
        <v>35</v>
      </c>
      <c r="C57" s="3" t="s">
        <v>13</v>
      </c>
      <c r="D57" s="4">
        <v>1</v>
      </c>
      <c r="E57" s="4">
        <v>25000</v>
      </c>
      <c r="F57" s="4">
        <v>25000</v>
      </c>
    </row>
    <row r="58" spans="1:6" ht="15">
      <c r="A58" s="2">
        <v>45666</v>
      </c>
      <c r="B58" s="3" t="s">
        <v>35</v>
      </c>
      <c r="C58" s="3" t="s">
        <v>16</v>
      </c>
      <c r="D58" s="4">
        <v>5</v>
      </c>
      <c r="E58" s="4">
        <v>20000</v>
      </c>
      <c r="F58" s="4">
        <v>100000</v>
      </c>
    </row>
    <row r="59" spans="1:6" ht="15">
      <c r="A59" s="2">
        <v>45817</v>
      </c>
      <c r="B59" s="3" t="s">
        <v>35</v>
      </c>
      <c r="C59" s="3" t="s">
        <v>12</v>
      </c>
      <c r="D59" s="4">
        <v>1</v>
      </c>
      <c r="E59" s="4">
        <v>30000</v>
      </c>
      <c r="F59" s="4">
        <v>30000</v>
      </c>
    </row>
    <row r="60" spans="1:6" ht="15">
      <c r="A60" s="3" t="s">
        <v>32</v>
      </c>
      <c r="B60" s="3" t="s">
        <v>35</v>
      </c>
      <c r="C60" s="3" t="s">
        <v>13</v>
      </c>
      <c r="D60" s="4">
        <v>5</v>
      </c>
      <c r="E60" s="4">
        <v>25000</v>
      </c>
      <c r="F60" s="4">
        <v>125000</v>
      </c>
    </row>
    <row r="61" spans="1:6" ht="15">
      <c r="A61" s="3" t="s">
        <v>18</v>
      </c>
      <c r="B61" s="3" t="s">
        <v>35</v>
      </c>
      <c r="C61" s="3" t="s">
        <v>16</v>
      </c>
      <c r="D61" s="4">
        <v>1</v>
      </c>
      <c r="E61" s="4">
        <v>20000</v>
      </c>
      <c r="F61" s="4">
        <v>20000</v>
      </c>
    </row>
    <row r="62" spans="1:6" ht="15">
      <c r="A62" s="2">
        <v>46000</v>
      </c>
      <c r="B62" s="3" t="s">
        <v>35</v>
      </c>
      <c r="C62" s="3" t="s">
        <v>12</v>
      </c>
      <c r="D62" s="4">
        <v>1</v>
      </c>
      <c r="E62" s="4">
        <v>28000</v>
      </c>
      <c r="F62" s="4">
        <v>28000</v>
      </c>
    </row>
    <row r="63" spans="1:6" ht="15">
      <c r="A63" s="3" t="s">
        <v>17</v>
      </c>
      <c r="B63" s="3" t="s">
        <v>35</v>
      </c>
      <c r="C63" s="3" t="s">
        <v>8</v>
      </c>
      <c r="D63" s="4">
        <v>2</v>
      </c>
      <c r="E63" s="4">
        <v>25000</v>
      </c>
      <c r="F63" s="4">
        <v>50000</v>
      </c>
    </row>
    <row r="64" spans="1:6" ht="15">
      <c r="A64" s="2">
        <v>45725</v>
      </c>
      <c r="B64" s="3" t="s">
        <v>35</v>
      </c>
      <c r="C64" s="3" t="s">
        <v>15</v>
      </c>
      <c r="D64" s="4">
        <v>1</v>
      </c>
      <c r="E64" s="4">
        <v>35000</v>
      </c>
      <c r="F64" s="4">
        <v>35000</v>
      </c>
    </row>
    <row r="65" spans="1:6" ht="15">
      <c r="A65" s="2">
        <v>45666</v>
      </c>
      <c r="B65" s="3" t="s">
        <v>35</v>
      </c>
      <c r="C65" s="3" t="s">
        <v>13</v>
      </c>
      <c r="D65" s="4">
        <v>3</v>
      </c>
      <c r="E65" s="4">
        <v>25000</v>
      </c>
      <c r="F65" s="4">
        <v>75000</v>
      </c>
    </row>
    <row r="66" spans="1:6" ht="15">
      <c r="A66" s="2">
        <v>45878</v>
      </c>
      <c r="B66" s="3" t="s">
        <v>35</v>
      </c>
      <c r="C66" s="3" t="s">
        <v>16</v>
      </c>
      <c r="D66" s="4">
        <v>4</v>
      </c>
      <c r="E66" s="4">
        <v>30000</v>
      </c>
      <c r="F66" s="4">
        <v>120000</v>
      </c>
    </row>
    <row r="67" spans="1:6" ht="15">
      <c r="A67" s="3" t="s">
        <v>30</v>
      </c>
      <c r="B67" s="3" t="s">
        <v>35</v>
      </c>
      <c r="C67" s="3" t="s">
        <v>12</v>
      </c>
      <c r="D67" s="4">
        <v>5</v>
      </c>
      <c r="E67" s="4">
        <v>35000</v>
      </c>
      <c r="F67" s="4">
        <v>175000</v>
      </c>
    </row>
    <row r="68" spans="1:6" ht="15">
      <c r="A68" s="2">
        <v>45666</v>
      </c>
      <c r="B68" s="3" t="s">
        <v>35</v>
      </c>
      <c r="C68" s="3" t="s">
        <v>8</v>
      </c>
      <c r="D68" s="4">
        <v>3</v>
      </c>
      <c r="E68" s="4">
        <v>28000</v>
      </c>
      <c r="F68" s="4">
        <v>84000</v>
      </c>
    </row>
    <row r="69" spans="1:6" ht="15">
      <c r="A69" s="3" t="s">
        <v>26</v>
      </c>
      <c r="B69" s="3" t="s">
        <v>35</v>
      </c>
      <c r="C69" s="3" t="s">
        <v>15</v>
      </c>
      <c r="D69" s="4">
        <v>3</v>
      </c>
      <c r="E69" s="4">
        <v>20000</v>
      </c>
      <c r="F69" s="4">
        <v>60000</v>
      </c>
    </row>
    <row r="70" spans="1:6" ht="15">
      <c r="A70" s="3" t="s">
        <v>24</v>
      </c>
      <c r="B70" s="3" t="s">
        <v>35</v>
      </c>
      <c r="C70" s="3" t="s">
        <v>13</v>
      </c>
      <c r="D70" s="4">
        <v>1</v>
      </c>
      <c r="E70" s="4">
        <v>30000</v>
      </c>
      <c r="F70" s="4">
        <v>30000</v>
      </c>
    </row>
    <row r="71" spans="1:6" ht="15">
      <c r="A71" s="2">
        <v>45847</v>
      </c>
      <c r="B71" s="3" t="s">
        <v>35</v>
      </c>
      <c r="C71" s="3" t="s">
        <v>16</v>
      </c>
      <c r="D71" s="4">
        <v>5</v>
      </c>
      <c r="E71" s="4">
        <v>28000</v>
      </c>
      <c r="F71" s="4">
        <v>140000</v>
      </c>
    </row>
    <row r="72" spans="1:6" ht="15">
      <c r="A72" s="3" t="s">
        <v>10</v>
      </c>
      <c r="B72" s="3" t="s">
        <v>35</v>
      </c>
      <c r="C72" s="3" t="s">
        <v>12</v>
      </c>
      <c r="D72" s="4">
        <v>1</v>
      </c>
      <c r="E72" s="4">
        <v>20000</v>
      </c>
      <c r="F72" s="4">
        <v>20000</v>
      </c>
    </row>
    <row r="73" spans="1:6" ht="15">
      <c r="A73" s="2">
        <v>45786</v>
      </c>
      <c r="B73" s="3" t="s">
        <v>35</v>
      </c>
      <c r="C73" s="3" t="s">
        <v>16</v>
      </c>
      <c r="D73" s="4">
        <v>1</v>
      </c>
      <c r="E73" s="4">
        <v>35000</v>
      </c>
      <c r="F73" s="4">
        <v>35000</v>
      </c>
    </row>
    <row r="74" spans="1:6" ht="15">
      <c r="A74" s="3" t="s">
        <v>30</v>
      </c>
      <c r="B74" s="3" t="s">
        <v>35</v>
      </c>
      <c r="C74" s="3" t="s">
        <v>12</v>
      </c>
      <c r="D74" s="4">
        <v>4</v>
      </c>
      <c r="E74" s="4">
        <v>28000</v>
      </c>
      <c r="F74" s="4">
        <v>112000</v>
      </c>
    </row>
    <row r="75" spans="1:6" ht="15">
      <c r="A75" s="2">
        <v>45878</v>
      </c>
      <c r="B75" s="3" t="s">
        <v>35</v>
      </c>
      <c r="C75" s="3" t="s">
        <v>8</v>
      </c>
      <c r="D75" s="4">
        <v>5</v>
      </c>
      <c r="E75" s="4">
        <v>25000</v>
      </c>
      <c r="F75" s="4">
        <v>125000</v>
      </c>
    </row>
    <row r="76" spans="1:6" ht="15">
      <c r="A76" s="3" t="s">
        <v>18</v>
      </c>
      <c r="B76" s="3" t="s">
        <v>35</v>
      </c>
      <c r="C76" s="3" t="s">
        <v>15</v>
      </c>
      <c r="D76" s="4">
        <v>1</v>
      </c>
      <c r="E76" s="4">
        <v>25000</v>
      </c>
      <c r="F76" s="4">
        <v>25000</v>
      </c>
    </row>
    <row r="77" spans="1:6" ht="15">
      <c r="A77" s="3" t="s">
        <v>20</v>
      </c>
      <c r="B77" s="3" t="s">
        <v>35</v>
      </c>
      <c r="C77" s="3" t="s">
        <v>13</v>
      </c>
      <c r="D77" s="4">
        <v>3</v>
      </c>
      <c r="E77" s="4">
        <v>35000</v>
      </c>
      <c r="F77" s="4">
        <v>105000</v>
      </c>
    </row>
    <row r="78" spans="1:6" ht="15">
      <c r="A78" s="2">
        <v>45817</v>
      </c>
      <c r="B78" s="3" t="s">
        <v>35</v>
      </c>
      <c r="C78" s="3" t="s">
        <v>16</v>
      </c>
      <c r="D78" s="4">
        <v>1</v>
      </c>
      <c r="E78" s="4">
        <v>25000</v>
      </c>
      <c r="F78" s="4">
        <v>25000</v>
      </c>
    </row>
    <row r="79" spans="1:6" ht="15">
      <c r="A79" s="2">
        <v>45817</v>
      </c>
      <c r="B79" s="3" t="s">
        <v>35</v>
      </c>
      <c r="C79" s="3" t="s">
        <v>12</v>
      </c>
      <c r="D79" s="4">
        <v>3</v>
      </c>
      <c r="E79" s="4">
        <v>28000</v>
      </c>
      <c r="F79" s="4">
        <v>84000</v>
      </c>
    </row>
    <row r="80" spans="1:6" ht="15">
      <c r="A80" s="3" t="s">
        <v>22</v>
      </c>
      <c r="B80" s="3" t="s">
        <v>35</v>
      </c>
      <c r="C80" s="3" t="s">
        <v>13</v>
      </c>
      <c r="D80" s="4">
        <v>4</v>
      </c>
      <c r="E80" s="4">
        <v>20000</v>
      </c>
      <c r="F80" s="4">
        <v>80000</v>
      </c>
    </row>
    <row r="81" spans="1:6" ht="15">
      <c r="A81" s="3" t="s">
        <v>20</v>
      </c>
      <c r="B81" s="3" t="s">
        <v>35</v>
      </c>
      <c r="C81" s="3" t="s">
        <v>16</v>
      </c>
      <c r="D81" s="4">
        <v>2</v>
      </c>
      <c r="E81" s="4">
        <v>20000</v>
      </c>
      <c r="F81" s="4">
        <v>40000</v>
      </c>
    </row>
    <row r="82" spans="1:6" ht="15">
      <c r="A82" s="3" t="s">
        <v>32</v>
      </c>
      <c r="B82" s="3" t="s">
        <v>35</v>
      </c>
      <c r="C82" s="3" t="s">
        <v>12</v>
      </c>
      <c r="D82" s="4">
        <v>3</v>
      </c>
      <c r="E82" s="4">
        <v>25000</v>
      </c>
      <c r="F82" s="4">
        <v>75000</v>
      </c>
    </row>
    <row r="83" spans="1:6" ht="15">
      <c r="A83" s="3" t="s">
        <v>19</v>
      </c>
      <c r="B83" s="3" t="s">
        <v>35</v>
      </c>
      <c r="C83" s="3" t="s">
        <v>8</v>
      </c>
      <c r="D83" s="4">
        <v>2</v>
      </c>
      <c r="E83" s="4">
        <v>35000</v>
      </c>
      <c r="F83" s="4">
        <v>70000</v>
      </c>
    </row>
    <row r="84" spans="1:6" ht="15">
      <c r="A84" s="3" t="s">
        <v>28</v>
      </c>
      <c r="B84" s="3" t="s">
        <v>35</v>
      </c>
      <c r="C84" s="3" t="s">
        <v>15</v>
      </c>
      <c r="D84" s="4">
        <v>1</v>
      </c>
      <c r="E84" s="4">
        <v>28000</v>
      </c>
      <c r="F84" s="4">
        <v>28000</v>
      </c>
    </row>
    <row r="85" spans="1:6" ht="15">
      <c r="A85" s="3" t="s">
        <v>6</v>
      </c>
      <c r="B85" s="3" t="s">
        <v>35</v>
      </c>
      <c r="C85" s="3" t="s">
        <v>13</v>
      </c>
      <c r="D85" s="4">
        <v>1</v>
      </c>
      <c r="E85" s="4">
        <v>35000</v>
      </c>
      <c r="F85" s="4">
        <v>35000</v>
      </c>
    </row>
    <row r="86" spans="1:6" ht="15">
      <c r="A86" s="3" t="s">
        <v>32</v>
      </c>
      <c r="B86" s="3" t="s">
        <v>35</v>
      </c>
      <c r="C86" s="3" t="s">
        <v>16</v>
      </c>
      <c r="D86" s="4">
        <v>3</v>
      </c>
      <c r="E86" s="4">
        <v>35000</v>
      </c>
      <c r="F86" s="4">
        <v>105000</v>
      </c>
    </row>
    <row r="87" spans="1:6" ht="15">
      <c r="A87" s="3" t="s">
        <v>10</v>
      </c>
      <c r="B87" s="3" t="s">
        <v>35</v>
      </c>
      <c r="C87" s="3" t="s">
        <v>12</v>
      </c>
      <c r="D87" s="4">
        <v>1</v>
      </c>
      <c r="E87" s="4">
        <v>25000</v>
      </c>
      <c r="F87" s="4">
        <v>25000</v>
      </c>
    </row>
    <row r="88" spans="1:6" ht="15">
      <c r="A88" s="3" t="s">
        <v>21</v>
      </c>
      <c r="B88" s="3" t="s">
        <v>35</v>
      </c>
      <c r="C88" s="3" t="s">
        <v>8</v>
      </c>
      <c r="D88" s="4">
        <v>4</v>
      </c>
      <c r="E88" s="4">
        <v>20000</v>
      </c>
      <c r="F88" s="4">
        <v>80000</v>
      </c>
    </row>
    <row r="89" spans="1:6" ht="15">
      <c r="A89" s="3" t="s">
        <v>30</v>
      </c>
      <c r="B89" s="3" t="s">
        <v>35</v>
      </c>
      <c r="C89" s="3" t="s">
        <v>15</v>
      </c>
      <c r="D89" s="4">
        <v>1</v>
      </c>
      <c r="E89" s="4">
        <v>20000</v>
      </c>
      <c r="F89" s="4">
        <v>20000</v>
      </c>
    </row>
    <row r="90" spans="1:6" ht="15">
      <c r="A90" s="2">
        <v>46000</v>
      </c>
      <c r="B90" s="3" t="s">
        <v>35</v>
      </c>
      <c r="C90" s="3" t="s">
        <v>13</v>
      </c>
      <c r="D90" s="4">
        <v>3</v>
      </c>
      <c r="E90" s="4">
        <v>30000</v>
      </c>
      <c r="F90" s="4">
        <v>90000</v>
      </c>
    </row>
    <row r="91" spans="1:6" ht="15">
      <c r="A91" s="3" t="s">
        <v>27</v>
      </c>
      <c r="B91" s="3" t="s">
        <v>35</v>
      </c>
      <c r="C91" s="3" t="s">
        <v>16</v>
      </c>
      <c r="D91" s="4">
        <v>4</v>
      </c>
      <c r="E91" s="4">
        <v>20000</v>
      </c>
      <c r="F91" s="4">
        <v>80000</v>
      </c>
    </row>
    <row r="92" spans="1:6" ht="15">
      <c r="A92" s="2">
        <v>45970</v>
      </c>
      <c r="B92" s="3" t="s">
        <v>35</v>
      </c>
      <c r="C92" s="3" t="s">
        <v>12</v>
      </c>
      <c r="D92" s="4">
        <v>2</v>
      </c>
      <c r="E92" s="4">
        <v>30000</v>
      </c>
      <c r="F92" s="4">
        <v>60000</v>
      </c>
    </row>
    <row r="93" spans="1:6" ht="15">
      <c r="A93" s="3" t="s">
        <v>17</v>
      </c>
      <c r="B93" s="3" t="s">
        <v>35</v>
      </c>
      <c r="C93" s="3" t="s">
        <v>8</v>
      </c>
      <c r="D93" s="4">
        <v>3</v>
      </c>
      <c r="E93" s="4">
        <v>25000</v>
      </c>
      <c r="F93" s="4">
        <v>75000</v>
      </c>
    </row>
    <row r="94" spans="1:6" ht="15">
      <c r="A94" s="2">
        <v>45847</v>
      </c>
      <c r="B94" s="3" t="s">
        <v>35</v>
      </c>
      <c r="C94" s="3" t="s">
        <v>15</v>
      </c>
      <c r="D94" s="4">
        <v>5</v>
      </c>
      <c r="E94" s="4">
        <v>35000</v>
      </c>
      <c r="F94" s="4">
        <v>175000</v>
      </c>
    </row>
    <row r="95" spans="1:6" ht="15">
      <c r="A95" s="2">
        <v>45666</v>
      </c>
      <c r="B95" s="3" t="s">
        <v>35</v>
      </c>
      <c r="C95" s="3" t="s">
        <v>13</v>
      </c>
      <c r="D95" s="4">
        <v>2</v>
      </c>
      <c r="E95" s="4">
        <v>25000</v>
      </c>
      <c r="F95" s="4">
        <v>50000</v>
      </c>
    </row>
    <row r="96" spans="1:6" ht="15">
      <c r="A96" s="3" t="s">
        <v>17</v>
      </c>
      <c r="B96" s="3" t="s">
        <v>35</v>
      </c>
      <c r="C96" s="3" t="s">
        <v>16</v>
      </c>
      <c r="D96" s="4">
        <v>4</v>
      </c>
      <c r="E96" s="4">
        <v>30000</v>
      </c>
      <c r="F96" s="4">
        <v>120000</v>
      </c>
    </row>
    <row r="97" spans="1:6" ht="15">
      <c r="A97" s="3" t="s">
        <v>23</v>
      </c>
      <c r="B97" s="3" t="s">
        <v>35</v>
      </c>
      <c r="C97" s="3" t="s">
        <v>12</v>
      </c>
      <c r="D97" s="4">
        <v>1</v>
      </c>
      <c r="E97" s="4">
        <v>30000</v>
      </c>
      <c r="F97" s="4">
        <v>30000</v>
      </c>
    </row>
    <row r="98" spans="1:6" ht="15">
      <c r="A98" s="3" t="s">
        <v>21</v>
      </c>
      <c r="B98" s="3" t="s">
        <v>35</v>
      </c>
      <c r="C98" s="3" t="s">
        <v>8</v>
      </c>
      <c r="D98" s="4">
        <v>1</v>
      </c>
      <c r="E98" s="4">
        <v>20000</v>
      </c>
      <c r="F98" s="4">
        <v>20000</v>
      </c>
    </row>
    <row r="99" spans="1:6" ht="15">
      <c r="A99" s="3" t="s">
        <v>29</v>
      </c>
      <c r="B99" s="3" t="s">
        <v>35</v>
      </c>
      <c r="C99" s="3" t="s">
        <v>15</v>
      </c>
      <c r="D99" s="4">
        <v>1</v>
      </c>
      <c r="E99" s="4">
        <v>20000</v>
      </c>
      <c r="F99" s="4">
        <v>20000</v>
      </c>
    </row>
    <row r="100" spans="1:6" ht="15">
      <c r="A100" s="2">
        <v>45847</v>
      </c>
      <c r="B100" s="3" t="s">
        <v>35</v>
      </c>
      <c r="C100" s="3" t="s">
        <v>13</v>
      </c>
      <c r="D100" s="4">
        <v>5</v>
      </c>
      <c r="E100" s="4">
        <v>35000</v>
      </c>
      <c r="F100" s="4">
        <v>175000</v>
      </c>
    </row>
    <row r="101" spans="1:6" ht="15">
      <c r="A101" s="3" t="s">
        <v>17</v>
      </c>
      <c r="B101" s="3" t="s">
        <v>35</v>
      </c>
      <c r="C101" s="3" t="s">
        <v>16</v>
      </c>
      <c r="D101" s="4">
        <v>1</v>
      </c>
      <c r="E101" s="4">
        <v>25000</v>
      </c>
      <c r="F101" s="4">
        <v>25000</v>
      </c>
    </row>
    <row r="102" spans="1:6" ht="15">
      <c r="A102" s="3" t="s">
        <v>26</v>
      </c>
      <c r="B102" s="3" t="s">
        <v>35</v>
      </c>
      <c r="C102" s="3" t="s">
        <v>12</v>
      </c>
      <c r="D102" s="4">
        <v>2</v>
      </c>
      <c r="E102" s="4">
        <v>30000</v>
      </c>
      <c r="F102" s="4">
        <v>60000</v>
      </c>
    </row>
    <row r="103" spans="1:6" ht="15">
      <c r="A103" s="2">
        <v>45756</v>
      </c>
      <c r="B103" s="3" t="s">
        <v>35</v>
      </c>
      <c r="C103" s="3" t="s">
        <v>8</v>
      </c>
      <c r="D103" s="4">
        <v>1</v>
      </c>
      <c r="E103" s="4">
        <v>35000</v>
      </c>
      <c r="F103" s="4">
        <v>35000</v>
      </c>
    </row>
    <row r="104" spans="1:6" ht="15">
      <c r="A104" s="3" t="s">
        <v>31</v>
      </c>
      <c r="B104" s="3" t="s">
        <v>35</v>
      </c>
      <c r="C104" s="3" t="s">
        <v>15</v>
      </c>
      <c r="D104" s="4">
        <v>2</v>
      </c>
      <c r="E104" s="4">
        <v>28000</v>
      </c>
      <c r="F104" s="4">
        <v>56000</v>
      </c>
    </row>
    <row r="105" spans="1:6" ht="15">
      <c r="A105" s="3" t="s">
        <v>30</v>
      </c>
      <c r="B105" s="3" t="s">
        <v>35</v>
      </c>
      <c r="C105" s="3" t="s">
        <v>13</v>
      </c>
      <c r="D105" s="4">
        <v>3</v>
      </c>
      <c r="E105" s="4">
        <v>20000</v>
      </c>
      <c r="F105" s="4">
        <v>60000</v>
      </c>
    </row>
    <row r="106" spans="1:6" ht="15">
      <c r="A106" s="3" t="s">
        <v>18</v>
      </c>
      <c r="B106" s="3" t="s">
        <v>35</v>
      </c>
      <c r="C106" s="3" t="s">
        <v>16</v>
      </c>
      <c r="D106" s="4">
        <v>1</v>
      </c>
      <c r="E106" s="4">
        <v>30000</v>
      </c>
      <c r="F106" s="4">
        <v>30000</v>
      </c>
    </row>
    <row r="107" spans="1:6" ht="15">
      <c r="A107" s="2">
        <v>46000</v>
      </c>
      <c r="B107" s="3" t="s">
        <v>35</v>
      </c>
      <c r="C107" s="3" t="s">
        <v>12</v>
      </c>
      <c r="D107" s="4">
        <v>1</v>
      </c>
      <c r="E107" s="4">
        <v>25000</v>
      </c>
      <c r="F107" s="4">
        <v>25000</v>
      </c>
    </row>
    <row r="108" spans="1:6" ht="15">
      <c r="A108" s="3" t="s">
        <v>17</v>
      </c>
      <c r="B108" s="3" t="s">
        <v>35</v>
      </c>
      <c r="C108" s="3" t="s">
        <v>8</v>
      </c>
      <c r="D108" s="4">
        <v>3</v>
      </c>
      <c r="E108" s="4">
        <v>30000</v>
      </c>
      <c r="F108" s="4">
        <v>90000</v>
      </c>
    </row>
    <row r="109" spans="1:6" ht="15">
      <c r="A109" s="3" t="s">
        <v>28</v>
      </c>
      <c r="B109" s="3" t="s">
        <v>35</v>
      </c>
      <c r="C109" s="3" t="s">
        <v>15</v>
      </c>
      <c r="D109" s="4">
        <v>2</v>
      </c>
      <c r="E109" s="4">
        <v>25000</v>
      </c>
      <c r="F109" s="4">
        <v>50000</v>
      </c>
    </row>
    <row r="110" spans="1:6" ht="15">
      <c r="A110" s="3" t="s">
        <v>26</v>
      </c>
      <c r="B110" s="3" t="s">
        <v>35</v>
      </c>
      <c r="C110" s="3" t="s">
        <v>13</v>
      </c>
      <c r="D110" s="4">
        <v>1</v>
      </c>
      <c r="E110" s="4">
        <v>25000</v>
      </c>
      <c r="F110" s="4">
        <v>25000</v>
      </c>
    </row>
    <row r="111" spans="1:6" ht="15">
      <c r="A111" s="2">
        <v>45847</v>
      </c>
      <c r="B111" s="3" t="s">
        <v>35</v>
      </c>
      <c r="C111" s="3" t="s">
        <v>16</v>
      </c>
      <c r="D111" s="4">
        <v>2</v>
      </c>
      <c r="E111" s="4">
        <v>30000</v>
      </c>
      <c r="F111" s="4">
        <v>60000</v>
      </c>
    </row>
    <row r="112" spans="1:6" ht="15">
      <c r="A112" s="2">
        <v>45847</v>
      </c>
      <c r="B112" s="3" t="s">
        <v>35</v>
      </c>
      <c r="C112" s="3" t="s">
        <v>12</v>
      </c>
      <c r="D112" s="4">
        <v>5</v>
      </c>
      <c r="E112" s="4">
        <v>28000</v>
      </c>
      <c r="F112" s="4">
        <v>140000</v>
      </c>
    </row>
    <row r="113" spans="1:6" ht="15">
      <c r="A113" s="2">
        <v>45909</v>
      </c>
      <c r="B113" s="3" t="s">
        <v>35</v>
      </c>
      <c r="C113" s="3" t="s">
        <v>13</v>
      </c>
      <c r="D113" s="4">
        <v>4</v>
      </c>
      <c r="E113" s="4">
        <v>25000</v>
      </c>
      <c r="F113" s="4">
        <v>100000</v>
      </c>
    </row>
    <row r="114" spans="1:6" ht="15">
      <c r="A114" s="3" t="s">
        <v>6</v>
      </c>
      <c r="B114" s="3" t="s">
        <v>35</v>
      </c>
      <c r="C114" s="3" t="s">
        <v>16</v>
      </c>
      <c r="D114" s="4">
        <v>1</v>
      </c>
      <c r="E114" s="4">
        <v>30000</v>
      </c>
      <c r="F114" s="4">
        <v>30000</v>
      </c>
    </row>
    <row r="115" spans="1:6" ht="15">
      <c r="A115" s="3" t="s">
        <v>26</v>
      </c>
      <c r="B115" s="3" t="s">
        <v>35</v>
      </c>
      <c r="C115" s="3" t="s">
        <v>12</v>
      </c>
      <c r="D115" s="4">
        <v>5</v>
      </c>
      <c r="E115" s="4">
        <v>20000</v>
      </c>
      <c r="F115" s="4">
        <v>100000</v>
      </c>
    </row>
    <row r="116" spans="1:6" ht="15">
      <c r="A116" s="3" t="s">
        <v>30</v>
      </c>
      <c r="B116" s="3" t="s">
        <v>35</v>
      </c>
      <c r="C116" s="3" t="s">
        <v>8</v>
      </c>
      <c r="D116" s="4">
        <v>1</v>
      </c>
      <c r="E116" s="4">
        <v>30000</v>
      </c>
      <c r="F116" s="4">
        <v>30000</v>
      </c>
    </row>
    <row r="117" spans="1:6" ht="15">
      <c r="A117" s="2">
        <v>45725</v>
      </c>
      <c r="B117" s="3" t="s">
        <v>35</v>
      </c>
      <c r="C117" s="3" t="s">
        <v>15</v>
      </c>
      <c r="D117" s="4">
        <v>1</v>
      </c>
      <c r="E117" s="4">
        <v>25000</v>
      </c>
      <c r="F117" s="4">
        <v>25000</v>
      </c>
    </row>
    <row r="118" spans="1:6" ht="15">
      <c r="A118" s="2">
        <v>45756</v>
      </c>
      <c r="B118" s="3" t="s">
        <v>35</v>
      </c>
      <c r="C118" s="3" t="s">
        <v>13</v>
      </c>
      <c r="D118" s="4">
        <v>5</v>
      </c>
      <c r="E118" s="4">
        <v>20000</v>
      </c>
      <c r="F118" s="4">
        <v>100000</v>
      </c>
    </row>
    <row r="119" spans="1:6" ht="15">
      <c r="A119" s="2">
        <v>46000</v>
      </c>
      <c r="B119" s="3" t="s">
        <v>35</v>
      </c>
      <c r="C119" s="3" t="s">
        <v>16</v>
      </c>
      <c r="D119" s="4">
        <v>1</v>
      </c>
      <c r="E119" s="4">
        <v>25000</v>
      </c>
      <c r="F119" s="4">
        <v>25000</v>
      </c>
    </row>
    <row r="120" spans="1:6" ht="15">
      <c r="A120" s="3" t="s">
        <v>22</v>
      </c>
      <c r="B120" s="3" t="s">
        <v>35</v>
      </c>
      <c r="C120" s="3" t="s">
        <v>12</v>
      </c>
      <c r="D120" s="4">
        <v>5</v>
      </c>
      <c r="E120" s="4">
        <v>20000</v>
      </c>
      <c r="F120" s="4">
        <v>100000</v>
      </c>
    </row>
    <row r="121" spans="1:6" ht="15">
      <c r="A121" s="3" t="s">
        <v>31</v>
      </c>
      <c r="B121" s="3" t="s">
        <v>35</v>
      </c>
      <c r="C121" s="3" t="s">
        <v>8</v>
      </c>
      <c r="D121" s="4">
        <v>3</v>
      </c>
      <c r="E121" s="4">
        <v>25000</v>
      </c>
      <c r="F121" s="4">
        <v>75000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6"/>
  <sheetViews>
    <sheetView workbookViewId="0">
      <selection activeCell="F16" sqref="F16"/>
    </sheetView>
  </sheetViews>
  <sheetFormatPr defaultColWidth="12.5703125" defaultRowHeight="12.75"/>
  <cols>
    <col min="1" max="1" width="10.42578125" bestFit="1" customWidth="1"/>
    <col min="2" max="2" width="12.140625" bestFit="1" customWidth="1"/>
    <col min="3" max="3" width="10.42578125" bestFit="1" customWidth="1"/>
  </cols>
  <sheetData>
    <row r="1" spans="1:3" ht="15">
      <c r="A1" s="6" t="s">
        <v>2</v>
      </c>
      <c r="B1" s="6" t="s">
        <v>36</v>
      </c>
      <c r="C1" s="6" t="s">
        <v>37</v>
      </c>
    </row>
    <row r="2" spans="1:3" ht="14.25">
      <c r="A2" s="7" t="s">
        <v>8</v>
      </c>
      <c r="B2" s="7" t="s">
        <v>38</v>
      </c>
      <c r="C2" s="7" t="s">
        <v>39</v>
      </c>
    </row>
    <row r="3" spans="1:3" ht="14.25">
      <c r="A3" s="7" t="s">
        <v>15</v>
      </c>
      <c r="B3" s="7" t="s">
        <v>40</v>
      </c>
      <c r="C3" s="7" t="s">
        <v>39</v>
      </c>
    </row>
    <row r="4" spans="1:3" ht="14.25">
      <c r="A4" s="7" t="s">
        <v>13</v>
      </c>
      <c r="B4" s="7" t="s">
        <v>41</v>
      </c>
      <c r="C4" s="7" t="s">
        <v>39</v>
      </c>
    </row>
    <row r="5" spans="1:3" ht="14.25">
      <c r="A5" s="7" t="s">
        <v>16</v>
      </c>
      <c r="B5" s="7" t="s">
        <v>42</v>
      </c>
      <c r="C5" s="7" t="s">
        <v>39</v>
      </c>
    </row>
    <row r="6" spans="1:3" ht="14.25">
      <c r="A6" s="7" t="s">
        <v>12</v>
      </c>
      <c r="B6" s="7" t="s">
        <v>43</v>
      </c>
      <c r="C6" s="7" t="s">
        <v>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5621"/>
  <sheetViews>
    <sheetView workbookViewId="0">
      <selection activeCell="D13" sqref="D13"/>
    </sheetView>
  </sheetViews>
  <sheetFormatPr defaultColWidth="12.5703125" defaultRowHeight="15.75" customHeight="1"/>
  <sheetData>
    <row r="1" spans="1:26">
      <c r="A1" s="8" t="str">
        <f ca="1">IFERROR(__xludf.DUMMYFUNCTION("QUERY({Makassar!A1:F5621;Semarang!A2:F5621;Medan!A2:F5621;Bandung!A2:F5621;Surabaya!A2:F5621;Jakarta!A2:F5621}, ""SELECT * WHERE Col1 IS NOT NULL"")"),"Tanggal")</f>
        <v>Tanggal</v>
      </c>
      <c r="B1" s="9" t="str">
        <f ca="1">IFERROR(__xludf.DUMMYFUNCTION("""COMPUTED_VALUE"""),"Cabang")</f>
        <v>Cabang</v>
      </c>
      <c r="C1" s="9" t="str">
        <f ca="1">IFERROR(__xludf.DUMMYFUNCTION("""COMPUTED_VALUE"""),"ProdukID")</f>
        <v>ProdukID</v>
      </c>
      <c r="D1" s="9" t="str">
        <f ca="1">IFERROR(__xludf.DUMMYFUNCTION("""COMPUTED_VALUE"""),"Qty")</f>
        <v>Qty</v>
      </c>
      <c r="E1" s="10" t="str">
        <f ca="1">IFERROR(__xludf.DUMMYFUNCTION("""COMPUTED_VALUE"""),"Harga")</f>
        <v>Harga</v>
      </c>
      <c r="F1" s="10" t="str">
        <f ca="1">IFERROR(__xludf.DUMMYFUNCTION("""COMPUTED_VALUE"""),"Total")</f>
        <v>Total</v>
      </c>
      <c r="G1" s="9" t="s">
        <v>45</v>
      </c>
      <c r="H1" s="9" t="s">
        <v>37</v>
      </c>
      <c r="I1" s="9" t="s">
        <v>46</v>
      </c>
      <c r="J1" s="9" t="s">
        <v>47</v>
      </c>
      <c r="K1" s="9" t="s">
        <v>48</v>
      </c>
      <c r="L1" s="11" t="s">
        <v>49</v>
      </c>
      <c r="M1" s="9"/>
      <c r="N1" s="9"/>
      <c r="O1" s="9"/>
      <c r="P1" s="9"/>
      <c r="Q1" s="9"/>
      <c r="R1" s="9"/>
      <c r="S1" s="9"/>
      <c r="T1" s="9"/>
      <c r="U1" s="9"/>
      <c r="V1" s="9"/>
      <c r="W1" s="9"/>
      <c r="X1" s="9"/>
      <c r="Y1" s="9"/>
      <c r="Z1" s="9"/>
    </row>
    <row r="2" spans="1:26">
      <c r="A2" s="12" t="str">
        <f ca="1">IFERROR(__xludf.DUMMYFUNCTION("""COMPUTED_VALUE"""),"20-09-2025")</f>
        <v>20-09-2025</v>
      </c>
      <c r="B2" s="13" t="str">
        <f ca="1">IFERROR(__xludf.DUMMYFUNCTION("""COMPUTED_VALUE"""),"Makassar")</f>
        <v>Makassar</v>
      </c>
      <c r="C2" s="13" t="str">
        <f ca="1">IFERROR(__xludf.DUMMYFUNCTION("""COMPUTED_VALUE"""),"P04")</f>
        <v>P04</v>
      </c>
      <c r="D2" s="13">
        <f ca="1">IFERROR(__xludf.DUMMYFUNCTION("""COMPUTED_VALUE"""),5)</f>
        <v>5</v>
      </c>
      <c r="E2" s="14">
        <f ca="1">IFERROR(__xludf.DUMMYFUNCTION("""COMPUTED_VALUE"""),35000)</f>
        <v>35000</v>
      </c>
      <c r="F2" s="14">
        <f ca="1">IFERROR(__xludf.DUMMYFUNCTION("""COMPUTED_VALUE"""),175000)</f>
        <v>175000</v>
      </c>
      <c r="G2" s="13" t="str">
        <f t="array" ref="G2:G5621" ca="1">IF(C2:C5621&lt;&gt;"",_xlfn.XLOOKUP(C2:C5621,DBProduct!A:A,DBProduct!B:B,,0),)</f>
        <v>Americano</v>
      </c>
      <c r="H2" s="13" t="str">
        <f t="array" ref="H2:H5621" ca="1">IF(C2:C5621&lt;&gt;"",_xlfn.XLOOKUP(C2:C5621,DBProduct!A:A,DBProduct!C:C,,0),)</f>
        <v>Coffee</v>
      </c>
      <c r="I2" s="13">
        <f ca="1">IFERROR(__xludf.DUMMYFUNCTION("ARRAYFORMULA(IF(A2:A5621&lt;&gt;"""",SPLIT(A2:A5621,""-""),))"),20)</f>
        <v>20</v>
      </c>
      <c r="J2" s="13">
        <f ca="1">IFERROR(__xludf.DUMMYFUNCTION("""COMPUTED_VALUE"""),9)</f>
        <v>9</v>
      </c>
      <c r="K2" s="13">
        <f ca="1">IFERROR(__xludf.DUMMYFUNCTION("""COMPUTED_VALUE"""),2025)</f>
        <v>2025</v>
      </c>
      <c r="L2" s="15">
        <f t="array" ref="L2:L5621" ca="1">IF(I2:I5621&lt;&gt;"",DATE(K2:K5621,J2:J5621,I2:I5621),)</f>
        <v>45920</v>
      </c>
    </row>
    <row r="3" spans="1:26">
      <c r="A3" s="12" t="str">
        <f ca="1">IFERROR(__xludf.DUMMYFUNCTION("""COMPUTED_VALUE"""),"26-09-2025")</f>
        <v>26-09-2025</v>
      </c>
      <c r="B3" s="13" t="str">
        <f ca="1">IFERROR(__xludf.DUMMYFUNCTION("""COMPUTED_VALUE"""),"Makassar")</f>
        <v>Makassar</v>
      </c>
      <c r="C3" s="13" t="str">
        <f ca="1">IFERROR(__xludf.DUMMYFUNCTION("""COMPUTED_VALUE"""),"P05")</f>
        <v>P05</v>
      </c>
      <c r="D3" s="13">
        <f ca="1">IFERROR(__xludf.DUMMYFUNCTION("""COMPUTED_VALUE"""),1)</f>
        <v>1</v>
      </c>
      <c r="E3" s="14">
        <f ca="1">IFERROR(__xludf.DUMMYFUNCTION("""COMPUTED_VALUE"""),20000)</f>
        <v>20000</v>
      </c>
      <c r="F3" s="14">
        <f ca="1">IFERROR(__xludf.DUMMYFUNCTION("""COMPUTED_VALUE"""),20000)</f>
        <v>20000</v>
      </c>
      <c r="G3" s="13" t="str">
        <f ca="1"/>
        <v>Mocha</v>
      </c>
      <c r="H3" s="13" t="str">
        <f ca="1"/>
        <v>Chocolate</v>
      </c>
      <c r="I3" s="13">
        <f ca="1">IFERROR(__xludf.DUMMYFUNCTION("""COMPUTED_VALUE"""),26)</f>
        <v>26</v>
      </c>
      <c r="J3" s="13">
        <f ca="1">IFERROR(__xludf.DUMMYFUNCTION("""COMPUTED_VALUE"""),9)</f>
        <v>9</v>
      </c>
      <c r="K3" s="13">
        <f ca="1">IFERROR(__xludf.DUMMYFUNCTION("""COMPUTED_VALUE"""),2025)</f>
        <v>2025</v>
      </c>
      <c r="L3" s="15">
        <f ca="1"/>
        <v>45926</v>
      </c>
    </row>
    <row r="4" spans="1:26">
      <c r="A4" s="12" t="str">
        <f ca="1">IFERROR(__xludf.DUMMYFUNCTION("""COMPUTED_VALUE"""),"19-09-2025")</f>
        <v>19-09-2025</v>
      </c>
      <c r="B4" s="13" t="str">
        <f ca="1">IFERROR(__xludf.DUMMYFUNCTION("""COMPUTED_VALUE"""),"Makassar")</f>
        <v>Makassar</v>
      </c>
      <c r="C4" s="13" t="str">
        <f ca="1">IFERROR(__xludf.DUMMYFUNCTION("""COMPUTED_VALUE"""),"P01")</f>
        <v>P01</v>
      </c>
      <c r="D4" s="13">
        <f ca="1">IFERROR(__xludf.DUMMYFUNCTION("""COMPUTED_VALUE"""),3)</f>
        <v>3</v>
      </c>
      <c r="E4" s="14">
        <f ca="1">IFERROR(__xludf.DUMMYFUNCTION("""COMPUTED_VALUE"""),35000)</f>
        <v>35000</v>
      </c>
      <c r="F4" s="14">
        <f ca="1">IFERROR(__xludf.DUMMYFUNCTION("""COMPUTED_VALUE"""),105000)</f>
        <v>105000</v>
      </c>
      <c r="G4" s="13" t="str">
        <f ca="1"/>
        <v>Cappuccino</v>
      </c>
      <c r="H4" s="13" t="str">
        <f ca="1"/>
        <v>Coffee</v>
      </c>
      <c r="I4" s="13">
        <f ca="1">IFERROR(__xludf.DUMMYFUNCTION("""COMPUTED_VALUE"""),19)</f>
        <v>19</v>
      </c>
      <c r="J4" s="13">
        <f ca="1">IFERROR(__xludf.DUMMYFUNCTION("""COMPUTED_VALUE"""),9)</f>
        <v>9</v>
      </c>
      <c r="K4" s="13">
        <f ca="1">IFERROR(__xludf.DUMMYFUNCTION("""COMPUTED_VALUE"""),2025)</f>
        <v>2025</v>
      </c>
      <c r="L4" s="15">
        <f ca="1"/>
        <v>45919</v>
      </c>
    </row>
    <row r="5" spans="1:26">
      <c r="A5" s="12" t="str">
        <f ca="1">IFERROR(__xludf.DUMMYFUNCTION("""COMPUTED_VALUE"""),"11-09-2025")</f>
        <v>11-09-2025</v>
      </c>
      <c r="B5" s="13" t="str">
        <f ca="1">IFERROR(__xludf.DUMMYFUNCTION("""COMPUTED_VALUE"""),"Makassar")</f>
        <v>Makassar</v>
      </c>
      <c r="C5" s="13" t="str">
        <f ca="1">IFERROR(__xludf.DUMMYFUNCTION("""COMPUTED_VALUE"""),"P02")</f>
        <v>P02</v>
      </c>
      <c r="D5" s="13">
        <f ca="1">IFERROR(__xludf.DUMMYFUNCTION("""COMPUTED_VALUE"""),1)</f>
        <v>1</v>
      </c>
      <c r="E5" s="14">
        <f ca="1">IFERROR(__xludf.DUMMYFUNCTION("""COMPUTED_VALUE"""),28000)</f>
        <v>28000</v>
      </c>
      <c r="F5" s="14">
        <f ca="1">IFERROR(__xludf.DUMMYFUNCTION("""COMPUTED_VALUE"""),28000)</f>
        <v>28000</v>
      </c>
      <c r="G5" s="13" t="str">
        <f ca="1"/>
        <v>Latte</v>
      </c>
      <c r="H5" s="13" t="str">
        <f ca="1"/>
        <v>Coffee</v>
      </c>
      <c r="I5" s="13">
        <f ca="1">IFERROR(__xludf.DUMMYFUNCTION("""COMPUTED_VALUE"""),11)</f>
        <v>11</v>
      </c>
      <c r="J5" s="13">
        <f ca="1">IFERROR(__xludf.DUMMYFUNCTION("""COMPUTED_VALUE"""),9)</f>
        <v>9</v>
      </c>
      <c r="K5" s="13">
        <f ca="1">IFERROR(__xludf.DUMMYFUNCTION("""COMPUTED_VALUE"""),2025)</f>
        <v>2025</v>
      </c>
      <c r="L5" s="15">
        <f ca="1"/>
        <v>45911</v>
      </c>
    </row>
    <row r="6" spans="1:26">
      <c r="A6" s="12" t="str">
        <f ca="1">IFERROR(__xludf.DUMMYFUNCTION("""COMPUTED_VALUE"""),"02-09-2025")</f>
        <v>02-09-2025</v>
      </c>
      <c r="B6" s="13" t="str">
        <f ca="1">IFERROR(__xludf.DUMMYFUNCTION("""COMPUTED_VALUE"""),"Makassar")</f>
        <v>Makassar</v>
      </c>
      <c r="C6" s="13" t="str">
        <f ca="1">IFERROR(__xludf.DUMMYFUNCTION("""COMPUTED_VALUE"""),"P03")</f>
        <v>P03</v>
      </c>
      <c r="D6" s="13">
        <f ca="1">IFERROR(__xludf.DUMMYFUNCTION("""COMPUTED_VALUE"""),1)</f>
        <v>1</v>
      </c>
      <c r="E6" s="14">
        <f ca="1">IFERROR(__xludf.DUMMYFUNCTION("""COMPUTED_VALUE"""),30000)</f>
        <v>30000</v>
      </c>
      <c r="F6" s="14">
        <f ca="1">IFERROR(__xludf.DUMMYFUNCTION("""COMPUTED_VALUE"""),30000)</f>
        <v>30000</v>
      </c>
      <c r="G6" s="13" t="str">
        <f ca="1"/>
        <v>Espresso</v>
      </c>
      <c r="H6" s="13" t="str">
        <f ca="1"/>
        <v>Coffee</v>
      </c>
      <c r="I6" s="13">
        <f ca="1">IFERROR(__xludf.DUMMYFUNCTION("""COMPUTED_VALUE"""),2)</f>
        <v>2</v>
      </c>
      <c r="J6" s="13">
        <f ca="1">IFERROR(__xludf.DUMMYFUNCTION("""COMPUTED_VALUE"""),9)</f>
        <v>9</v>
      </c>
      <c r="K6" s="13">
        <f ca="1">IFERROR(__xludf.DUMMYFUNCTION("""COMPUTED_VALUE"""),2025)</f>
        <v>2025</v>
      </c>
      <c r="L6" s="15">
        <f ca="1"/>
        <v>45902</v>
      </c>
    </row>
    <row r="7" spans="1:26">
      <c r="A7" s="12" t="str">
        <f ca="1">IFERROR(__xludf.DUMMYFUNCTION("""COMPUTED_VALUE"""),"13-09-2025")</f>
        <v>13-09-2025</v>
      </c>
      <c r="B7" s="13" t="str">
        <f ca="1">IFERROR(__xludf.DUMMYFUNCTION("""COMPUTED_VALUE"""),"Makassar")</f>
        <v>Makassar</v>
      </c>
      <c r="C7" s="13" t="str">
        <f ca="1">IFERROR(__xludf.DUMMYFUNCTION("""COMPUTED_VALUE"""),"P04")</f>
        <v>P04</v>
      </c>
      <c r="D7" s="13">
        <f ca="1">IFERROR(__xludf.DUMMYFUNCTION("""COMPUTED_VALUE"""),1)</f>
        <v>1</v>
      </c>
      <c r="E7" s="14">
        <f ca="1">IFERROR(__xludf.DUMMYFUNCTION("""COMPUTED_VALUE"""),35000)</f>
        <v>35000</v>
      </c>
      <c r="F7" s="14">
        <f ca="1">IFERROR(__xludf.DUMMYFUNCTION("""COMPUTED_VALUE"""),35000)</f>
        <v>35000</v>
      </c>
      <c r="G7" s="13" t="str">
        <f ca="1"/>
        <v>Americano</v>
      </c>
      <c r="H7" s="13" t="str">
        <f ca="1"/>
        <v>Coffee</v>
      </c>
      <c r="I7" s="13">
        <f ca="1">IFERROR(__xludf.DUMMYFUNCTION("""COMPUTED_VALUE"""),13)</f>
        <v>13</v>
      </c>
      <c r="J7" s="13">
        <f ca="1">IFERROR(__xludf.DUMMYFUNCTION("""COMPUTED_VALUE"""),9)</f>
        <v>9</v>
      </c>
      <c r="K7" s="13">
        <f ca="1">IFERROR(__xludf.DUMMYFUNCTION("""COMPUTED_VALUE"""),2025)</f>
        <v>2025</v>
      </c>
      <c r="L7" s="15">
        <f ca="1"/>
        <v>45913</v>
      </c>
    </row>
    <row r="8" spans="1:26">
      <c r="A8" s="12" t="str">
        <f ca="1">IFERROR(__xludf.DUMMYFUNCTION("""COMPUTED_VALUE"""),"14-09-2025")</f>
        <v>14-09-2025</v>
      </c>
      <c r="B8" s="13" t="str">
        <f ca="1">IFERROR(__xludf.DUMMYFUNCTION("""COMPUTED_VALUE"""),"Makassar")</f>
        <v>Makassar</v>
      </c>
      <c r="C8" s="13" t="str">
        <f ca="1">IFERROR(__xludf.DUMMYFUNCTION("""COMPUTED_VALUE"""),"P05")</f>
        <v>P05</v>
      </c>
      <c r="D8" s="13">
        <f ca="1">IFERROR(__xludf.DUMMYFUNCTION("""COMPUTED_VALUE"""),4)</f>
        <v>4</v>
      </c>
      <c r="E8" s="14">
        <f ca="1">IFERROR(__xludf.DUMMYFUNCTION("""COMPUTED_VALUE"""),35000)</f>
        <v>35000</v>
      </c>
      <c r="F8" s="14">
        <f ca="1">IFERROR(__xludf.DUMMYFUNCTION("""COMPUTED_VALUE"""),140000)</f>
        <v>140000</v>
      </c>
      <c r="G8" s="13" t="str">
        <f ca="1"/>
        <v>Mocha</v>
      </c>
      <c r="H8" s="13" t="str">
        <f ca="1"/>
        <v>Chocolate</v>
      </c>
      <c r="I8" s="13">
        <f ca="1">IFERROR(__xludf.DUMMYFUNCTION("""COMPUTED_VALUE"""),14)</f>
        <v>14</v>
      </c>
      <c r="J8" s="13">
        <f ca="1">IFERROR(__xludf.DUMMYFUNCTION("""COMPUTED_VALUE"""),9)</f>
        <v>9</v>
      </c>
      <c r="K8" s="13">
        <f ca="1">IFERROR(__xludf.DUMMYFUNCTION("""COMPUTED_VALUE"""),2025)</f>
        <v>2025</v>
      </c>
      <c r="L8" s="15">
        <f ca="1"/>
        <v>45914</v>
      </c>
    </row>
    <row r="9" spans="1:26">
      <c r="A9" s="12" t="str">
        <f ca="1">IFERROR(__xludf.DUMMYFUNCTION("""COMPUTED_VALUE"""),"27-09-2025")</f>
        <v>27-09-2025</v>
      </c>
      <c r="B9" s="13" t="str">
        <f ca="1">IFERROR(__xludf.DUMMYFUNCTION("""COMPUTED_VALUE"""),"Makassar")</f>
        <v>Makassar</v>
      </c>
      <c r="C9" s="13" t="str">
        <f ca="1">IFERROR(__xludf.DUMMYFUNCTION("""COMPUTED_VALUE"""),"P03")</f>
        <v>P03</v>
      </c>
      <c r="D9" s="13">
        <f ca="1">IFERROR(__xludf.DUMMYFUNCTION("""COMPUTED_VALUE"""),5)</f>
        <v>5</v>
      </c>
      <c r="E9" s="14">
        <f ca="1">IFERROR(__xludf.DUMMYFUNCTION("""COMPUTED_VALUE"""),25000)</f>
        <v>25000</v>
      </c>
      <c r="F9" s="14">
        <f ca="1">IFERROR(__xludf.DUMMYFUNCTION("""COMPUTED_VALUE"""),125000)</f>
        <v>125000</v>
      </c>
      <c r="G9" s="13" t="str">
        <f ca="1"/>
        <v>Espresso</v>
      </c>
      <c r="H9" s="13" t="str">
        <f ca="1"/>
        <v>Coffee</v>
      </c>
      <c r="I9" s="13">
        <f ca="1">IFERROR(__xludf.DUMMYFUNCTION("""COMPUTED_VALUE"""),27)</f>
        <v>27</v>
      </c>
      <c r="J9" s="13">
        <f ca="1">IFERROR(__xludf.DUMMYFUNCTION("""COMPUTED_VALUE"""),9)</f>
        <v>9</v>
      </c>
      <c r="K9" s="13">
        <f ca="1">IFERROR(__xludf.DUMMYFUNCTION("""COMPUTED_VALUE"""),2025)</f>
        <v>2025</v>
      </c>
      <c r="L9" s="15">
        <f ca="1"/>
        <v>45927</v>
      </c>
    </row>
    <row r="10" spans="1:26">
      <c r="A10" s="12" t="str">
        <f ca="1">IFERROR(__xludf.DUMMYFUNCTION("""COMPUTED_VALUE"""),"01-09-2025")</f>
        <v>01-09-2025</v>
      </c>
      <c r="B10" s="13" t="str">
        <f ca="1">IFERROR(__xludf.DUMMYFUNCTION("""COMPUTED_VALUE"""),"Makassar")</f>
        <v>Makassar</v>
      </c>
      <c r="C10" s="13" t="str">
        <f ca="1">IFERROR(__xludf.DUMMYFUNCTION("""COMPUTED_VALUE"""),"P04")</f>
        <v>P04</v>
      </c>
      <c r="D10" s="13">
        <f ca="1">IFERROR(__xludf.DUMMYFUNCTION("""COMPUTED_VALUE"""),1)</f>
        <v>1</v>
      </c>
      <c r="E10" s="14">
        <f ca="1">IFERROR(__xludf.DUMMYFUNCTION("""COMPUTED_VALUE"""),30000)</f>
        <v>30000</v>
      </c>
      <c r="F10" s="14">
        <f ca="1">IFERROR(__xludf.DUMMYFUNCTION("""COMPUTED_VALUE"""),30000)</f>
        <v>30000</v>
      </c>
      <c r="G10" s="13" t="str">
        <f ca="1"/>
        <v>Americano</v>
      </c>
      <c r="H10" s="13" t="str">
        <f ca="1"/>
        <v>Coffee</v>
      </c>
      <c r="I10" s="13">
        <f ca="1">IFERROR(__xludf.DUMMYFUNCTION("""COMPUTED_VALUE"""),1)</f>
        <v>1</v>
      </c>
      <c r="J10" s="13">
        <f ca="1">IFERROR(__xludf.DUMMYFUNCTION("""COMPUTED_VALUE"""),9)</f>
        <v>9</v>
      </c>
      <c r="K10" s="13">
        <f ca="1">IFERROR(__xludf.DUMMYFUNCTION("""COMPUTED_VALUE"""),2025)</f>
        <v>2025</v>
      </c>
      <c r="L10" s="15">
        <f ca="1"/>
        <v>45901</v>
      </c>
    </row>
    <row r="11" spans="1:26">
      <c r="A11" s="12" t="str">
        <f ca="1">IFERROR(__xludf.DUMMYFUNCTION("""COMPUTED_VALUE"""),"07-09-2025")</f>
        <v>07-09-2025</v>
      </c>
      <c r="B11" s="13" t="str">
        <f ca="1">IFERROR(__xludf.DUMMYFUNCTION("""COMPUTED_VALUE"""),"Makassar")</f>
        <v>Makassar</v>
      </c>
      <c r="C11" s="13" t="str">
        <f ca="1">IFERROR(__xludf.DUMMYFUNCTION("""COMPUTED_VALUE"""),"P05")</f>
        <v>P05</v>
      </c>
      <c r="D11" s="13">
        <f ca="1">IFERROR(__xludf.DUMMYFUNCTION("""COMPUTED_VALUE"""),4)</f>
        <v>4</v>
      </c>
      <c r="E11" s="14">
        <f ca="1">IFERROR(__xludf.DUMMYFUNCTION("""COMPUTED_VALUE"""),20000)</f>
        <v>20000</v>
      </c>
      <c r="F11" s="14">
        <f ca="1">IFERROR(__xludf.DUMMYFUNCTION("""COMPUTED_VALUE"""),80000)</f>
        <v>80000</v>
      </c>
      <c r="G11" s="13" t="str">
        <f ca="1"/>
        <v>Mocha</v>
      </c>
      <c r="H11" s="13" t="str">
        <f ca="1"/>
        <v>Chocolate</v>
      </c>
      <c r="I11" s="13">
        <f ca="1">IFERROR(__xludf.DUMMYFUNCTION("""COMPUTED_VALUE"""),7)</f>
        <v>7</v>
      </c>
      <c r="J11" s="13">
        <f ca="1">IFERROR(__xludf.DUMMYFUNCTION("""COMPUTED_VALUE"""),9)</f>
        <v>9</v>
      </c>
      <c r="K11" s="13">
        <f ca="1">IFERROR(__xludf.DUMMYFUNCTION("""COMPUTED_VALUE"""),2025)</f>
        <v>2025</v>
      </c>
      <c r="L11" s="15">
        <f ca="1"/>
        <v>45907</v>
      </c>
    </row>
    <row r="12" spans="1:26">
      <c r="A12" s="12" t="str">
        <f ca="1">IFERROR(__xludf.DUMMYFUNCTION("""COMPUTED_VALUE"""),"22-09-2025")</f>
        <v>22-09-2025</v>
      </c>
      <c r="B12" s="13" t="str">
        <f ca="1">IFERROR(__xludf.DUMMYFUNCTION("""COMPUTED_VALUE"""),"Makassar")</f>
        <v>Makassar</v>
      </c>
      <c r="C12" s="13" t="str">
        <f ca="1">IFERROR(__xludf.DUMMYFUNCTION("""COMPUTED_VALUE"""),"P01")</f>
        <v>P01</v>
      </c>
      <c r="D12" s="13">
        <f ca="1">IFERROR(__xludf.DUMMYFUNCTION("""COMPUTED_VALUE"""),1)</f>
        <v>1</v>
      </c>
      <c r="E12" s="14">
        <f ca="1">IFERROR(__xludf.DUMMYFUNCTION("""COMPUTED_VALUE"""),25000)</f>
        <v>25000</v>
      </c>
      <c r="F12" s="14">
        <f ca="1">IFERROR(__xludf.DUMMYFUNCTION("""COMPUTED_VALUE"""),25000)</f>
        <v>25000</v>
      </c>
      <c r="G12" s="13" t="str">
        <f ca="1"/>
        <v>Cappuccino</v>
      </c>
      <c r="H12" s="13" t="str">
        <f ca="1"/>
        <v>Coffee</v>
      </c>
      <c r="I12" s="13">
        <f ca="1">IFERROR(__xludf.DUMMYFUNCTION("""COMPUTED_VALUE"""),22)</f>
        <v>22</v>
      </c>
      <c r="J12" s="13">
        <f ca="1">IFERROR(__xludf.DUMMYFUNCTION("""COMPUTED_VALUE"""),9)</f>
        <v>9</v>
      </c>
      <c r="K12" s="13">
        <f ca="1">IFERROR(__xludf.DUMMYFUNCTION("""COMPUTED_VALUE"""),2025)</f>
        <v>2025</v>
      </c>
      <c r="L12" s="15">
        <f ca="1"/>
        <v>45922</v>
      </c>
    </row>
    <row r="13" spans="1:26">
      <c r="A13" s="12" t="str">
        <f ca="1">IFERROR(__xludf.DUMMYFUNCTION("""COMPUTED_VALUE"""),"14-09-2025")</f>
        <v>14-09-2025</v>
      </c>
      <c r="B13" s="13" t="str">
        <f ca="1">IFERROR(__xludf.DUMMYFUNCTION("""COMPUTED_VALUE"""),"Makassar")</f>
        <v>Makassar</v>
      </c>
      <c r="C13" s="13" t="str">
        <f ca="1">IFERROR(__xludf.DUMMYFUNCTION("""COMPUTED_VALUE"""),"P02")</f>
        <v>P02</v>
      </c>
      <c r="D13" s="13">
        <f ca="1">IFERROR(__xludf.DUMMYFUNCTION("""COMPUTED_VALUE"""),3)</f>
        <v>3</v>
      </c>
      <c r="E13" s="14">
        <f ca="1">IFERROR(__xludf.DUMMYFUNCTION("""COMPUTED_VALUE"""),30000)</f>
        <v>30000</v>
      </c>
      <c r="F13" s="14">
        <f ca="1">IFERROR(__xludf.DUMMYFUNCTION("""COMPUTED_VALUE"""),90000)</f>
        <v>90000</v>
      </c>
      <c r="G13" s="13" t="str">
        <f ca="1"/>
        <v>Latte</v>
      </c>
      <c r="H13" s="13" t="str">
        <f ca="1"/>
        <v>Coffee</v>
      </c>
      <c r="I13" s="13">
        <f ca="1">IFERROR(__xludf.DUMMYFUNCTION("""COMPUTED_VALUE"""),14)</f>
        <v>14</v>
      </c>
      <c r="J13" s="13">
        <f ca="1">IFERROR(__xludf.DUMMYFUNCTION("""COMPUTED_VALUE"""),9)</f>
        <v>9</v>
      </c>
      <c r="K13" s="13">
        <f ca="1">IFERROR(__xludf.DUMMYFUNCTION("""COMPUTED_VALUE"""),2025)</f>
        <v>2025</v>
      </c>
      <c r="L13" s="15">
        <f ca="1"/>
        <v>45914</v>
      </c>
    </row>
    <row r="14" spans="1:26">
      <c r="A14" s="12" t="str">
        <f ca="1">IFERROR(__xludf.DUMMYFUNCTION("""COMPUTED_VALUE"""),"17-09-2025")</f>
        <v>17-09-2025</v>
      </c>
      <c r="B14" s="13" t="str">
        <f ca="1">IFERROR(__xludf.DUMMYFUNCTION("""COMPUTED_VALUE"""),"Makassar")</f>
        <v>Makassar</v>
      </c>
      <c r="C14" s="13" t="str">
        <f ca="1">IFERROR(__xludf.DUMMYFUNCTION("""COMPUTED_VALUE"""),"P03")</f>
        <v>P03</v>
      </c>
      <c r="D14" s="13">
        <f ca="1">IFERROR(__xludf.DUMMYFUNCTION("""COMPUTED_VALUE"""),5)</f>
        <v>5</v>
      </c>
      <c r="E14" s="14">
        <f ca="1">IFERROR(__xludf.DUMMYFUNCTION("""COMPUTED_VALUE"""),35000)</f>
        <v>35000</v>
      </c>
      <c r="F14" s="14">
        <f ca="1">IFERROR(__xludf.DUMMYFUNCTION("""COMPUTED_VALUE"""),175000)</f>
        <v>175000</v>
      </c>
      <c r="G14" s="13" t="str">
        <f ca="1"/>
        <v>Espresso</v>
      </c>
      <c r="H14" s="13" t="str">
        <f ca="1"/>
        <v>Coffee</v>
      </c>
      <c r="I14" s="13">
        <f ca="1">IFERROR(__xludf.DUMMYFUNCTION("""COMPUTED_VALUE"""),17)</f>
        <v>17</v>
      </c>
      <c r="J14" s="13">
        <f ca="1">IFERROR(__xludf.DUMMYFUNCTION("""COMPUTED_VALUE"""),9)</f>
        <v>9</v>
      </c>
      <c r="K14" s="13">
        <f ca="1">IFERROR(__xludf.DUMMYFUNCTION("""COMPUTED_VALUE"""),2025)</f>
        <v>2025</v>
      </c>
      <c r="L14" s="15">
        <f ca="1"/>
        <v>45917</v>
      </c>
    </row>
    <row r="15" spans="1:26">
      <c r="A15" s="12" t="str">
        <f ca="1">IFERROR(__xludf.DUMMYFUNCTION("""COMPUTED_VALUE"""),"14-09-2025")</f>
        <v>14-09-2025</v>
      </c>
      <c r="B15" s="13" t="str">
        <f ca="1">IFERROR(__xludf.DUMMYFUNCTION("""COMPUTED_VALUE"""),"Makassar")</f>
        <v>Makassar</v>
      </c>
      <c r="C15" s="13" t="str">
        <f ca="1">IFERROR(__xludf.DUMMYFUNCTION("""COMPUTED_VALUE"""),"P04")</f>
        <v>P04</v>
      </c>
      <c r="D15" s="13">
        <f ca="1">IFERROR(__xludf.DUMMYFUNCTION("""COMPUTED_VALUE"""),3)</f>
        <v>3</v>
      </c>
      <c r="E15" s="14">
        <f ca="1">IFERROR(__xludf.DUMMYFUNCTION("""COMPUTED_VALUE"""),30000)</f>
        <v>30000</v>
      </c>
      <c r="F15" s="14">
        <f ca="1">IFERROR(__xludf.DUMMYFUNCTION("""COMPUTED_VALUE"""),90000)</f>
        <v>90000</v>
      </c>
      <c r="G15" s="13" t="str">
        <f ca="1"/>
        <v>Americano</v>
      </c>
      <c r="H15" s="13" t="str">
        <f ca="1"/>
        <v>Coffee</v>
      </c>
      <c r="I15" s="13">
        <f ca="1">IFERROR(__xludf.DUMMYFUNCTION("""COMPUTED_VALUE"""),14)</f>
        <v>14</v>
      </c>
      <c r="J15" s="13">
        <f ca="1">IFERROR(__xludf.DUMMYFUNCTION("""COMPUTED_VALUE"""),9)</f>
        <v>9</v>
      </c>
      <c r="K15" s="13">
        <f ca="1">IFERROR(__xludf.DUMMYFUNCTION("""COMPUTED_VALUE"""),2025)</f>
        <v>2025</v>
      </c>
      <c r="L15" s="15">
        <f ca="1"/>
        <v>45914</v>
      </c>
    </row>
    <row r="16" spans="1:26">
      <c r="A16" s="12" t="str">
        <f ca="1">IFERROR(__xludf.DUMMYFUNCTION("""COMPUTED_VALUE"""),"11-09-2025")</f>
        <v>11-09-2025</v>
      </c>
      <c r="B16" s="13" t="str">
        <f ca="1">IFERROR(__xludf.DUMMYFUNCTION("""COMPUTED_VALUE"""),"Makassar")</f>
        <v>Makassar</v>
      </c>
      <c r="C16" s="13" t="str">
        <f ca="1">IFERROR(__xludf.DUMMYFUNCTION("""COMPUTED_VALUE"""),"P05")</f>
        <v>P05</v>
      </c>
      <c r="D16" s="13">
        <f ca="1">IFERROR(__xludf.DUMMYFUNCTION("""COMPUTED_VALUE"""),3)</f>
        <v>3</v>
      </c>
      <c r="E16" s="14">
        <f ca="1">IFERROR(__xludf.DUMMYFUNCTION("""COMPUTED_VALUE"""),25000)</f>
        <v>25000</v>
      </c>
      <c r="F16" s="14">
        <f ca="1">IFERROR(__xludf.DUMMYFUNCTION("""COMPUTED_VALUE"""),75000)</f>
        <v>75000</v>
      </c>
      <c r="G16" s="13" t="str">
        <f ca="1"/>
        <v>Mocha</v>
      </c>
      <c r="H16" s="13" t="str">
        <f ca="1"/>
        <v>Chocolate</v>
      </c>
      <c r="I16" s="13">
        <f ca="1">IFERROR(__xludf.DUMMYFUNCTION("""COMPUTED_VALUE"""),11)</f>
        <v>11</v>
      </c>
      <c r="J16" s="13">
        <f ca="1">IFERROR(__xludf.DUMMYFUNCTION("""COMPUTED_VALUE"""),9)</f>
        <v>9</v>
      </c>
      <c r="K16" s="13">
        <f ca="1">IFERROR(__xludf.DUMMYFUNCTION("""COMPUTED_VALUE"""),2025)</f>
        <v>2025</v>
      </c>
      <c r="L16" s="15">
        <f ca="1"/>
        <v>45911</v>
      </c>
    </row>
    <row r="17" spans="1:12">
      <c r="A17" s="12" t="str">
        <f ca="1">IFERROR(__xludf.DUMMYFUNCTION("""COMPUTED_VALUE"""),"22-09-2025")</f>
        <v>22-09-2025</v>
      </c>
      <c r="B17" s="13" t="str">
        <f ca="1">IFERROR(__xludf.DUMMYFUNCTION("""COMPUTED_VALUE"""),"Makassar")</f>
        <v>Makassar</v>
      </c>
      <c r="C17" s="13" t="str">
        <f ca="1">IFERROR(__xludf.DUMMYFUNCTION("""COMPUTED_VALUE"""),"P01")</f>
        <v>P01</v>
      </c>
      <c r="D17" s="13">
        <f ca="1">IFERROR(__xludf.DUMMYFUNCTION("""COMPUTED_VALUE"""),1)</f>
        <v>1</v>
      </c>
      <c r="E17" s="14">
        <f ca="1">IFERROR(__xludf.DUMMYFUNCTION("""COMPUTED_VALUE"""),35000)</f>
        <v>35000</v>
      </c>
      <c r="F17" s="14">
        <f ca="1">IFERROR(__xludf.DUMMYFUNCTION("""COMPUTED_VALUE"""),35000)</f>
        <v>35000</v>
      </c>
      <c r="G17" s="13" t="str">
        <f ca="1"/>
        <v>Cappuccino</v>
      </c>
      <c r="H17" s="13" t="str">
        <f ca="1"/>
        <v>Coffee</v>
      </c>
      <c r="I17" s="13">
        <f ca="1">IFERROR(__xludf.DUMMYFUNCTION("""COMPUTED_VALUE"""),22)</f>
        <v>22</v>
      </c>
      <c r="J17" s="13">
        <f ca="1">IFERROR(__xludf.DUMMYFUNCTION("""COMPUTED_VALUE"""),9)</f>
        <v>9</v>
      </c>
      <c r="K17" s="13">
        <f ca="1">IFERROR(__xludf.DUMMYFUNCTION("""COMPUTED_VALUE"""),2025)</f>
        <v>2025</v>
      </c>
      <c r="L17" s="15">
        <f ca="1"/>
        <v>45922</v>
      </c>
    </row>
    <row r="18" spans="1:12">
      <c r="A18" s="12" t="str">
        <f ca="1">IFERROR(__xludf.DUMMYFUNCTION("""COMPUTED_VALUE"""),"08-09-2025")</f>
        <v>08-09-2025</v>
      </c>
      <c r="B18" s="13" t="str">
        <f ca="1">IFERROR(__xludf.DUMMYFUNCTION("""COMPUTED_VALUE"""),"Makassar")</f>
        <v>Makassar</v>
      </c>
      <c r="C18" s="13" t="str">
        <f ca="1">IFERROR(__xludf.DUMMYFUNCTION("""COMPUTED_VALUE"""),"P02")</f>
        <v>P02</v>
      </c>
      <c r="D18" s="13">
        <f ca="1">IFERROR(__xludf.DUMMYFUNCTION("""COMPUTED_VALUE"""),1)</f>
        <v>1</v>
      </c>
      <c r="E18" s="14">
        <f ca="1">IFERROR(__xludf.DUMMYFUNCTION("""COMPUTED_VALUE"""),25000)</f>
        <v>25000</v>
      </c>
      <c r="F18" s="14">
        <f ca="1">IFERROR(__xludf.DUMMYFUNCTION("""COMPUTED_VALUE"""),25000)</f>
        <v>25000</v>
      </c>
      <c r="G18" s="13" t="str">
        <f ca="1"/>
        <v>Latte</v>
      </c>
      <c r="H18" s="13" t="str">
        <f ca="1"/>
        <v>Coffee</v>
      </c>
      <c r="I18" s="13">
        <f ca="1">IFERROR(__xludf.DUMMYFUNCTION("""COMPUTED_VALUE"""),8)</f>
        <v>8</v>
      </c>
      <c r="J18" s="13">
        <f ca="1">IFERROR(__xludf.DUMMYFUNCTION("""COMPUTED_VALUE"""),9)</f>
        <v>9</v>
      </c>
      <c r="K18" s="13">
        <f ca="1">IFERROR(__xludf.DUMMYFUNCTION("""COMPUTED_VALUE"""),2025)</f>
        <v>2025</v>
      </c>
      <c r="L18" s="15">
        <f ca="1"/>
        <v>45908</v>
      </c>
    </row>
    <row r="19" spans="1:12">
      <c r="A19" s="12" t="str">
        <f ca="1">IFERROR(__xludf.DUMMYFUNCTION("""COMPUTED_VALUE"""),"08-09-2025")</f>
        <v>08-09-2025</v>
      </c>
      <c r="B19" s="13" t="str">
        <f ca="1">IFERROR(__xludf.DUMMYFUNCTION("""COMPUTED_VALUE"""),"Makassar")</f>
        <v>Makassar</v>
      </c>
      <c r="C19" s="13" t="str">
        <f ca="1">IFERROR(__xludf.DUMMYFUNCTION("""COMPUTED_VALUE"""),"P03")</f>
        <v>P03</v>
      </c>
      <c r="D19" s="13">
        <f ca="1">IFERROR(__xludf.DUMMYFUNCTION("""COMPUTED_VALUE"""),3)</f>
        <v>3</v>
      </c>
      <c r="E19" s="14">
        <f ca="1">IFERROR(__xludf.DUMMYFUNCTION("""COMPUTED_VALUE"""),35000)</f>
        <v>35000</v>
      </c>
      <c r="F19" s="14">
        <f ca="1">IFERROR(__xludf.DUMMYFUNCTION("""COMPUTED_VALUE"""),105000)</f>
        <v>105000</v>
      </c>
      <c r="G19" s="13" t="str">
        <f ca="1"/>
        <v>Espresso</v>
      </c>
      <c r="H19" s="13" t="str">
        <f ca="1"/>
        <v>Coffee</v>
      </c>
      <c r="I19" s="13">
        <f ca="1">IFERROR(__xludf.DUMMYFUNCTION("""COMPUTED_VALUE"""),8)</f>
        <v>8</v>
      </c>
      <c r="J19" s="13">
        <f ca="1">IFERROR(__xludf.DUMMYFUNCTION("""COMPUTED_VALUE"""),9)</f>
        <v>9</v>
      </c>
      <c r="K19" s="13">
        <f ca="1">IFERROR(__xludf.DUMMYFUNCTION("""COMPUTED_VALUE"""),2025)</f>
        <v>2025</v>
      </c>
      <c r="L19" s="15">
        <f ca="1"/>
        <v>45908</v>
      </c>
    </row>
    <row r="20" spans="1:12">
      <c r="A20" s="12" t="str">
        <f ca="1">IFERROR(__xludf.DUMMYFUNCTION("""COMPUTED_VALUE"""),"29-09-2025")</f>
        <v>29-09-2025</v>
      </c>
      <c r="B20" s="13" t="str">
        <f ca="1">IFERROR(__xludf.DUMMYFUNCTION("""COMPUTED_VALUE"""),"Makassar")</f>
        <v>Makassar</v>
      </c>
      <c r="C20" s="13" t="str">
        <f ca="1">IFERROR(__xludf.DUMMYFUNCTION("""COMPUTED_VALUE"""),"P04")</f>
        <v>P04</v>
      </c>
      <c r="D20" s="13">
        <f ca="1">IFERROR(__xludf.DUMMYFUNCTION("""COMPUTED_VALUE"""),5)</f>
        <v>5</v>
      </c>
      <c r="E20" s="14">
        <f ca="1">IFERROR(__xludf.DUMMYFUNCTION("""COMPUTED_VALUE"""),20000)</f>
        <v>20000</v>
      </c>
      <c r="F20" s="14">
        <f ca="1">IFERROR(__xludf.DUMMYFUNCTION("""COMPUTED_VALUE"""),100000)</f>
        <v>100000</v>
      </c>
      <c r="G20" s="13" t="str">
        <f ca="1"/>
        <v>Americano</v>
      </c>
      <c r="H20" s="13" t="str">
        <f ca="1"/>
        <v>Coffee</v>
      </c>
      <c r="I20" s="13">
        <f ca="1">IFERROR(__xludf.DUMMYFUNCTION("""COMPUTED_VALUE"""),29)</f>
        <v>29</v>
      </c>
      <c r="J20" s="13">
        <f ca="1">IFERROR(__xludf.DUMMYFUNCTION("""COMPUTED_VALUE"""),9)</f>
        <v>9</v>
      </c>
      <c r="K20" s="13">
        <f ca="1">IFERROR(__xludf.DUMMYFUNCTION("""COMPUTED_VALUE"""),2025)</f>
        <v>2025</v>
      </c>
      <c r="L20" s="15">
        <f ca="1"/>
        <v>45929</v>
      </c>
    </row>
    <row r="21" spans="1:12">
      <c r="A21" s="12" t="str">
        <f ca="1">IFERROR(__xludf.DUMMYFUNCTION("""COMPUTED_VALUE"""),"19-09-2025")</f>
        <v>19-09-2025</v>
      </c>
      <c r="B21" s="13" t="str">
        <f ca="1">IFERROR(__xludf.DUMMYFUNCTION("""COMPUTED_VALUE"""),"Makassar")</f>
        <v>Makassar</v>
      </c>
      <c r="C21" s="13" t="str">
        <f ca="1">IFERROR(__xludf.DUMMYFUNCTION("""COMPUTED_VALUE"""),"P05")</f>
        <v>P05</v>
      </c>
      <c r="D21" s="13">
        <f ca="1">IFERROR(__xludf.DUMMYFUNCTION("""COMPUTED_VALUE"""),4)</f>
        <v>4</v>
      </c>
      <c r="E21" s="14">
        <f ca="1">IFERROR(__xludf.DUMMYFUNCTION("""COMPUTED_VALUE"""),20000)</f>
        <v>20000</v>
      </c>
      <c r="F21" s="14">
        <f ca="1">IFERROR(__xludf.DUMMYFUNCTION("""COMPUTED_VALUE"""),80000)</f>
        <v>80000</v>
      </c>
      <c r="G21" s="13" t="str">
        <f ca="1"/>
        <v>Mocha</v>
      </c>
      <c r="H21" s="13" t="str">
        <f ca="1"/>
        <v>Chocolate</v>
      </c>
      <c r="I21" s="13">
        <f ca="1">IFERROR(__xludf.DUMMYFUNCTION("""COMPUTED_VALUE"""),19)</f>
        <v>19</v>
      </c>
      <c r="J21" s="13">
        <f ca="1">IFERROR(__xludf.DUMMYFUNCTION("""COMPUTED_VALUE"""),9)</f>
        <v>9</v>
      </c>
      <c r="K21" s="13">
        <f ca="1">IFERROR(__xludf.DUMMYFUNCTION("""COMPUTED_VALUE"""),2025)</f>
        <v>2025</v>
      </c>
      <c r="L21" s="15">
        <f ca="1"/>
        <v>45919</v>
      </c>
    </row>
    <row r="22" spans="1:12">
      <c r="A22" s="12" t="str">
        <f ca="1">IFERROR(__xludf.DUMMYFUNCTION("""COMPUTED_VALUE"""),"10-09-2025")</f>
        <v>10-09-2025</v>
      </c>
      <c r="B22" s="13" t="str">
        <f ca="1">IFERROR(__xludf.DUMMYFUNCTION("""COMPUTED_VALUE"""),"Makassar")</f>
        <v>Makassar</v>
      </c>
      <c r="C22" s="13" t="str">
        <f ca="1">IFERROR(__xludf.DUMMYFUNCTION("""COMPUTED_VALUE"""),"P01")</f>
        <v>P01</v>
      </c>
      <c r="D22" s="13">
        <f ca="1">IFERROR(__xludf.DUMMYFUNCTION("""COMPUTED_VALUE"""),2)</f>
        <v>2</v>
      </c>
      <c r="E22" s="14">
        <f ca="1">IFERROR(__xludf.DUMMYFUNCTION("""COMPUTED_VALUE"""),30000)</f>
        <v>30000</v>
      </c>
      <c r="F22" s="14">
        <f ca="1">IFERROR(__xludf.DUMMYFUNCTION("""COMPUTED_VALUE"""),60000)</f>
        <v>60000</v>
      </c>
      <c r="G22" s="13" t="str">
        <f ca="1"/>
        <v>Cappuccino</v>
      </c>
      <c r="H22" s="13" t="str">
        <f ca="1"/>
        <v>Coffee</v>
      </c>
      <c r="I22" s="13">
        <f ca="1">IFERROR(__xludf.DUMMYFUNCTION("""COMPUTED_VALUE"""),10)</f>
        <v>10</v>
      </c>
      <c r="J22" s="13">
        <f ca="1">IFERROR(__xludf.DUMMYFUNCTION("""COMPUTED_VALUE"""),9)</f>
        <v>9</v>
      </c>
      <c r="K22" s="13">
        <f ca="1">IFERROR(__xludf.DUMMYFUNCTION("""COMPUTED_VALUE"""),2025)</f>
        <v>2025</v>
      </c>
      <c r="L22" s="15">
        <f ca="1"/>
        <v>45910</v>
      </c>
    </row>
    <row r="23" spans="1:12">
      <c r="A23" s="12" t="str">
        <f ca="1">IFERROR(__xludf.DUMMYFUNCTION("""COMPUTED_VALUE"""),"30-09-2025")</f>
        <v>30-09-2025</v>
      </c>
      <c r="B23" s="13" t="str">
        <f ca="1">IFERROR(__xludf.DUMMYFUNCTION("""COMPUTED_VALUE"""),"Makassar")</f>
        <v>Makassar</v>
      </c>
      <c r="C23" s="13" t="str">
        <f ca="1">IFERROR(__xludf.DUMMYFUNCTION("""COMPUTED_VALUE"""),"P02")</f>
        <v>P02</v>
      </c>
      <c r="D23" s="13">
        <f ca="1">IFERROR(__xludf.DUMMYFUNCTION("""COMPUTED_VALUE"""),5)</f>
        <v>5</v>
      </c>
      <c r="E23" s="14">
        <f ca="1">IFERROR(__xludf.DUMMYFUNCTION("""COMPUTED_VALUE"""),30000)</f>
        <v>30000</v>
      </c>
      <c r="F23" s="14">
        <f ca="1">IFERROR(__xludf.DUMMYFUNCTION("""COMPUTED_VALUE"""),150000)</f>
        <v>150000</v>
      </c>
      <c r="G23" s="13" t="str">
        <f ca="1"/>
        <v>Latte</v>
      </c>
      <c r="H23" s="13" t="str">
        <f ca="1"/>
        <v>Coffee</v>
      </c>
      <c r="I23" s="13">
        <f ca="1">IFERROR(__xludf.DUMMYFUNCTION("""COMPUTED_VALUE"""),30)</f>
        <v>30</v>
      </c>
      <c r="J23" s="13">
        <f ca="1">IFERROR(__xludf.DUMMYFUNCTION("""COMPUTED_VALUE"""),9)</f>
        <v>9</v>
      </c>
      <c r="K23" s="13">
        <f ca="1">IFERROR(__xludf.DUMMYFUNCTION("""COMPUTED_VALUE"""),2025)</f>
        <v>2025</v>
      </c>
      <c r="L23" s="15">
        <f ca="1"/>
        <v>45930</v>
      </c>
    </row>
    <row r="24" spans="1:12">
      <c r="A24" s="12" t="str">
        <f ca="1">IFERROR(__xludf.DUMMYFUNCTION("""COMPUTED_VALUE"""),"08-09-2025")</f>
        <v>08-09-2025</v>
      </c>
      <c r="B24" s="13" t="str">
        <f ca="1">IFERROR(__xludf.DUMMYFUNCTION("""COMPUTED_VALUE"""),"Makassar")</f>
        <v>Makassar</v>
      </c>
      <c r="C24" s="13" t="str">
        <f ca="1">IFERROR(__xludf.DUMMYFUNCTION("""COMPUTED_VALUE"""),"P03")</f>
        <v>P03</v>
      </c>
      <c r="D24" s="13">
        <f ca="1">IFERROR(__xludf.DUMMYFUNCTION("""COMPUTED_VALUE"""),1)</f>
        <v>1</v>
      </c>
      <c r="E24" s="14">
        <f ca="1">IFERROR(__xludf.DUMMYFUNCTION("""COMPUTED_VALUE"""),25000)</f>
        <v>25000</v>
      </c>
      <c r="F24" s="14">
        <f ca="1">IFERROR(__xludf.DUMMYFUNCTION("""COMPUTED_VALUE"""),25000)</f>
        <v>25000</v>
      </c>
      <c r="G24" s="13" t="str">
        <f ca="1"/>
        <v>Espresso</v>
      </c>
      <c r="H24" s="13" t="str">
        <f ca="1"/>
        <v>Coffee</v>
      </c>
      <c r="I24" s="13">
        <f ca="1">IFERROR(__xludf.DUMMYFUNCTION("""COMPUTED_VALUE"""),8)</f>
        <v>8</v>
      </c>
      <c r="J24" s="13">
        <f ca="1">IFERROR(__xludf.DUMMYFUNCTION("""COMPUTED_VALUE"""),9)</f>
        <v>9</v>
      </c>
      <c r="K24" s="13">
        <f ca="1">IFERROR(__xludf.DUMMYFUNCTION("""COMPUTED_VALUE"""),2025)</f>
        <v>2025</v>
      </c>
      <c r="L24" s="15">
        <f ca="1"/>
        <v>45908</v>
      </c>
    </row>
    <row r="25" spans="1:12">
      <c r="A25" s="12" t="str">
        <f ca="1">IFERROR(__xludf.DUMMYFUNCTION("""COMPUTED_VALUE"""),"29-09-2025")</f>
        <v>29-09-2025</v>
      </c>
      <c r="B25" s="13" t="str">
        <f ca="1">IFERROR(__xludf.DUMMYFUNCTION("""COMPUTED_VALUE"""),"Makassar")</f>
        <v>Makassar</v>
      </c>
      <c r="C25" s="13" t="str">
        <f ca="1">IFERROR(__xludf.DUMMYFUNCTION("""COMPUTED_VALUE"""),"P04")</f>
        <v>P04</v>
      </c>
      <c r="D25" s="13">
        <f ca="1">IFERROR(__xludf.DUMMYFUNCTION("""COMPUTED_VALUE"""),5)</f>
        <v>5</v>
      </c>
      <c r="E25" s="14">
        <f ca="1">IFERROR(__xludf.DUMMYFUNCTION("""COMPUTED_VALUE"""),30000)</f>
        <v>30000</v>
      </c>
      <c r="F25" s="14">
        <f ca="1">IFERROR(__xludf.DUMMYFUNCTION("""COMPUTED_VALUE"""),150000)</f>
        <v>150000</v>
      </c>
      <c r="G25" s="13" t="str">
        <f ca="1"/>
        <v>Americano</v>
      </c>
      <c r="H25" s="13" t="str">
        <f ca="1"/>
        <v>Coffee</v>
      </c>
      <c r="I25" s="13">
        <f ca="1">IFERROR(__xludf.DUMMYFUNCTION("""COMPUTED_VALUE"""),29)</f>
        <v>29</v>
      </c>
      <c r="J25" s="13">
        <f ca="1">IFERROR(__xludf.DUMMYFUNCTION("""COMPUTED_VALUE"""),9)</f>
        <v>9</v>
      </c>
      <c r="K25" s="13">
        <f ca="1">IFERROR(__xludf.DUMMYFUNCTION("""COMPUTED_VALUE"""),2025)</f>
        <v>2025</v>
      </c>
      <c r="L25" s="15">
        <f ca="1"/>
        <v>45929</v>
      </c>
    </row>
    <row r="26" spans="1:12">
      <c r="A26" s="12" t="str">
        <f ca="1">IFERROR(__xludf.DUMMYFUNCTION("""COMPUTED_VALUE"""),"22-09-2025")</f>
        <v>22-09-2025</v>
      </c>
      <c r="B26" s="13" t="str">
        <f ca="1">IFERROR(__xludf.DUMMYFUNCTION("""COMPUTED_VALUE"""),"Makassar")</f>
        <v>Makassar</v>
      </c>
      <c r="C26" s="13" t="str">
        <f ca="1">IFERROR(__xludf.DUMMYFUNCTION("""COMPUTED_VALUE"""),"P05")</f>
        <v>P05</v>
      </c>
      <c r="D26" s="13">
        <f ca="1">IFERROR(__xludf.DUMMYFUNCTION("""COMPUTED_VALUE"""),4)</f>
        <v>4</v>
      </c>
      <c r="E26" s="14">
        <f ca="1">IFERROR(__xludf.DUMMYFUNCTION("""COMPUTED_VALUE"""),28000)</f>
        <v>28000</v>
      </c>
      <c r="F26" s="14">
        <f ca="1">IFERROR(__xludf.DUMMYFUNCTION("""COMPUTED_VALUE"""),112000)</f>
        <v>112000</v>
      </c>
      <c r="G26" s="13" t="str">
        <f ca="1"/>
        <v>Mocha</v>
      </c>
      <c r="H26" s="13" t="str">
        <f ca="1"/>
        <v>Chocolate</v>
      </c>
      <c r="I26" s="13">
        <f ca="1">IFERROR(__xludf.DUMMYFUNCTION("""COMPUTED_VALUE"""),22)</f>
        <v>22</v>
      </c>
      <c r="J26" s="13">
        <f ca="1">IFERROR(__xludf.DUMMYFUNCTION("""COMPUTED_VALUE"""),9)</f>
        <v>9</v>
      </c>
      <c r="K26" s="13">
        <f ca="1">IFERROR(__xludf.DUMMYFUNCTION("""COMPUTED_VALUE"""),2025)</f>
        <v>2025</v>
      </c>
      <c r="L26" s="15">
        <f ca="1"/>
        <v>45922</v>
      </c>
    </row>
    <row r="27" spans="1:12">
      <c r="A27" s="12" t="str">
        <f ca="1">IFERROR(__xludf.DUMMYFUNCTION("""COMPUTED_VALUE"""),"24-09-2025")</f>
        <v>24-09-2025</v>
      </c>
      <c r="B27" s="13" t="str">
        <f ca="1">IFERROR(__xludf.DUMMYFUNCTION("""COMPUTED_VALUE"""),"Makassar")</f>
        <v>Makassar</v>
      </c>
      <c r="C27" s="13" t="str">
        <f ca="1">IFERROR(__xludf.DUMMYFUNCTION("""COMPUTED_VALUE"""),"P01")</f>
        <v>P01</v>
      </c>
      <c r="D27" s="13">
        <f ca="1">IFERROR(__xludf.DUMMYFUNCTION("""COMPUTED_VALUE"""),2)</f>
        <v>2</v>
      </c>
      <c r="E27" s="14">
        <f ca="1">IFERROR(__xludf.DUMMYFUNCTION("""COMPUTED_VALUE"""),25000)</f>
        <v>25000</v>
      </c>
      <c r="F27" s="14">
        <f ca="1">IFERROR(__xludf.DUMMYFUNCTION("""COMPUTED_VALUE"""),50000)</f>
        <v>50000</v>
      </c>
      <c r="G27" s="13" t="str">
        <f ca="1"/>
        <v>Cappuccino</v>
      </c>
      <c r="H27" s="13" t="str">
        <f ca="1"/>
        <v>Coffee</v>
      </c>
      <c r="I27" s="13">
        <f ca="1">IFERROR(__xludf.DUMMYFUNCTION("""COMPUTED_VALUE"""),24)</f>
        <v>24</v>
      </c>
      <c r="J27" s="13">
        <f ca="1">IFERROR(__xludf.DUMMYFUNCTION("""COMPUTED_VALUE"""),9)</f>
        <v>9</v>
      </c>
      <c r="K27" s="13">
        <f ca="1">IFERROR(__xludf.DUMMYFUNCTION("""COMPUTED_VALUE"""),2025)</f>
        <v>2025</v>
      </c>
      <c r="L27" s="15">
        <f ca="1"/>
        <v>45924</v>
      </c>
    </row>
    <row r="28" spans="1:12">
      <c r="A28" s="12" t="str">
        <f ca="1">IFERROR(__xludf.DUMMYFUNCTION("""COMPUTED_VALUE"""),"22-09-2025")</f>
        <v>22-09-2025</v>
      </c>
      <c r="B28" s="13" t="str">
        <f ca="1">IFERROR(__xludf.DUMMYFUNCTION("""COMPUTED_VALUE"""),"Makassar")</f>
        <v>Makassar</v>
      </c>
      <c r="C28" s="13" t="str">
        <f ca="1">IFERROR(__xludf.DUMMYFUNCTION("""COMPUTED_VALUE"""),"P02")</f>
        <v>P02</v>
      </c>
      <c r="D28" s="13">
        <f ca="1">IFERROR(__xludf.DUMMYFUNCTION("""COMPUTED_VALUE"""),1)</f>
        <v>1</v>
      </c>
      <c r="E28" s="14">
        <f ca="1">IFERROR(__xludf.DUMMYFUNCTION("""COMPUTED_VALUE"""),30000)</f>
        <v>30000</v>
      </c>
      <c r="F28" s="14">
        <f ca="1">IFERROR(__xludf.DUMMYFUNCTION("""COMPUTED_VALUE"""),30000)</f>
        <v>30000</v>
      </c>
      <c r="G28" s="13" t="str">
        <f ca="1"/>
        <v>Latte</v>
      </c>
      <c r="H28" s="13" t="str">
        <f ca="1"/>
        <v>Coffee</v>
      </c>
      <c r="I28" s="13">
        <f ca="1">IFERROR(__xludf.DUMMYFUNCTION("""COMPUTED_VALUE"""),22)</f>
        <v>22</v>
      </c>
      <c r="J28" s="13">
        <f ca="1">IFERROR(__xludf.DUMMYFUNCTION("""COMPUTED_VALUE"""),9)</f>
        <v>9</v>
      </c>
      <c r="K28" s="13">
        <f ca="1">IFERROR(__xludf.DUMMYFUNCTION("""COMPUTED_VALUE"""),2025)</f>
        <v>2025</v>
      </c>
      <c r="L28" s="15">
        <f ca="1"/>
        <v>45922</v>
      </c>
    </row>
    <row r="29" spans="1:12">
      <c r="A29" s="12" t="str">
        <f ca="1">IFERROR(__xludf.DUMMYFUNCTION("""COMPUTED_VALUE"""),"03-09-2025")</f>
        <v>03-09-2025</v>
      </c>
      <c r="B29" s="13" t="str">
        <f ca="1">IFERROR(__xludf.DUMMYFUNCTION("""COMPUTED_VALUE"""),"Makassar")</f>
        <v>Makassar</v>
      </c>
      <c r="C29" s="13" t="str">
        <f ca="1">IFERROR(__xludf.DUMMYFUNCTION("""COMPUTED_VALUE"""),"P03")</f>
        <v>P03</v>
      </c>
      <c r="D29" s="13">
        <f ca="1">IFERROR(__xludf.DUMMYFUNCTION("""COMPUTED_VALUE"""),1)</f>
        <v>1</v>
      </c>
      <c r="E29" s="14">
        <f ca="1">IFERROR(__xludf.DUMMYFUNCTION("""COMPUTED_VALUE"""),25000)</f>
        <v>25000</v>
      </c>
      <c r="F29" s="14">
        <f ca="1">IFERROR(__xludf.DUMMYFUNCTION("""COMPUTED_VALUE"""),25000)</f>
        <v>25000</v>
      </c>
      <c r="G29" s="13" t="str">
        <f ca="1"/>
        <v>Espresso</v>
      </c>
      <c r="H29" s="13" t="str">
        <f ca="1"/>
        <v>Coffee</v>
      </c>
      <c r="I29" s="13">
        <f ca="1">IFERROR(__xludf.DUMMYFUNCTION("""COMPUTED_VALUE"""),3)</f>
        <v>3</v>
      </c>
      <c r="J29" s="13">
        <f ca="1">IFERROR(__xludf.DUMMYFUNCTION("""COMPUTED_VALUE"""),9)</f>
        <v>9</v>
      </c>
      <c r="K29" s="13">
        <f ca="1">IFERROR(__xludf.DUMMYFUNCTION("""COMPUTED_VALUE"""),2025)</f>
        <v>2025</v>
      </c>
      <c r="L29" s="15">
        <f ca="1"/>
        <v>45903</v>
      </c>
    </row>
    <row r="30" spans="1:12">
      <c r="A30" s="12" t="str">
        <f ca="1">IFERROR(__xludf.DUMMYFUNCTION("""COMPUTED_VALUE"""),"07-09-2025")</f>
        <v>07-09-2025</v>
      </c>
      <c r="B30" s="13" t="str">
        <f ca="1">IFERROR(__xludf.DUMMYFUNCTION("""COMPUTED_VALUE"""),"Makassar")</f>
        <v>Makassar</v>
      </c>
      <c r="C30" s="13" t="str">
        <f ca="1">IFERROR(__xludf.DUMMYFUNCTION("""COMPUTED_VALUE"""),"P04")</f>
        <v>P04</v>
      </c>
      <c r="D30" s="13">
        <f ca="1">IFERROR(__xludf.DUMMYFUNCTION("""COMPUTED_VALUE"""),3)</f>
        <v>3</v>
      </c>
      <c r="E30" s="14">
        <f ca="1">IFERROR(__xludf.DUMMYFUNCTION("""COMPUTED_VALUE"""),30000)</f>
        <v>30000</v>
      </c>
      <c r="F30" s="14">
        <f ca="1">IFERROR(__xludf.DUMMYFUNCTION("""COMPUTED_VALUE"""),90000)</f>
        <v>90000</v>
      </c>
      <c r="G30" s="13" t="str">
        <f ca="1"/>
        <v>Americano</v>
      </c>
      <c r="H30" s="13" t="str">
        <f ca="1"/>
        <v>Coffee</v>
      </c>
      <c r="I30" s="13">
        <f ca="1">IFERROR(__xludf.DUMMYFUNCTION("""COMPUTED_VALUE"""),7)</f>
        <v>7</v>
      </c>
      <c r="J30" s="13">
        <f ca="1">IFERROR(__xludf.DUMMYFUNCTION("""COMPUTED_VALUE"""),9)</f>
        <v>9</v>
      </c>
      <c r="K30" s="13">
        <f ca="1">IFERROR(__xludf.DUMMYFUNCTION("""COMPUTED_VALUE"""),2025)</f>
        <v>2025</v>
      </c>
      <c r="L30" s="15">
        <f ca="1"/>
        <v>45907</v>
      </c>
    </row>
    <row r="31" spans="1:12">
      <c r="A31" s="12" t="str">
        <f ca="1">IFERROR(__xludf.DUMMYFUNCTION("""COMPUTED_VALUE"""),"06-09-2025")</f>
        <v>06-09-2025</v>
      </c>
      <c r="B31" s="13" t="str">
        <f ca="1">IFERROR(__xludf.DUMMYFUNCTION("""COMPUTED_VALUE"""),"Makassar")</f>
        <v>Makassar</v>
      </c>
      <c r="C31" s="13" t="str">
        <f ca="1">IFERROR(__xludf.DUMMYFUNCTION("""COMPUTED_VALUE"""),"P05")</f>
        <v>P05</v>
      </c>
      <c r="D31" s="13">
        <f ca="1">IFERROR(__xludf.DUMMYFUNCTION("""COMPUTED_VALUE"""),1)</f>
        <v>1</v>
      </c>
      <c r="E31" s="14">
        <f ca="1">IFERROR(__xludf.DUMMYFUNCTION("""COMPUTED_VALUE"""),35000)</f>
        <v>35000</v>
      </c>
      <c r="F31" s="14">
        <f ca="1">IFERROR(__xludf.DUMMYFUNCTION("""COMPUTED_VALUE"""),35000)</f>
        <v>35000</v>
      </c>
      <c r="G31" s="13" t="str">
        <f ca="1"/>
        <v>Mocha</v>
      </c>
      <c r="H31" s="13" t="str">
        <f ca="1"/>
        <v>Chocolate</v>
      </c>
      <c r="I31" s="13">
        <f ca="1">IFERROR(__xludf.DUMMYFUNCTION("""COMPUTED_VALUE"""),6)</f>
        <v>6</v>
      </c>
      <c r="J31" s="13">
        <f ca="1">IFERROR(__xludf.DUMMYFUNCTION("""COMPUTED_VALUE"""),9)</f>
        <v>9</v>
      </c>
      <c r="K31" s="13">
        <f ca="1">IFERROR(__xludf.DUMMYFUNCTION("""COMPUTED_VALUE"""),2025)</f>
        <v>2025</v>
      </c>
      <c r="L31" s="15">
        <f ca="1"/>
        <v>45906</v>
      </c>
    </row>
    <row r="32" spans="1:12">
      <c r="A32" s="12" t="str">
        <f ca="1">IFERROR(__xludf.DUMMYFUNCTION("""COMPUTED_VALUE"""),"05-09-2025")</f>
        <v>05-09-2025</v>
      </c>
      <c r="B32" s="13" t="str">
        <f ca="1">IFERROR(__xludf.DUMMYFUNCTION("""COMPUTED_VALUE"""),"Makassar")</f>
        <v>Makassar</v>
      </c>
      <c r="C32" s="13" t="str">
        <f ca="1">IFERROR(__xludf.DUMMYFUNCTION("""COMPUTED_VALUE"""),"P01")</f>
        <v>P01</v>
      </c>
      <c r="D32" s="13">
        <f ca="1">IFERROR(__xludf.DUMMYFUNCTION("""COMPUTED_VALUE"""),1)</f>
        <v>1</v>
      </c>
      <c r="E32" s="14">
        <f ca="1">IFERROR(__xludf.DUMMYFUNCTION("""COMPUTED_VALUE"""),25000)</f>
        <v>25000</v>
      </c>
      <c r="F32" s="14">
        <f ca="1">IFERROR(__xludf.DUMMYFUNCTION("""COMPUTED_VALUE"""),25000)</f>
        <v>25000</v>
      </c>
      <c r="G32" s="13" t="str">
        <f ca="1"/>
        <v>Cappuccino</v>
      </c>
      <c r="H32" s="13" t="str">
        <f ca="1"/>
        <v>Coffee</v>
      </c>
      <c r="I32" s="13">
        <f ca="1">IFERROR(__xludf.DUMMYFUNCTION("""COMPUTED_VALUE"""),5)</f>
        <v>5</v>
      </c>
      <c r="J32" s="13">
        <f ca="1">IFERROR(__xludf.DUMMYFUNCTION("""COMPUTED_VALUE"""),9)</f>
        <v>9</v>
      </c>
      <c r="K32" s="13">
        <f ca="1">IFERROR(__xludf.DUMMYFUNCTION("""COMPUTED_VALUE"""),2025)</f>
        <v>2025</v>
      </c>
      <c r="L32" s="15">
        <f ca="1"/>
        <v>45905</v>
      </c>
    </row>
    <row r="33" spans="1:12">
      <c r="A33" s="12" t="str">
        <f ca="1">IFERROR(__xludf.DUMMYFUNCTION("""COMPUTED_VALUE"""),"12-09-2025")</f>
        <v>12-09-2025</v>
      </c>
      <c r="B33" s="13" t="str">
        <f ca="1">IFERROR(__xludf.DUMMYFUNCTION("""COMPUTED_VALUE"""),"Makassar")</f>
        <v>Makassar</v>
      </c>
      <c r="C33" s="13" t="str">
        <f ca="1">IFERROR(__xludf.DUMMYFUNCTION("""COMPUTED_VALUE"""),"P02")</f>
        <v>P02</v>
      </c>
      <c r="D33" s="13">
        <f ca="1">IFERROR(__xludf.DUMMYFUNCTION("""COMPUTED_VALUE"""),1)</f>
        <v>1</v>
      </c>
      <c r="E33" s="14">
        <f ca="1">IFERROR(__xludf.DUMMYFUNCTION("""COMPUTED_VALUE"""),25000)</f>
        <v>25000</v>
      </c>
      <c r="F33" s="14">
        <f ca="1">IFERROR(__xludf.DUMMYFUNCTION("""COMPUTED_VALUE"""),25000)</f>
        <v>25000</v>
      </c>
      <c r="G33" s="13" t="str">
        <f ca="1"/>
        <v>Latte</v>
      </c>
      <c r="H33" s="13" t="str">
        <f ca="1"/>
        <v>Coffee</v>
      </c>
      <c r="I33" s="13">
        <f ca="1">IFERROR(__xludf.DUMMYFUNCTION("""COMPUTED_VALUE"""),12)</f>
        <v>12</v>
      </c>
      <c r="J33" s="13">
        <f ca="1">IFERROR(__xludf.DUMMYFUNCTION("""COMPUTED_VALUE"""),9)</f>
        <v>9</v>
      </c>
      <c r="K33" s="13">
        <f ca="1">IFERROR(__xludf.DUMMYFUNCTION("""COMPUTED_VALUE"""),2025)</f>
        <v>2025</v>
      </c>
      <c r="L33" s="15">
        <f ca="1"/>
        <v>45912</v>
      </c>
    </row>
    <row r="34" spans="1:12">
      <c r="A34" s="12" t="str">
        <f ca="1">IFERROR(__xludf.DUMMYFUNCTION("""COMPUTED_VALUE"""),"04-09-2025")</f>
        <v>04-09-2025</v>
      </c>
      <c r="B34" s="13" t="str">
        <f ca="1">IFERROR(__xludf.DUMMYFUNCTION("""COMPUTED_VALUE"""),"Makassar")</f>
        <v>Makassar</v>
      </c>
      <c r="C34" s="13" t="str">
        <f ca="1">IFERROR(__xludf.DUMMYFUNCTION("""COMPUTED_VALUE"""),"P03")</f>
        <v>P03</v>
      </c>
      <c r="D34" s="13">
        <f ca="1">IFERROR(__xludf.DUMMYFUNCTION("""COMPUTED_VALUE"""),2)</f>
        <v>2</v>
      </c>
      <c r="E34" s="14">
        <f ca="1">IFERROR(__xludf.DUMMYFUNCTION("""COMPUTED_VALUE"""),28000)</f>
        <v>28000</v>
      </c>
      <c r="F34" s="14">
        <f ca="1">IFERROR(__xludf.DUMMYFUNCTION("""COMPUTED_VALUE"""),56000)</f>
        <v>56000</v>
      </c>
      <c r="G34" s="13" t="str">
        <f ca="1"/>
        <v>Espresso</v>
      </c>
      <c r="H34" s="13" t="str">
        <f ca="1"/>
        <v>Coffee</v>
      </c>
      <c r="I34" s="13">
        <f ca="1">IFERROR(__xludf.DUMMYFUNCTION("""COMPUTED_VALUE"""),4)</f>
        <v>4</v>
      </c>
      <c r="J34" s="13">
        <f ca="1">IFERROR(__xludf.DUMMYFUNCTION("""COMPUTED_VALUE"""),9)</f>
        <v>9</v>
      </c>
      <c r="K34" s="13">
        <f ca="1">IFERROR(__xludf.DUMMYFUNCTION("""COMPUTED_VALUE"""),2025)</f>
        <v>2025</v>
      </c>
      <c r="L34" s="15">
        <f ca="1"/>
        <v>45904</v>
      </c>
    </row>
    <row r="35" spans="1:12">
      <c r="A35" s="12" t="str">
        <f ca="1">IFERROR(__xludf.DUMMYFUNCTION("""COMPUTED_VALUE"""),"23-09-2025")</f>
        <v>23-09-2025</v>
      </c>
      <c r="B35" s="13" t="str">
        <f ca="1">IFERROR(__xludf.DUMMYFUNCTION("""COMPUTED_VALUE"""),"Makassar")</f>
        <v>Makassar</v>
      </c>
      <c r="C35" s="13" t="str">
        <f ca="1">IFERROR(__xludf.DUMMYFUNCTION("""COMPUTED_VALUE"""),"P04")</f>
        <v>P04</v>
      </c>
      <c r="D35" s="13">
        <f ca="1">IFERROR(__xludf.DUMMYFUNCTION("""COMPUTED_VALUE"""),3)</f>
        <v>3</v>
      </c>
      <c r="E35" s="14">
        <f ca="1">IFERROR(__xludf.DUMMYFUNCTION("""COMPUTED_VALUE"""),30000)</f>
        <v>30000</v>
      </c>
      <c r="F35" s="14">
        <f ca="1">IFERROR(__xludf.DUMMYFUNCTION("""COMPUTED_VALUE"""),90000)</f>
        <v>90000</v>
      </c>
      <c r="G35" s="13" t="str">
        <f ca="1"/>
        <v>Americano</v>
      </c>
      <c r="H35" s="13" t="str">
        <f ca="1"/>
        <v>Coffee</v>
      </c>
      <c r="I35" s="13">
        <f ca="1">IFERROR(__xludf.DUMMYFUNCTION("""COMPUTED_VALUE"""),23)</f>
        <v>23</v>
      </c>
      <c r="J35" s="13">
        <f ca="1">IFERROR(__xludf.DUMMYFUNCTION("""COMPUTED_VALUE"""),9)</f>
        <v>9</v>
      </c>
      <c r="K35" s="13">
        <f ca="1">IFERROR(__xludf.DUMMYFUNCTION("""COMPUTED_VALUE"""),2025)</f>
        <v>2025</v>
      </c>
      <c r="L35" s="15">
        <f ca="1"/>
        <v>45923</v>
      </c>
    </row>
    <row r="36" spans="1:12">
      <c r="A36" s="12" t="str">
        <f ca="1">IFERROR(__xludf.DUMMYFUNCTION("""COMPUTED_VALUE"""),"20-09-2025")</f>
        <v>20-09-2025</v>
      </c>
      <c r="B36" s="13" t="str">
        <f ca="1">IFERROR(__xludf.DUMMYFUNCTION("""COMPUTED_VALUE"""),"Makassar")</f>
        <v>Makassar</v>
      </c>
      <c r="C36" s="13" t="str">
        <f ca="1">IFERROR(__xludf.DUMMYFUNCTION("""COMPUTED_VALUE"""),"P05")</f>
        <v>P05</v>
      </c>
      <c r="D36" s="13">
        <f ca="1">IFERROR(__xludf.DUMMYFUNCTION("""COMPUTED_VALUE"""),3)</f>
        <v>3</v>
      </c>
      <c r="E36" s="14">
        <f ca="1">IFERROR(__xludf.DUMMYFUNCTION("""COMPUTED_VALUE"""),28000)</f>
        <v>28000</v>
      </c>
      <c r="F36" s="14">
        <f ca="1">IFERROR(__xludf.DUMMYFUNCTION("""COMPUTED_VALUE"""),84000)</f>
        <v>84000</v>
      </c>
      <c r="G36" s="13" t="str">
        <f ca="1"/>
        <v>Mocha</v>
      </c>
      <c r="H36" s="13" t="str">
        <f ca="1"/>
        <v>Chocolate</v>
      </c>
      <c r="I36" s="13">
        <f ca="1">IFERROR(__xludf.DUMMYFUNCTION("""COMPUTED_VALUE"""),20)</f>
        <v>20</v>
      </c>
      <c r="J36" s="13">
        <f ca="1">IFERROR(__xludf.DUMMYFUNCTION("""COMPUTED_VALUE"""),9)</f>
        <v>9</v>
      </c>
      <c r="K36" s="13">
        <f ca="1">IFERROR(__xludf.DUMMYFUNCTION("""COMPUTED_VALUE"""),2025)</f>
        <v>2025</v>
      </c>
      <c r="L36" s="15">
        <f ca="1"/>
        <v>45920</v>
      </c>
    </row>
    <row r="37" spans="1:12">
      <c r="A37" s="12" t="str">
        <f ca="1">IFERROR(__xludf.DUMMYFUNCTION("""COMPUTED_VALUE"""),"15-09-2025")</f>
        <v>15-09-2025</v>
      </c>
      <c r="B37" s="13" t="str">
        <f ca="1">IFERROR(__xludf.DUMMYFUNCTION("""COMPUTED_VALUE"""),"Makassar")</f>
        <v>Makassar</v>
      </c>
      <c r="C37" s="13" t="str">
        <f ca="1">IFERROR(__xludf.DUMMYFUNCTION("""COMPUTED_VALUE"""),"P01")</f>
        <v>P01</v>
      </c>
      <c r="D37" s="13">
        <f ca="1">IFERROR(__xludf.DUMMYFUNCTION("""COMPUTED_VALUE"""),2)</f>
        <v>2</v>
      </c>
      <c r="E37" s="14">
        <f ca="1">IFERROR(__xludf.DUMMYFUNCTION("""COMPUTED_VALUE"""),35000)</f>
        <v>35000</v>
      </c>
      <c r="F37" s="14">
        <f ca="1">IFERROR(__xludf.DUMMYFUNCTION("""COMPUTED_VALUE"""),70000)</f>
        <v>70000</v>
      </c>
      <c r="G37" s="13" t="str">
        <f ca="1"/>
        <v>Cappuccino</v>
      </c>
      <c r="H37" s="13" t="str">
        <f ca="1"/>
        <v>Coffee</v>
      </c>
      <c r="I37" s="13">
        <f ca="1">IFERROR(__xludf.DUMMYFUNCTION("""COMPUTED_VALUE"""),15)</f>
        <v>15</v>
      </c>
      <c r="J37" s="13">
        <f ca="1">IFERROR(__xludf.DUMMYFUNCTION("""COMPUTED_VALUE"""),9)</f>
        <v>9</v>
      </c>
      <c r="K37" s="13">
        <f ca="1">IFERROR(__xludf.DUMMYFUNCTION("""COMPUTED_VALUE"""),2025)</f>
        <v>2025</v>
      </c>
      <c r="L37" s="15">
        <f ca="1"/>
        <v>45915</v>
      </c>
    </row>
    <row r="38" spans="1:12">
      <c r="A38" s="12" t="str">
        <f ca="1">IFERROR(__xludf.DUMMYFUNCTION("""COMPUTED_VALUE"""),"02-09-2025")</f>
        <v>02-09-2025</v>
      </c>
      <c r="B38" s="13" t="str">
        <f ca="1">IFERROR(__xludf.DUMMYFUNCTION("""COMPUTED_VALUE"""),"Makassar")</f>
        <v>Makassar</v>
      </c>
      <c r="C38" s="13" t="str">
        <f ca="1">IFERROR(__xludf.DUMMYFUNCTION("""COMPUTED_VALUE"""),"P02")</f>
        <v>P02</v>
      </c>
      <c r="D38" s="13">
        <f ca="1">IFERROR(__xludf.DUMMYFUNCTION("""COMPUTED_VALUE"""),1)</f>
        <v>1</v>
      </c>
      <c r="E38" s="14">
        <f ca="1">IFERROR(__xludf.DUMMYFUNCTION("""COMPUTED_VALUE"""),20000)</f>
        <v>20000</v>
      </c>
      <c r="F38" s="14">
        <f ca="1">IFERROR(__xludf.DUMMYFUNCTION("""COMPUTED_VALUE"""),20000)</f>
        <v>20000</v>
      </c>
      <c r="G38" s="13" t="str">
        <f ca="1"/>
        <v>Latte</v>
      </c>
      <c r="H38" s="13" t="str">
        <f ca="1"/>
        <v>Coffee</v>
      </c>
      <c r="I38" s="13">
        <f ca="1">IFERROR(__xludf.DUMMYFUNCTION("""COMPUTED_VALUE"""),2)</f>
        <v>2</v>
      </c>
      <c r="J38" s="13">
        <f ca="1">IFERROR(__xludf.DUMMYFUNCTION("""COMPUTED_VALUE"""),9)</f>
        <v>9</v>
      </c>
      <c r="K38" s="13">
        <f ca="1">IFERROR(__xludf.DUMMYFUNCTION("""COMPUTED_VALUE"""),2025)</f>
        <v>2025</v>
      </c>
      <c r="L38" s="15">
        <f ca="1"/>
        <v>45902</v>
      </c>
    </row>
    <row r="39" spans="1:12">
      <c r="A39" s="12" t="str">
        <f ca="1">IFERROR(__xludf.DUMMYFUNCTION("""COMPUTED_VALUE"""),"12-09-2025")</f>
        <v>12-09-2025</v>
      </c>
      <c r="B39" s="13" t="str">
        <f ca="1">IFERROR(__xludf.DUMMYFUNCTION("""COMPUTED_VALUE"""),"Makassar")</f>
        <v>Makassar</v>
      </c>
      <c r="C39" s="13" t="str">
        <f ca="1">IFERROR(__xludf.DUMMYFUNCTION("""COMPUTED_VALUE"""),"P03")</f>
        <v>P03</v>
      </c>
      <c r="D39" s="13">
        <f ca="1">IFERROR(__xludf.DUMMYFUNCTION("""COMPUTED_VALUE"""),2)</f>
        <v>2</v>
      </c>
      <c r="E39" s="14">
        <f ca="1">IFERROR(__xludf.DUMMYFUNCTION("""COMPUTED_VALUE"""),28000)</f>
        <v>28000</v>
      </c>
      <c r="F39" s="14">
        <f ca="1">IFERROR(__xludf.DUMMYFUNCTION("""COMPUTED_VALUE"""),56000)</f>
        <v>56000</v>
      </c>
      <c r="G39" s="13" t="str">
        <f ca="1"/>
        <v>Espresso</v>
      </c>
      <c r="H39" s="13" t="str">
        <f ca="1"/>
        <v>Coffee</v>
      </c>
      <c r="I39" s="13">
        <f ca="1">IFERROR(__xludf.DUMMYFUNCTION("""COMPUTED_VALUE"""),12)</f>
        <v>12</v>
      </c>
      <c r="J39" s="13">
        <f ca="1">IFERROR(__xludf.DUMMYFUNCTION("""COMPUTED_VALUE"""),9)</f>
        <v>9</v>
      </c>
      <c r="K39" s="13">
        <f ca="1">IFERROR(__xludf.DUMMYFUNCTION("""COMPUTED_VALUE"""),2025)</f>
        <v>2025</v>
      </c>
      <c r="L39" s="15">
        <f ca="1"/>
        <v>45912</v>
      </c>
    </row>
    <row r="40" spans="1:12">
      <c r="A40" s="12" t="str">
        <f ca="1">IFERROR(__xludf.DUMMYFUNCTION("""COMPUTED_VALUE"""),"08-09-2025")</f>
        <v>08-09-2025</v>
      </c>
      <c r="B40" s="13" t="str">
        <f ca="1">IFERROR(__xludf.DUMMYFUNCTION("""COMPUTED_VALUE"""),"Makassar")</f>
        <v>Makassar</v>
      </c>
      <c r="C40" s="13" t="str">
        <f ca="1">IFERROR(__xludf.DUMMYFUNCTION("""COMPUTED_VALUE"""),"P04")</f>
        <v>P04</v>
      </c>
      <c r="D40" s="13">
        <f ca="1">IFERROR(__xludf.DUMMYFUNCTION("""COMPUTED_VALUE"""),1)</f>
        <v>1</v>
      </c>
      <c r="E40" s="14">
        <f ca="1">IFERROR(__xludf.DUMMYFUNCTION("""COMPUTED_VALUE"""),20000)</f>
        <v>20000</v>
      </c>
      <c r="F40" s="14">
        <f ca="1">IFERROR(__xludf.DUMMYFUNCTION("""COMPUTED_VALUE"""),20000)</f>
        <v>20000</v>
      </c>
      <c r="G40" s="13" t="str">
        <f ca="1"/>
        <v>Americano</v>
      </c>
      <c r="H40" s="13" t="str">
        <f ca="1"/>
        <v>Coffee</v>
      </c>
      <c r="I40" s="13">
        <f ca="1">IFERROR(__xludf.DUMMYFUNCTION("""COMPUTED_VALUE"""),8)</f>
        <v>8</v>
      </c>
      <c r="J40" s="13">
        <f ca="1">IFERROR(__xludf.DUMMYFUNCTION("""COMPUTED_VALUE"""),9)</f>
        <v>9</v>
      </c>
      <c r="K40" s="13">
        <f ca="1">IFERROR(__xludf.DUMMYFUNCTION("""COMPUTED_VALUE"""),2025)</f>
        <v>2025</v>
      </c>
      <c r="L40" s="15">
        <f ca="1"/>
        <v>45908</v>
      </c>
    </row>
    <row r="41" spans="1:12">
      <c r="A41" s="12" t="str">
        <f ca="1">IFERROR(__xludf.DUMMYFUNCTION("""COMPUTED_VALUE"""),"24-09-2025")</f>
        <v>24-09-2025</v>
      </c>
      <c r="B41" s="13" t="str">
        <f ca="1">IFERROR(__xludf.DUMMYFUNCTION("""COMPUTED_VALUE"""),"Makassar")</f>
        <v>Makassar</v>
      </c>
      <c r="C41" s="13" t="str">
        <f ca="1">IFERROR(__xludf.DUMMYFUNCTION("""COMPUTED_VALUE"""),"P05")</f>
        <v>P05</v>
      </c>
      <c r="D41" s="13">
        <f ca="1">IFERROR(__xludf.DUMMYFUNCTION("""COMPUTED_VALUE"""),5)</f>
        <v>5</v>
      </c>
      <c r="E41" s="14">
        <f ca="1">IFERROR(__xludf.DUMMYFUNCTION("""COMPUTED_VALUE"""),25000)</f>
        <v>25000</v>
      </c>
      <c r="F41" s="14">
        <f ca="1">IFERROR(__xludf.DUMMYFUNCTION("""COMPUTED_VALUE"""),125000)</f>
        <v>125000</v>
      </c>
      <c r="G41" s="13" t="str">
        <f ca="1"/>
        <v>Mocha</v>
      </c>
      <c r="H41" s="13" t="str">
        <f ca="1"/>
        <v>Chocolate</v>
      </c>
      <c r="I41" s="13">
        <f ca="1">IFERROR(__xludf.DUMMYFUNCTION("""COMPUTED_VALUE"""),24)</f>
        <v>24</v>
      </c>
      <c r="J41" s="13">
        <f ca="1">IFERROR(__xludf.DUMMYFUNCTION("""COMPUTED_VALUE"""),9)</f>
        <v>9</v>
      </c>
      <c r="K41" s="13">
        <f ca="1">IFERROR(__xludf.DUMMYFUNCTION("""COMPUTED_VALUE"""),2025)</f>
        <v>2025</v>
      </c>
      <c r="L41" s="15">
        <f ca="1"/>
        <v>45924</v>
      </c>
    </row>
    <row r="42" spans="1:12">
      <c r="A42" s="12" t="str">
        <f ca="1">IFERROR(__xludf.DUMMYFUNCTION("""COMPUTED_VALUE"""),"01-09-2025")</f>
        <v>01-09-2025</v>
      </c>
      <c r="B42" s="13" t="str">
        <f ca="1">IFERROR(__xludf.DUMMYFUNCTION("""COMPUTED_VALUE"""),"Makassar")</f>
        <v>Makassar</v>
      </c>
      <c r="C42" s="13" t="str">
        <f ca="1">IFERROR(__xludf.DUMMYFUNCTION("""COMPUTED_VALUE"""),"P03")</f>
        <v>P03</v>
      </c>
      <c r="D42" s="13">
        <f ca="1">IFERROR(__xludf.DUMMYFUNCTION("""COMPUTED_VALUE"""),1)</f>
        <v>1</v>
      </c>
      <c r="E42" s="14">
        <f ca="1">IFERROR(__xludf.DUMMYFUNCTION("""COMPUTED_VALUE"""),35000)</f>
        <v>35000</v>
      </c>
      <c r="F42" s="14">
        <f ca="1">IFERROR(__xludf.DUMMYFUNCTION("""COMPUTED_VALUE"""),35000)</f>
        <v>35000</v>
      </c>
      <c r="G42" s="13" t="str">
        <f ca="1"/>
        <v>Espresso</v>
      </c>
      <c r="H42" s="13" t="str">
        <f ca="1"/>
        <v>Coffee</v>
      </c>
      <c r="I42" s="13">
        <f ca="1">IFERROR(__xludf.DUMMYFUNCTION("""COMPUTED_VALUE"""),1)</f>
        <v>1</v>
      </c>
      <c r="J42" s="13">
        <f ca="1">IFERROR(__xludf.DUMMYFUNCTION("""COMPUTED_VALUE"""),9)</f>
        <v>9</v>
      </c>
      <c r="K42" s="13">
        <f ca="1">IFERROR(__xludf.DUMMYFUNCTION("""COMPUTED_VALUE"""),2025)</f>
        <v>2025</v>
      </c>
      <c r="L42" s="15">
        <f ca="1"/>
        <v>45901</v>
      </c>
    </row>
    <row r="43" spans="1:12">
      <c r="A43" s="12" t="str">
        <f ca="1">IFERROR(__xludf.DUMMYFUNCTION("""COMPUTED_VALUE"""),"06-09-2025")</f>
        <v>06-09-2025</v>
      </c>
      <c r="B43" s="13" t="str">
        <f ca="1">IFERROR(__xludf.DUMMYFUNCTION("""COMPUTED_VALUE"""),"Makassar")</f>
        <v>Makassar</v>
      </c>
      <c r="C43" s="13" t="str">
        <f ca="1">IFERROR(__xludf.DUMMYFUNCTION("""COMPUTED_VALUE"""),"P04")</f>
        <v>P04</v>
      </c>
      <c r="D43" s="13">
        <f ca="1">IFERROR(__xludf.DUMMYFUNCTION("""COMPUTED_VALUE"""),3)</f>
        <v>3</v>
      </c>
      <c r="E43" s="14">
        <f ca="1">IFERROR(__xludf.DUMMYFUNCTION("""COMPUTED_VALUE"""),20000)</f>
        <v>20000</v>
      </c>
      <c r="F43" s="14">
        <f ca="1">IFERROR(__xludf.DUMMYFUNCTION("""COMPUTED_VALUE"""),60000)</f>
        <v>60000</v>
      </c>
      <c r="G43" s="13" t="str">
        <f ca="1"/>
        <v>Americano</v>
      </c>
      <c r="H43" s="13" t="str">
        <f ca="1"/>
        <v>Coffee</v>
      </c>
      <c r="I43" s="13">
        <f ca="1">IFERROR(__xludf.DUMMYFUNCTION("""COMPUTED_VALUE"""),6)</f>
        <v>6</v>
      </c>
      <c r="J43" s="13">
        <f ca="1">IFERROR(__xludf.DUMMYFUNCTION("""COMPUTED_VALUE"""),9)</f>
        <v>9</v>
      </c>
      <c r="K43" s="13">
        <f ca="1">IFERROR(__xludf.DUMMYFUNCTION("""COMPUTED_VALUE"""),2025)</f>
        <v>2025</v>
      </c>
      <c r="L43" s="15">
        <f ca="1"/>
        <v>45906</v>
      </c>
    </row>
    <row r="44" spans="1:12">
      <c r="A44" s="12" t="str">
        <f ca="1">IFERROR(__xludf.DUMMYFUNCTION("""COMPUTED_VALUE"""),"25-09-2025")</f>
        <v>25-09-2025</v>
      </c>
      <c r="B44" s="13" t="str">
        <f ca="1">IFERROR(__xludf.DUMMYFUNCTION("""COMPUTED_VALUE"""),"Makassar")</f>
        <v>Makassar</v>
      </c>
      <c r="C44" s="13" t="str">
        <f ca="1">IFERROR(__xludf.DUMMYFUNCTION("""COMPUTED_VALUE"""),"P05")</f>
        <v>P05</v>
      </c>
      <c r="D44" s="13">
        <f ca="1">IFERROR(__xludf.DUMMYFUNCTION("""COMPUTED_VALUE"""),1)</f>
        <v>1</v>
      </c>
      <c r="E44" s="14">
        <f ca="1">IFERROR(__xludf.DUMMYFUNCTION("""COMPUTED_VALUE"""),28000)</f>
        <v>28000</v>
      </c>
      <c r="F44" s="14">
        <f ca="1">IFERROR(__xludf.DUMMYFUNCTION("""COMPUTED_VALUE"""),28000)</f>
        <v>28000</v>
      </c>
      <c r="G44" s="13" t="str">
        <f ca="1"/>
        <v>Mocha</v>
      </c>
      <c r="H44" s="13" t="str">
        <f ca="1"/>
        <v>Chocolate</v>
      </c>
      <c r="I44" s="13">
        <f ca="1">IFERROR(__xludf.DUMMYFUNCTION("""COMPUTED_VALUE"""),25)</f>
        <v>25</v>
      </c>
      <c r="J44" s="13">
        <f ca="1">IFERROR(__xludf.DUMMYFUNCTION("""COMPUTED_VALUE"""),9)</f>
        <v>9</v>
      </c>
      <c r="K44" s="13">
        <f ca="1">IFERROR(__xludf.DUMMYFUNCTION("""COMPUTED_VALUE"""),2025)</f>
        <v>2025</v>
      </c>
      <c r="L44" s="15">
        <f ca="1"/>
        <v>45925</v>
      </c>
    </row>
    <row r="45" spans="1:12">
      <c r="A45" s="12" t="str">
        <f ca="1">IFERROR(__xludf.DUMMYFUNCTION("""COMPUTED_VALUE"""),"13-09-2025")</f>
        <v>13-09-2025</v>
      </c>
      <c r="B45" s="13" t="str">
        <f ca="1">IFERROR(__xludf.DUMMYFUNCTION("""COMPUTED_VALUE"""),"Makassar")</f>
        <v>Makassar</v>
      </c>
      <c r="C45" s="13" t="str">
        <f ca="1">IFERROR(__xludf.DUMMYFUNCTION("""COMPUTED_VALUE"""),"P01")</f>
        <v>P01</v>
      </c>
      <c r="D45" s="13">
        <f ca="1">IFERROR(__xludf.DUMMYFUNCTION("""COMPUTED_VALUE"""),5)</f>
        <v>5</v>
      </c>
      <c r="E45" s="14">
        <f ca="1">IFERROR(__xludf.DUMMYFUNCTION("""COMPUTED_VALUE"""),25000)</f>
        <v>25000</v>
      </c>
      <c r="F45" s="14">
        <f ca="1">IFERROR(__xludf.DUMMYFUNCTION("""COMPUTED_VALUE"""),125000)</f>
        <v>125000</v>
      </c>
      <c r="G45" s="13" t="str">
        <f ca="1"/>
        <v>Cappuccino</v>
      </c>
      <c r="H45" s="13" t="str">
        <f ca="1"/>
        <v>Coffee</v>
      </c>
      <c r="I45" s="13">
        <f ca="1">IFERROR(__xludf.DUMMYFUNCTION("""COMPUTED_VALUE"""),13)</f>
        <v>13</v>
      </c>
      <c r="J45" s="13">
        <f ca="1">IFERROR(__xludf.DUMMYFUNCTION("""COMPUTED_VALUE"""),9)</f>
        <v>9</v>
      </c>
      <c r="K45" s="13">
        <f ca="1">IFERROR(__xludf.DUMMYFUNCTION("""COMPUTED_VALUE"""),2025)</f>
        <v>2025</v>
      </c>
      <c r="L45" s="15">
        <f ca="1"/>
        <v>45913</v>
      </c>
    </row>
    <row r="46" spans="1:12">
      <c r="A46" s="12" t="str">
        <f ca="1">IFERROR(__xludf.DUMMYFUNCTION("""COMPUTED_VALUE"""),"20-09-2025")</f>
        <v>20-09-2025</v>
      </c>
      <c r="B46" s="13" t="str">
        <f ca="1">IFERROR(__xludf.DUMMYFUNCTION("""COMPUTED_VALUE"""),"Makassar")</f>
        <v>Makassar</v>
      </c>
      <c r="C46" s="13" t="str">
        <f ca="1">IFERROR(__xludf.DUMMYFUNCTION("""COMPUTED_VALUE"""),"P02")</f>
        <v>P02</v>
      </c>
      <c r="D46" s="13">
        <f ca="1">IFERROR(__xludf.DUMMYFUNCTION("""COMPUTED_VALUE"""),5)</f>
        <v>5</v>
      </c>
      <c r="E46" s="14">
        <f ca="1">IFERROR(__xludf.DUMMYFUNCTION("""COMPUTED_VALUE"""),30000)</f>
        <v>30000</v>
      </c>
      <c r="F46" s="14">
        <f ca="1">IFERROR(__xludf.DUMMYFUNCTION("""COMPUTED_VALUE"""),150000)</f>
        <v>150000</v>
      </c>
      <c r="G46" s="13" t="str">
        <f ca="1"/>
        <v>Latte</v>
      </c>
      <c r="H46" s="13" t="str">
        <f ca="1"/>
        <v>Coffee</v>
      </c>
      <c r="I46" s="13">
        <f ca="1">IFERROR(__xludf.DUMMYFUNCTION("""COMPUTED_VALUE"""),20)</f>
        <v>20</v>
      </c>
      <c r="J46" s="13">
        <f ca="1">IFERROR(__xludf.DUMMYFUNCTION("""COMPUTED_VALUE"""),9)</f>
        <v>9</v>
      </c>
      <c r="K46" s="13">
        <f ca="1">IFERROR(__xludf.DUMMYFUNCTION("""COMPUTED_VALUE"""),2025)</f>
        <v>2025</v>
      </c>
      <c r="L46" s="15">
        <f ca="1"/>
        <v>45920</v>
      </c>
    </row>
    <row r="47" spans="1:12">
      <c r="A47" s="12" t="str">
        <f ca="1">IFERROR(__xludf.DUMMYFUNCTION("""COMPUTED_VALUE"""),"28-09-2025")</f>
        <v>28-09-2025</v>
      </c>
      <c r="B47" s="13" t="str">
        <f ca="1">IFERROR(__xludf.DUMMYFUNCTION("""COMPUTED_VALUE"""),"Makassar")</f>
        <v>Makassar</v>
      </c>
      <c r="C47" s="13" t="str">
        <f ca="1">IFERROR(__xludf.DUMMYFUNCTION("""COMPUTED_VALUE"""),"P03")</f>
        <v>P03</v>
      </c>
      <c r="D47" s="13">
        <f ca="1">IFERROR(__xludf.DUMMYFUNCTION("""COMPUTED_VALUE"""),4)</f>
        <v>4</v>
      </c>
      <c r="E47" s="14">
        <f ca="1">IFERROR(__xludf.DUMMYFUNCTION("""COMPUTED_VALUE"""),20000)</f>
        <v>20000</v>
      </c>
      <c r="F47" s="14">
        <f ca="1">IFERROR(__xludf.DUMMYFUNCTION("""COMPUTED_VALUE"""),80000)</f>
        <v>80000</v>
      </c>
      <c r="G47" s="13" t="str">
        <f ca="1"/>
        <v>Espresso</v>
      </c>
      <c r="H47" s="13" t="str">
        <f ca="1"/>
        <v>Coffee</v>
      </c>
      <c r="I47" s="13">
        <f ca="1">IFERROR(__xludf.DUMMYFUNCTION("""COMPUTED_VALUE"""),28)</f>
        <v>28</v>
      </c>
      <c r="J47" s="13">
        <f ca="1">IFERROR(__xludf.DUMMYFUNCTION("""COMPUTED_VALUE"""),9)</f>
        <v>9</v>
      </c>
      <c r="K47" s="13">
        <f ca="1">IFERROR(__xludf.DUMMYFUNCTION("""COMPUTED_VALUE"""),2025)</f>
        <v>2025</v>
      </c>
      <c r="L47" s="15">
        <f ca="1"/>
        <v>45928</v>
      </c>
    </row>
    <row r="48" spans="1:12">
      <c r="A48" s="12" t="str">
        <f ca="1">IFERROR(__xludf.DUMMYFUNCTION("""COMPUTED_VALUE"""),"04-09-2025")</f>
        <v>04-09-2025</v>
      </c>
      <c r="B48" s="13" t="str">
        <f ca="1">IFERROR(__xludf.DUMMYFUNCTION("""COMPUTED_VALUE"""),"Makassar")</f>
        <v>Makassar</v>
      </c>
      <c r="C48" s="13" t="str">
        <f ca="1">IFERROR(__xludf.DUMMYFUNCTION("""COMPUTED_VALUE"""),"P04")</f>
        <v>P04</v>
      </c>
      <c r="D48" s="13">
        <f ca="1">IFERROR(__xludf.DUMMYFUNCTION("""COMPUTED_VALUE"""),4)</f>
        <v>4</v>
      </c>
      <c r="E48" s="14">
        <f ca="1">IFERROR(__xludf.DUMMYFUNCTION("""COMPUTED_VALUE"""),35000)</f>
        <v>35000</v>
      </c>
      <c r="F48" s="14">
        <f ca="1">IFERROR(__xludf.DUMMYFUNCTION("""COMPUTED_VALUE"""),140000)</f>
        <v>140000</v>
      </c>
      <c r="G48" s="13" t="str">
        <f ca="1"/>
        <v>Americano</v>
      </c>
      <c r="H48" s="13" t="str">
        <f ca="1"/>
        <v>Coffee</v>
      </c>
      <c r="I48" s="13">
        <f ca="1">IFERROR(__xludf.DUMMYFUNCTION("""COMPUTED_VALUE"""),4)</f>
        <v>4</v>
      </c>
      <c r="J48" s="13">
        <f ca="1">IFERROR(__xludf.DUMMYFUNCTION("""COMPUTED_VALUE"""),9)</f>
        <v>9</v>
      </c>
      <c r="K48" s="13">
        <f ca="1">IFERROR(__xludf.DUMMYFUNCTION("""COMPUTED_VALUE"""),2025)</f>
        <v>2025</v>
      </c>
      <c r="L48" s="15">
        <f ca="1"/>
        <v>45904</v>
      </c>
    </row>
    <row r="49" spans="1:12">
      <c r="A49" s="12" t="str">
        <f ca="1">IFERROR(__xludf.DUMMYFUNCTION("""COMPUTED_VALUE"""),"04-09-2025")</f>
        <v>04-09-2025</v>
      </c>
      <c r="B49" s="13" t="str">
        <f ca="1">IFERROR(__xludf.DUMMYFUNCTION("""COMPUTED_VALUE"""),"Makassar")</f>
        <v>Makassar</v>
      </c>
      <c r="C49" s="13" t="str">
        <f ca="1">IFERROR(__xludf.DUMMYFUNCTION("""COMPUTED_VALUE"""),"P05")</f>
        <v>P05</v>
      </c>
      <c r="D49" s="13">
        <f ca="1">IFERROR(__xludf.DUMMYFUNCTION("""COMPUTED_VALUE"""),3)</f>
        <v>3</v>
      </c>
      <c r="E49" s="14">
        <f ca="1">IFERROR(__xludf.DUMMYFUNCTION("""COMPUTED_VALUE"""),20000)</f>
        <v>20000</v>
      </c>
      <c r="F49" s="14">
        <f ca="1">IFERROR(__xludf.DUMMYFUNCTION("""COMPUTED_VALUE"""),60000)</f>
        <v>60000</v>
      </c>
      <c r="G49" s="13" t="str">
        <f ca="1"/>
        <v>Mocha</v>
      </c>
      <c r="H49" s="13" t="str">
        <f ca="1"/>
        <v>Chocolate</v>
      </c>
      <c r="I49" s="13">
        <f ca="1">IFERROR(__xludf.DUMMYFUNCTION("""COMPUTED_VALUE"""),4)</f>
        <v>4</v>
      </c>
      <c r="J49" s="13">
        <f ca="1">IFERROR(__xludf.DUMMYFUNCTION("""COMPUTED_VALUE"""),9)</f>
        <v>9</v>
      </c>
      <c r="K49" s="13">
        <f ca="1">IFERROR(__xludf.DUMMYFUNCTION("""COMPUTED_VALUE"""),2025)</f>
        <v>2025</v>
      </c>
      <c r="L49" s="15">
        <f ca="1"/>
        <v>45904</v>
      </c>
    </row>
    <row r="50" spans="1:12">
      <c r="A50" s="12" t="str">
        <f ca="1">IFERROR(__xludf.DUMMYFUNCTION("""COMPUTED_VALUE"""),"04-09-2025")</f>
        <v>04-09-2025</v>
      </c>
      <c r="B50" s="13" t="str">
        <f ca="1">IFERROR(__xludf.DUMMYFUNCTION("""COMPUTED_VALUE"""),"Makassar")</f>
        <v>Makassar</v>
      </c>
      <c r="C50" s="13" t="str">
        <f ca="1">IFERROR(__xludf.DUMMYFUNCTION("""COMPUTED_VALUE"""),"P01")</f>
        <v>P01</v>
      </c>
      <c r="D50" s="13">
        <f ca="1">IFERROR(__xludf.DUMMYFUNCTION("""COMPUTED_VALUE"""),1)</f>
        <v>1</v>
      </c>
      <c r="E50" s="14">
        <f ca="1">IFERROR(__xludf.DUMMYFUNCTION("""COMPUTED_VALUE"""),28000)</f>
        <v>28000</v>
      </c>
      <c r="F50" s="14">
        <f ca="1">IFERROR(__xludf.DUMMYFUNCTION("""COMPUTED_VALUE"""),28000)</f>
        <v>28000</v>
      </c>
      <c r="G50" s="13" t="str">
        <f ca="1"/>
        <v>Cappuccino</v>
      </c>
      <c r="H50" s="13" t="str">
        <f ca="1"/>
        <v>Coffee</v>
      </c>
      <c r="I50" s="13">
        <f ca="1">IFERROR(__xludf.DUMMYFUNCTION("""COMPUTED_VALUE"""),4)</f>
        <v>4</v>
      </c>
      <c r="J50" s="13">
        <f ca="1">IFERROR(__xludf.DUMMYFUNCTION("""COMPUTED_VALUE"""),9)</f>
        <v>9</v>
      </c>
      <c r="K50" s="13">
        <f ca="1">IFERROR(__xludf.DUMMYFUNCTION("""COMPUTED_VALUE"""),2025)</f>
        <v>2025</v>
      </c>
      <c r="L50" s="15">
        <f ca="1"/>
        <v>45904</v>
      </c>
    </row>
    <row r="51" spans="1:12">
      <c r="A51" s="12" t="str">
        <f ca="1">IFERROR(__xludf.DUMMYFUNCTION("""COMPUTED_VALUE"""),"17-09-2025")</f>
        <v>17-09-2025</v>
      </c>
      <c r="B51" s="13" t="str">
        <f ca="1">IFERROR(__xludf.DUMMYFUNCTION("""COMPUTED_VALUE"""),"Makassar")</f>
        <v>Makassar</v>
      </c>
      <c r="C51" s="13" t="str">
        <f ca="1">IFERROR(__xludf.DUMMYFUNCTION("""COMPUTED_VALUE"""),"P04")</f>
        <v>P04</v>
      </c>
      <c r="D51" s="13">
        <f ca="1">IFERROR(__xludf.DUMMYFUNCTION("""COMPUTED_VALUE"""),1)</f>
        <v>1</v>
      </c>
      <c r="E51" s="14">
        <f ca="1">IFERROR(__xludf.DUMMYFUNCTION("""COMPUTED_VALUE"""),35000)</f>
        <v>35000</v>
      </c>
      <c r="F51" s="14">
        <f ca="1">IFERROR(__xludf.DUMMYFUNCTION("""COMPUTED_VALUE"""),35000)</f>
        <v>35000</v>
      </c>
      <c r="G51" s="13" t="str">
        <f ca="1"/>
        <v>Americano</v>
      </c>
      <c r="H51" s="13" t="str">
        <f ca="1"/>
        <v>Coffee</v>
      </c>
      <c r="I51" s="13">
        <f ca="1">IFERROR(__xludf.DUMMYFUNCTION("""COMPUTED_VALUE"""),17)</f>
        <v>17</v>
      </c>
      <c r="J51" s="13">
        <f ca="1">IFERROR(__xludf.DUMMYFUNCTION("""COMPUTED_VALUE"""),9)</f>
        <v>9</v>
      </c>
      <c r="K51" s="13">
        <f ca="1">IFERROR(__xludf.DUMMYFUNCTION("""COMPUTED_VALUE"""),2025)</f>
        <v>2025</v>
      </c>
      <c r="L51" s="15">
        <f ca="1"/>
        <v>45917</v>
      </c>
    </row>
    <row r="52" spans="1:12">
      <c r="A52" s="12" t="str">
        <f ca="1">IFERROR(__xludf.DUMMYFUNCTION("""COMPUTED_VALUE"""),"11-09-2025")</f>
        <v>11-09-2025</v>
      </c>
      <c r="B52" s="13" t="str">
        <f ca="1">IFERROR(__xludf.DUMMYFUNCTION("""COMPUTED_VALUE"""),"Makassar")</f>
        <v>Makassar</v>
      </c>
      <c r="C52" s="13" t="str">
        <f ca="1">IFERROR(__xludf.DUMMYFUNCTION("""COMPUTED_VALUE"""),"P05")</f>
        <v>P05</v>
      </c>
      <c r="D52" s="13">
        <f ca="1">IFERROR(__xludf.DUMMYFUNCTION("""COMPUTED_VALUE"""),2)</f>
        <v>2</v>
      </c>
      <c r="E52" s="14">
        <f ca="1">IFERROR(__xludf.DUMMYFUNCTION("""COMPUTED_VALUE"""),20000)</f>
        <v>20000</v>
      </c>
      <c r="F52" s="14">
        <f ca="1">IFERROR(__xludf.DUMMYFUNCTION("""COMPUTED_VALUE"""),40000)</f>
        <v>40000</v>
      </c>
      <c r="G52" s="13" t="str">
        <f ca="1"/>
        <v>Mocha</v>
      </c>
      <c r="H52" s="13" t="str">
        <f ca="1"/>
        <v>Chocolate</v>
      </c>
      <c r="I52" s="13">
        <f ca="1">IFERROR(__xludf.DUMMYFUNCTION("""COMPUTED_VALUE"""),11)</f>
        <v>11</v>
      </c>
      <c r="J52" s="13">
        <f ca="1">IFERROR(__xludf.DUMMYFUNCTION("""COMPUTED_VALUE"""),9)</f>
        <v>9</v>
      </c>
      <c r="K52" s="13">
        <f ca="1">IFERROR(__xludf.DUMMYFUNCTION("""COMPUTED_VALUE"""),2025)</f>
        <v>2025</v>
      </c>
      <c r="L52" s="15">
        <f ca="1"/>
        <v>45911</v>
      </c>
    </row>
    <row r="53" spans="1:12">
      <c r="A53" s="12" t="str">
        <f ca="1">IFERROR(__xludf.DUMMYFUNCTION("""COMPUTED_VALUE"""),"03-09-2025")</f>
        <v>03-09-2025</v>
      </c>
      <c r="B53" s="13" t="str">
        <f ca="1">IFERROR(__xludf.DUMMYFUNCTION("""COMPUTED_VALUE"""),"Makassar")</f>
        <v>Makassar</v>
      </c>
      <c r="C53" s="13" t="str">
        <f ca="1">IFERROR(__xludf.DUMMYFUNCTION("""COMPUTED_VALUE"""),"P03")</f>
        <v>P03</v>
      </c>
      <c r="D53" s="13">
        <f ca="1">IFERROR(__xludf.DUMMYFUNCTION("""COMPUTED_VALUE"""),3)</f>
        <v>3</v>
      </c>
      <c r="E53" s="14">
        <f ca="1">IFERROR(__xludf.DUMMYFUNCTION("""COMPUTED_VALUE"""),35000)</f>
        <v>35000</v>
      </c>
      <c r="F53" s="14">
        <f ca="1">IFERROR(__xludf.DUMMYFUNCTION("""COMPUTED_VALUE"""),105000)</f>
        <v>105000</v>
      </c>
      <c r="G53" s="13" t="str">
        <f ca="1"/>
        <v>Espresso</v>
      </c>
      <c r="H53" s="13" t="str">
        <f ca="1"/>
        <v>Coffee</v>
      </c>
      <c r="I53" s="13">
        <f ca="1">IFERROR(__xludf.DUMMYFUNCTION("""COMPUTED_VALUE"""),3)</f>
        <v>3</v>
      </c>
      <c r="J53" s="13">
        <f ca="1">IFERROR(__xludf.DUMMYFUNCTION("""COMPUTED_VALUE"""),9)</f>
        <v>9</v>
      </c>
      <c r="K53" s="13">
        <f ca="1">IFERROR(__xludf.DUMMYFUNCTION("""COMPUTED_VALUE"""),2025)</f>
        <v>2025</v>
      </c>
      <c r="L53" s="15">
        <f ca="1"/>
        <v>45903</v>
      </c>
    </row>
    <row r="54" spans="1:12">
      <c r="A54" s="12" t="str">
        <f ca="1">IFERROR(__xludf.DUMMYFUNCTION("""COMPUTED_VALUE"""),"19-09-2025")</f>
        <v>19-09-2025</v>
      </c>
      <c r="B54" s="13" t="str">
        <f ca="1">IFERROR(__xludf.DUMMYFUNCTION("""COMPUTED_VALUE"""),"Makassar")</f>
        <v>Makassar</v>
      </c>
      <c r="C54" s="13" t="str">
        <f ca="1">IFERROR(__xludf.DUMMYFUNCTION("""COMPUTED_VALUE"""),"P04")</f>
        <v>P04</v>
      </c>
      <c r="D54" s="13">
        <f ca="1">IFERROR(__xludf.DUMMYFUNCTION("""COMPUTED_VALUE"""),5)</f>
        <v>5</v>
      </c>
      <c r="E54" s="14">
        <f ca="1">IFERROR(__xludf.DUMMYFUNCTION("""COMPUTED_VALUE"""),28000)</f>
        <v>28000</v>
      </c>
      <c r="F54" s="14">
        <f ca="1">IFERROR(__xludf.DUMMYFUNCTION("""COMPUTED_VALUE"""),140000)</f>
        <v>140000</v>
      </c>
      <c r="G54" s="13" t="str">
        <f ca="1"/>
        <v>Americano</v>
      </c>
      <c r="H54" s="13" t="str">
        <f ca="1"/>
        <v>Coffee</v>
      </c>
      <c r="I54" s="13">
        <f ca="1">IFERROR(__xludf.DUMMYFUNCTION("""COMPUTED_VALUE"""),19)</f>
        <v>19</v>
      </c>
      <c r="J54" s="13">
        <f ca="1">IFERROR(__xludf.DUMMYFUNCTION("""COMPUTED_VALUE"""),9)</f>
        <v>9</v>
      </c>
      <c r="K54" s="13">
        <f ca="1">IFERROR(__xludf.DUMMYFUNCTION("""COMPUTED_VALUE"""),2025)</f>
        <v>2025</v>
      </c>
      <c r="L54" s="15">
        <f ca="1"/>
        <v>45919</v>
      </c>
    </row>
    <row r="55" spans="1:12">
      <c r="A55" s="12" t="str">
        <f ca="1">IFERROR(__xludf.DUMMYFUNCTION("""COMPUTED_VALUE"""),"28-09-2025")</f>
        <v>28-09-2025</v>
      </c>
      <c r="B55" s="13" t="str">
        <f ca="1">IFERROR(__xludf.DUMMYFUNCTION("""COMPUTED_VALUE"""),"Makassar")</f>
        <v>Makassar</v>
      </c>
      <c r="C55" s="13" t="str">
        <f ca="1">IFERROR(__xludf.DUMMYFUNCTION("""COMPUTED_VALUE"""),"P05")</f>
        <v>P05</v>
      </c>
      <c r="D55" s="13">
        <f ca="1">IFERROR(__xludf.DUMMYFUNCTION("""COMPUTED_VALUE"""),2)</f>
        <v>2</v>
      </c>
      <c r="E55" s="14">
        <f ca="1">IFERROR(__xludf.DUMMYFUNCTION("""COMPUTED_VALUE"""),28000)</f>
        <v>28000</v>
      </c>
      <c r="F55" s="14">
        <f ca="1">IFERROR(__xludf.DUMMYFUNCTION("""COMPUTED_VALUE"""),56000)</f>
        <v>56000</v>
      </c>
      <c r="G55" s="13" t="str">
        <f ca="1"/>
        <v>Mocha</v>
      </c>
      <c r="H55" s="13" t="str">
        <f ca="1"/>
        <v>Chocolate</v>
      </c>
      <c r="I55" s="13">
        <f ca="1">IFERROR(__xludf.DUMMYFUNCTION("""COMPUTED_VALUE"""),28)</f>
        <v>28</v>
      </c>
      <c r="J55" s="13">
        <f ca="1">IFERROR(__xludf.DUMMYFUNCTION("""COMPUTED_VALUE"""),9)</f>
        <v>9</v>
      </c>
      <c r="K55" s="13">
        <f ca="1">IFERROR(__xludf.DUMMYFUNCTION("""COMPUTED_VALUE"""),2025)</f>
        <v>2025</v>
      </c>
      <c r="L55" s="15">
        <f ca="1"/>
        <v>45928</v>
      </c>
    </row>
    <row r="56" spans="1:12">
      <c r="A56" s="12" t="str">
        <f ca="1">IFERROR(__xludf.DUMMYFUNCTION("""COMPUTED_VALUE"""),"13-09-2025")</f>
        <v>13-09-2025</v>
      </c>
      <c r="B56" s="13" t="str">
        <f ca="1">IFERROR(__xludf.DUMMYFUNCTION("""COMPUTED_VALUE"""),"Makassar")</f>
        <v>Makassar</v>
      </c>
      <c r="C56" s="13" t="str">
        <f ca="1">IFERROR(__xludf.DUMMYFUNCTION("""COMPUTED_VALUE"""),"P01")</f>
        <v>P01</v>
      </c>
      <c r="D56" s="13">
        <f ca="1">IFERROR(__xludf.DUMMYFUNCTION("""COMPUTED_VALUE"""),5)</f>
        <v>5</v>
      </c>
      <c r="E56" s="14">
        <f ca="1">IFERROR(__xludf.DUMMYFUNCTION("""COMPUTED_VALUE"""),25000)</f>
        <v>25000</v>
      </c>
      <c r="F56" s="14">
        <f ca="1">IFERROR(__xludf.DUMMYFUNCTION("""COMPUTED_VALUE"""),125000)</f>
        <v>125000</v>
      </c>
      <c r="G56" s="13" t="str">
        <f ca="1"/>
        <v>Cappuccino</v>
      </c>
      <c r="H56" s="13" t="str">
        <f ca="1"/>
        <v>Coffee</v>
      </c>
      <c r="I56" s="13">
        <f ca="1">IFERROR(__xludf.DUMMYFUNCTION("""COMPUTED_VALUE"""),13)</f>
        <v>13</v>
      </c>
      <c r="J56" s="13">
        <f ca="1">IFERROR(__xludf.DUMMYFUNCTION("""COMPUTED_VALUE"""),9)</f>
        <v>9</v>
      </c>
      <c r="K56" s="13">
        <f ca="1">IFERROR(__xludf.DUMMYFUNCTION("""COMPUTED_VALUE"""),2025)</f>
        <v>2025</v>
      </c>
      <c r="L56" s="15">
        <f ca="1"/>
        <v>45913</v>
      </c>
    </row>
    <row r="57" spans="1:12">
      <c r="A57" s="12" t="str">
        <f ca="1">IFERROR(__xludf.DUMMYFUNCTION("""COMPUTED_VALUE"""),"30-09-2025")</f>
        <v>30-09-2025</v>
      </c>
      <c r="B57" s="13" t="str">
        <f ca="1">IFERROR(__xludf.DUMMYFUNCTION("""COMPUTED_VALUE"""),"Makassar")</f>
        <v>Makassar</v>
      </c>
      <c r="C57" s="13" t="str">
        <f ca="1">IFERROR(__xludf.DUMMYFUNCTION("""COMPUTED_VALUE"""),"P02")</f>
        <v>P02</v>
      </c>
      <c r="D57" s="13">
        <f ca="1">IFERROR(__xludf.DUMMYFUNCTION("""COMPUTED_VALUE"""),5)</f>
        <v>5</v>
      </c>
      <c r="E57" s="14">
        <f ca="1">IFERROR(__xludf.DUMMYFUNCTION("""COMPUTED_VALUE"""),20000)</f>
        <v>20000</v>
      </c>
      <c r="F57" s="14">
        <f ca="1">IFERROR(__xludf.DUMMYFUNCTION("""COMPUTED_VALUE"""),100000)</f>
        <v>100000</v>
      </c>
      <c r="G57" s="13" t="str">
        <f ca="1"/>
        <v>Latte</v>
      </c>
      <c r="H57" s="13" t="str">
        <f ca="1"/>
        <v>Coffee</v>
      </c>
      <c r="I57" s="13">
        <f ca="1">IFERROR(__xludf.DUMMYFUNCTION("""COMPUTED_VALUE"""),30)</f>
        <v>30</v>
      </c>
      <c r="J57" s="13">
        <f ca="1">IFERROR(__xludf.DUMMYFUNCTION("""COMPUTED_VALUE"""),9)</f>
        <v>9</v>
      </c>
      <c r="K57" s="13">
        <f ca="1">IFERROR(__xludf.DUMMYFUNCTION("""COMPUTED_VALUE"""),2025)</f>
        <v>2025</v>
      </c>
      <c r="L57" s="15">
        <f ca="1"/>
        <v>45930</v>
      </c>
    </row>
    <row r="58" spans="1:12">
      <c r="A58" s="12" t="str">
        <f ca="1">IFERROR(__xludf.DUMMYFUNCTION("""COMPUTED_VALUE"""),"30-09-2025")</f>
        <v>30-09-2025</v>
      </c>
      <c r="B58" s="13" t="str">
        <f ca="1">IFERROR(__xludf.DUMMYFUNCTION("""COMPUTED_VALUE"""),"Makassar")</f>
        <v>Makassar</v>
      </c>
      <c r="C58" s="13" t="str">
        <f ca="1">IFERROR(__xludf.DUMMYFUNCTION("""COMPUTED_VALUE"""),"P03")</f>
        <v>P03</v>
      </c>
      <c r="D58" s="13">
        <f ca="1">IFERROR(__xludf.DUMMYFUNCTION("""COMPUTED_VALUE"""),1)</f>
        <v>1</v>
      </c>
      <c r="E58" s="14">
        <f ca="1">IFERROR(__xludf.DUMMYFUNCTION("""COMPUTED_VALUE"""),28000)</f>
        <v>28000</v>
      </c>
      <c r="F58" s="14">
        <f ca="1">IFERROR(__xludf.DUMMYFUNCTION("""COMPUTED_VALUE"""),28000)</f>
        <v>28000</v>
      </c>
      <c r="G58" s="13" t="str">
        <f ca="1"/>
        <v>Espresso</v>
      </c>
      <c r="H58" s="13" t="str">
        <f ca="1"/>
        <v>Coffee</v>
      </c>
      <c r="I58" s="13">
        <f ca="1">IFERROR(__xludf.DUMMYFUNCTION("""COMPUTED_VALUE"""),30)</f>
        <v>30</v>
      </c>
      <c r="J58" s="13">
        <f ca="1">IFERROR(__xludf.DUMMYFUNCTION("""COMPUTED_VALUE"""),9)</f>
        <v>9</v>
      </c>
      <c r="K58" s="13">
        <f ca="1">IFERROR(__xludf.DUMMYFUNCTION("""COMPUTED_VALUE"""),2025)</f>
        <v>2025</v>
      </c>
      <c r="L58" s="15">
        <f ca="1"/>
        <v>45930</v>
      </c>
    </row>
    <row r="59" spans="1:12">
      <c r="A59" s="12" t="str">
        <f ca="1">IFERROR(__xludf.DUMMYFUNCTION("""COMPUTED_VALUE"""),"16-09-2025")</f>
        <v>16-09-2025</v>
      </c>
      <c r="B59" s="13" t="str">
        <f ca="1">IFERROR(__xludf.DUMMYFUNCTION("""COMPUTED_VALUE"""),"Makassar")</f>
        <v>Makassar</v>
      </c>
      <c r="C59" s="13" t="str">
        <f ca="1">IFERROR(__xludf.DUMMYFUNCTION("""COMPUTED_VALUE"""),"P04")</f>
        <v>P04</v>
      </c>
      <c r="D59" s="13">
        <f ca="1">IFERROR(__xludf.DUMMYFUNCTION("""COMPUTED_VALUE"""),3)</f>
        <v>3</v>
      </c>
      <c r="E59" s="14">
        <f ca="1">IFERROR(__xludf.DUMMYFUNCTION("""COMPUTED_VALUE"""),25000)</f>
        <v>25000</v>
      </c>
      <c r="F59" s="14">
        <f ca="1">IFERROR(__xludf.DUMMYFUNCTION("""COMPUTED_VALUE"""),75000)</f>
        <v>75000</v>
      </c>
      <c r="G59" s="13" t="str">
        <f ca="1"/>
        <v>Americano</v>
      </c>
      <c r="H59" s="13" t="str">
        <f ca="1"/>
        <v>Coffee</v>
      </c>
      <c r="I59" s="13">
        <f ca="1">IFERROR(__xludf.DUMMYFUNCTION("""COMPUTED_VALUE"""),16)</f>
        <v>16</v>
      </c>
      <c r="J59" s="13">
        <f ca="1">IFERROR(__xludf.DUMMYFUNCTION("""COMPUTED_VALUE"""),9)</f>
        <v>9</v>
      </c>
      <c r="K59" s="13">
        <f ca="1">IFERROR(__xludf.DUMMYFUNCTION("""COMPUTED_VALUE"""),2025)</f>
        <v>2025</v>
      </c>
      <c r="L59" s="15">
        <f ca="1"/>
        <v>45916</v>
      </c>
    </row>
    <row r="60" spans="1:12">
      <c r="A60" s="12" t="str">
        <f ca="1">IFERROR(__xludf.DUMMYFUNCTION("""COMPUTED_VALUE"""),"19-09-2025")</f>
        <v>19-09-2025</v>
      </c>
      <c r="B60" s="13" t="str">
        <f ca="1">IFERROR(__xludf.DUMMYFUNCTION("""COMPUTED_VALUE"""),"Makassar")</f>
        <v>Makassar</v>
      </c>
      <c r="C60" s="13" t="str">
        <f ca="1">IFERROR(__xludf.DUMMYFUNCTION("""COMPUTED_VALUE"""),"P05")</f>
        <v>P05</v>
      </c>
      <c r="D60" s="13">
        <f ca="1">IFERROR(__xludf.DUMMYFUNCTION("""COMPUTED_VALUE"""),1)</f>
        <v>1</v>
      </c>
      <c r="E60" s="14">
        <f ca="1">IFERROR(__xludf.DUMMYFUNCTION("""COMPUTED_VALUE"""),20000)</f>
        <v>20000</v>
      </c>
      <c r="F60" s="14">
        <f ca="1">IFERROR(__xludf.DUMMYFUNCTION("""COMPUTED_VALUE"""),20000)</f>
        <v>20000</v>
      </c>
      <c r="G60" s="13" t="str">
        <f ca="1"/>
        <v>Mocha</v>
      </c>
      <c r="H60" s="13" t="str">
        <f ca="1"/>
        <v>Chocolate</v>
      </c>
      <c r="I60" s="13">
        <f ca="1">IFERROR(__xludf.DUMMYFUNCTION("""COMPUTED_VALUE"""),19)</f>
        <v>19</v>
      </c>
      <c r="J60" s="13">
        <f ca="1">IFERROR(__xludf.DUMMYFUNCTION("""COMPUTED_VALUE"""),9)</f>
        <v>9</v>
      </c>
      <c r="K60" s="13">
        <f ca="1">IFERROR(__xludf.DUMMYFUNCTION("""COMPUTED_VALUE"""),2025)</f>
        <v>2025</v>
      </c>
      <c r="L60" s="15">
        <f ca="1"/>
        <v>45919</v>
      </c>
    </row>
    <row r="61" spans="1:12">
      <c r="A61" s="12" t="str">
        <f ca="1">IFERROR(__xludf.DUMMYFUNCTION("""COMPUTED_VALUE"""),"24-09-2025")</f>
        <v>24-09-2025</v>
      </c>
      <c r="B61" s="13" t="str">
        <f ca="1">IFERROR(__xludf.DUMMYFUNCTION("""COMPUTED_VALUE"""),"Makassar")</f>
        <v>Makassar</v>
      </c>
      <c r="C61" s="13" t="str">
        <f ca="1">IFERROR(__xludf.DUMMYFUNCTION("""COMPUTED_VALUE"""),"P01")</f>
        <v>P01</v>
      </c>
      <c r="D61" s="13">
        <f ca="1">IFERROR(__xludf.DUMMYFUNCTION("""COMPUTED_VALUE"""),4)</f>
        <v>4</v>
      </c>
      <c r="E61" s="14">
        <f ca="1">IFERROR(__xludf.DUMMYFUNCTION("""COMPUTED_VALUE"""),28000)</f>
        <v>28000</v>
      </c>
      <c r="F61" s="14">
        <f ca="1">IFERROR(__xludf.DUMMYFUNCTION("""COMPUTED_VALUE"""),112000)</f>
        <v>112000</v>
      </c>
      <c r="G61" s="13" t="str">
        <f ca="1"/>
        <v>Cappuccino</v>
      </c>
      <c r="H61" s="13" t="str">
        <f ca="1"/>
        <v>Coffee</v>
      </c>
      <c r="I61" s="13">
        <f ca="1">IFERROR(__xludf.DUMMYFUNCTION("""COMPUTED_VALUE"""),24)</f>
        <v>24</v>
      </c>
      <c r="J61" s="13">
        <f ca="1">IFERROR(__xludf.DUMMYFUNCTION("""COMPUTED_VALUE"""),9)</f>
        <v>9</v>
      </c>
      <c r="K61" s="13">
        <f ca="1">IFERROR(__xludf.DUMMYFUNCTION("""COMPUTED_VALUE"""),2025)</f>
        <v>2025</v>
      </c>
      <c r="L61" s="15">
        <f ca="1"/>
        <v>45924</v>
      </c>
    </row>
    <row r="62" spans="1:12">
      <c r="A62" s="12" t="str">
        <f ca="1">IFERROR(__xludf.DUMMYFUNCTION("""COMPUTED_VALUE"""),"27-09-2025")</f>
        <v>27-09-2025</v>
      </c>
      <c r="B62" s="13" t="str">
        <f ca="1">IFERROR(__xludf.DUMMYFUNCTION("""COMPUTED_VALUE"""),"Makassar")</f>
        <v>Makassar</v>
      </c>
      <c r="C62" s="13" t="str">
        <f ca="1">IFERROR(__xludf.DUMMYFUNCTION("""COMPUTED_VALUE"""),"P02")</f>
        <v>P02</v>
      </c>
      <c r="D62" s="13">
        <f ca="1">IFERROR(__xludf.DUMMYFUNCTION("""COMPUTED_VALUE"""),1)</f>
        <v>1</v>
      </c>
      <c r="E62" s="14">
        <f ca="1">IFERROR(__xludf.DUMMYFUNCTION("""COMPUTED_VALUE"""),30000)</f>
        <v>30000</v>
      </c>
      <c r="F62" s="14">
        <f ca="1">IFERROR(__xludf.DUMMYFUNCTION("""COMPUTED_VALUE"""),30000)</f>
        <v>30000</v>
      </c>
      <c r="G62" s="13" t="str">
        <f ca="1"/>
        <v>Latte</v>
      </c>
      <c r="H62" s="13" t="str">
        <f ca="1"/>
        <v>Coffee</v>
      </c>
      <c r="I62" s="13">
        <f ca="1">IFERROR(__xludf.DUMMYFUNCTION("""COMPUTED_VALUE"""),27)</f>
        <v>27</v>
      </c>
      <c r="J62" s="13">
        <f ca="1">IFERROR(__xludf.DUMMYFUNCTION("""COMPUTED_VALUE"""),9)</f>
        <v>9</v>
      </c>
      <c r="K62" s="13">
        <f ca="1">IFERROR(__xludf.DUMMYFUNCTION("""COMPUTED_VALUE"""),2025)</f>
        <v>2025</v>
      </c>
      <c r="L62" s="15">
        <f ca="1"/>
        <v>45927</v>
      </c>
    </row>
    <row r="63" spans="1:12">
      <c r="A63" s="12" t="str">
        <f ca="1">IFERROR(__xludf.DUMMYFUNCTION("""COMPUTED_VALUE"""),"09-09-2025")</f>
        <v>09-09-2025</v>
      </c>
      <c r="B63" s="13" t="str">
        <f ca="1">IFERROR(__xludf.DUMMYFUNCTION("""COMPUTED_VALUE"""),"Makassar")</f>
        <v>Makassar</v>
      </c>
      <c r="C63" s="13" t="str">
        <f ca="1">IFERROR(__xludf.DUMMYFUNCTION("""COMPUTED_VALUE"""),"P03")</f>
        <v>P03</v>
      </c>
      <c r="D63" s="13">
        <f ca="1">IFERROR(__xludf.DUMMYFUNCTION("""COMPUTED_VALUE"""),3)</f>
        <v>3</v>
      </c>
      <c r="E63" s="14">
        <f ca="1">IFERROR(__xludf.DUMMYFUNCTION("""COMPUTED_VALUE"""),25000)</f>
        <v>25000</v>
      </c>
      <c r="F63" s="14">
        <f ca="1">IFERROR(__xludf.DUMMYFUNCTION("""COMPUTED_VALUE"""),75000)</f>
        <v>75000</v>
      </c>
      <c r="G63" s="13" t="str">
        <f ca="1"/>
        <v>Espresso</v>
      </c>
      <c r="H63" s="13" t="str">
        <f ca="1"/>
        <v>Coffee</v>
      </c>
      <c r="I63" s="13">
        <f ca="1">IFERROR(__xludf.DUMMYFUNCTION("""COMPUTED_VALUE"""),9)</f>
        <v>9</v>
      </c>
      <c r="J63" s="13">
        <f ca="1">IFERROR(__xludf.DUMMYFUNCTION("""COMPUTED_VALUE"""),9)</f>
        <v>9</v>
      </c>
      <c r="K63" s="13">
        <f ca="1">IFERROR(__xludf.DUMMYFUNCTION("""COMPUTED_VALUE"""),2025)</f>
        <v>2025</v>
      </c>
      <c r="L63" s="15">
        <f ca="1"/>
        <v>45909</v>
      </c>
    </row>
    <row r="64" spans="1:12">
      <c r="A64" s="12" t="str">
        <f ca="1">IFERROR(__xludf.DUMMYFUNCTION("""COMPUTED_VALUE"""),"11-09-2025")</f>
        <v>11-09-2025</v>
      </c>
      <c r="B64" s="13" t="str">
        <f ca="1">IFERROR(__xludf.DUMMYFUNCTION("""COMPUTED_VALUE"""),"Makassar")</f>
        <v>Makassar</v>
      </c>
      <c r="C64" s="13" t="str">
        <f ca="1">IFERROR(__xludf.DUMMYFUNCTION("""COMPUTED_VALUE"""),"P04")</f>
        <v>P04</v>
      </c>
      <c r="D64" s="13">
        <f ca="1">IFERROR(__xludf.DUMMYFUNCTION("""COMPUTED_VALUE"""),1)</f>
        <v>1</v>
      </c>
      <c r="E64" s="14">
        <f ca="1">IFERROR(__xludf.DUMMYFUNCTION("""COMPUTED_VALUE"""),30000)</f>
        <v>30000</v>
      </c>
      <c r="F64" s="14">
        <f ca="1">IFERROR(__xludf.DUMMYFUNCTION("""COMPUTED_VALUE"""),30000)</f>
        <v>30000</v>
      </c>
      <c r="G64" s="13" t="str">
        <f ca="1"/>
        <v>Americano</v>
      </c>
      <c r="H64" s="13" t="str">
        <f ca="1"/>
        <v>Coffee</v>
      </c>
      <c r="I64" s="13">
        <f ca="1">IFERROR(__xludf.DUMMYFUNCTION("""COMPUTED_VALUE"""),11)</f>
        <v>11</v>
      </c>
      <c r="J64" s="13">
        <f ca="1">IFERROR(__xludf.DUMMYFUNCTION("""COMPUTED_VALUE"""),9)</f>
        <v>9</v>
      </c>
      <c r="K64" s="13">
        <f ca="1">IFERROR(__xludf.DUMMYFUNCTION("""COMPUTED_VALUE"""),2025)</f>
        <v>2025</v>
      </c>
      <c r="L64" s="15">
        <f ca="1"/>
        <v>45911</v>
      </c>
    </row>
    <row r="65" spans="1:12">
      <c r="A65" s="12" t="str">
        <f ca="1">IFERROR(__xludf.DUMMYFUNCTION("""COMPUTED_VALUE"""),"10-09-2025")</f>
        <v>10-09-2025</v>
      </c>
      <c r="B65" s="13" t="str">
        <f ca="1">IFERROR(__xludf.DUMMYFUNCTION("""COMPUTED_VALUE"""),"Makassar")</f>
        <v>Makassar</v>
      </c>
      <c r="C65" s="13" t="str">
        <f ca="1">IFERROR(__xludf.DUMMYFUNCTION("""COMPUTED_VALUE"""),"P05")</f>
        <v>P05</v>
      </c>
      <c r="D65" s="13">
        <f ca="1">IFERROR(__xludf.DUMMYFUNCTION("""COMPUTED_VALUE"""),5)</f>
        <v>5</v>
      </c>
      <c r="E65" s="14">
        <f ca="1">IFERROR(__xludf.DUMMYFUNCTION("""COMPUTED_VALUE"""),25000)</f>
        <v>25000</v>
      </c>
      <c r="F65" s="14">
        <f ca="1">IFERROR(__xludf.DUMMYFUNCTION("""COMPUTED_VALUE"""),125000)</f>
        <v>125000</v>
      </c>
      <c r="G65" s="13" t="str">
        <f ca="1"/>
        <v>Mocha</v>
      </c>
      <c r="H65" s="13" t="str">
        <f ca="1"/>
        <v>Chocolate</v>
      </c>
      <c r="I65" s="13">
        <f ca="1">IFERROR(__xludf.DUMMYFUNCTION("""COMPUTED_VALUE"""),10)</f>
        <v>10</v>
      </c>
      <c r="J65" s="13">
        <f ca="1">IFERROR(__xludf.DUMMYFUNCTION("""COMPUTED_VALUE"""),9)</f>
        <v>9</v>
      </c>
      <c r="K65" s="13">
        <f ca="1">IFERROR(__xludf.DUMMYFUNCTION("""COMPUTED_VALUE"""),2025)</f>
        <v>2025</v>
      </c>
      <c r="L65" s="15">
        <f ca="1"/>
        <v>45910</v>
      </c>
    </row>
    <row r="66" spans="1:12">
      <c r="A66" s="12" t="str">
        <f ca="1">IFERROR(__xludf.DUMMYFUNCTION("""COMPUTED_VALUE"""),"28-09-2025")</f>
        <v>28-09-2025</v>
      </c>
      <c r="B66" s="13" t="str">
        <f ca="1">IFERROR(__xludf.DUMMYFUNCTION("""COMPUTED_VALUE"""),"Makassar")</f>
        <v>Makassar</v>
      </c>
      <c r="C66" s="13" t="str">
        <f ca="1">IFERROR(__xludf.DUMMYFUNCTION("""COMPUTED_VALUE"""),"P01")</f>
        <v>P01</v>
      </c>
      <c r="D66" s="13">
        <f ca="1">IFERROR(__xludf.DUMMYFUNCTION("""COMPUTED_VALUE"""),5)</f>
        <v>5</v>
      </c>
      <c r="E66" s="14">
        <f ca="1">IFERROR(__xludf.DUMMYFUNCTION("""COMPUTED_VALUE"""),28000)</f>
        <v>28000</v>
      </c>
      <c r="F66" s="14">
        <f ca="1">IFERROR(__xludf.DUMMYFUNCTION("""COMPUTED_VALUE"""),140000)</f>
        <v>140000</v>
      </c>
      <c r="G66" s="13" t="str">
        <f ca="1"/>
        <v>Cappuccino</v>
      </c>
      <c r="H66" s="13" t="str">
        <f ca="1"/>
        <v>Coffee</v>
      </c>
      <c r="I66" s="13">
        <f ca="1">IFERROR(__xludf.DUMMYFUNCTION("""COMPUTED_VALUE"""),28)</f>
        <v>28</v>
      </c>
      <c r="J66" s="13">
        <f ca="1">IFERROR(__xludf.DUMMYFUNCTION("""COMPUTED_VALUE"""),9)</f>
        <v>9</v>
      </c>
      <c r="K66" s="13">
        <f ca="1">IFERROR(__xludf.DUMMYFUNCTION("""COMPUTED_VALUE"""),2025)</f>
        <v>2025</v>
      </c>
      <c r="L66" s="15">
        <f ca="1"/>
        <v>45928</v>
      </c>
    </row>
    <row r="67" spans="1:12">
      <c r="A67" s="12" t="str">
        <f ca="1">IFERROR(__xludf.DUMMYFUNCTION("""COMPUTED_VALUE"""),"21-09-2025")</f>
        <v>21-09-2025</v>
      </c>
      <c r="B67" s="13" t="str">
        <f ca="1">IFERROR(__xludf.DUMMYFUNCTION("""COMPUTED_VALUE"""),"Makassar")</f>
        <v>Makassar</v>
      </c>
      <c r="C67" s="13" t="str">
        <f ca="1">IFERROR(__xludf.DUMMYFUNCTION("""COMPUTED_VALUE"""),"P02")</f>
        <v>P02</v>
      </c>
      <c r="D67" s="13">
        <f ca="1">IFERROR(__xludf.DUMMYFUNCTION("""COMPUTED_VALUE"""),4)</f>
        <v>4</v>
      </c>
      <c r="E67" s="14">
        <f ca="1">IFERROR(__xludf.DUMMYFUNCTION("""COMPUTED_VALUE"""),35000)</f>
        <v>35000</v>
      </c>
      <c r="F67" s="14">
        <f ca="1">IFERROR(__xludf.DUMMYFUNCTION("""COMPUTED_VALUE"""),140000)</f>
        <v>140000</v>
      </c>
      <c r="G67" s="13" t="str">
        <f ca="1"/>
        <v>Latte</v>
      </c>
      <c r="H67" s="13" t="str">
        <f ca="1"/>
        <v>Coffee</v>
      </c>
      <c r="I67" s="13">
        <f ca="1">IFERROR(__xludf.DUMMYFUNCTION("""COMPUTED_VALUE"""),21)</f>
        <v>21</v>
      </c>
      <c r="J67" s="13">
        <f ca="1">IFERROR(__xludf.DUMMYFUNCTION("""COMPUTED_VALUE"""),9)</f>
        <v>9</v>
      </c>
      <c r="K67" s="13">
        <f ca="1">IFERROR(__xludf.DUMMYFUNCTION("""COMPUTED_VALUE"""),2025)</f>
        <v>2025</v>
      </c>
      <c r="L67" s="15">
        <f ca="1"/>
        <v>45921</v>
      </c>
    </row>
    <row r="68" spans="1:12">
      <c r="A68" s="12" t="str">
        <f ca="1">IFERROR(__xludf.DUMMYFUNCTION("""COMPUTED_VALUE"""),"27-09-2025")</f>
        <v>27-09-2025</v>
      </c>
      <c r="B68" s="13" t="str">
        <f ca="1">IFERROR(__xludf.DUMMYFUNCTION("""COMPUTED_VALUE"""),"Makassar")</f>
        <v>Makassar</v>
      </c>
      <c r="C68" s="13" t="str">
        <f ca="1">IFERROR(__xludf.DUMMYFUNCTION("""COMPUTED_VALUE"""),"P03")</f>
        <v>P03</v>
      </c>
      <c r="D68" s="13">
        <f ca="1">IFERROR(__xludf.DUMMYFUNCTION("""COMPUTED_VALUE"""),1)</f>
        <v>1</v>
      </c>
      <c r="E68" s="14">
        <f ca="1">IFERROR(__xludf.DUMMYFUNCTION("""COMPUTED_VALUE"""),35000)</f>
        <v>35000</v>
      </c>
      <c r="F68" s="14">
        <f ca="1">IFERROR(__xludf.DUMMYFUNCTION("""COMPUTED_VALUE"""),35000)</f>
        <v>35000</v>
      </c>
      <c r="G68" s="13" t="str">
        <f ca="1"/>
        <v>Espresso</v>
      </c>
      <c r="H68" s="13" t="str">
        <f ca="1"/>
        <v>Coffee</v>
      </c>
      <c r="I68" s="13">
        <f ca="1">IFERROR(__xludf.DUMMYFUNCTION("""COMPUTED_VALUE"""),27)</f>
        <v>27</v>
      </c>
      <c r="J68" s="13">
        <f ca="1">IFERROR(__xludf.DUMMYFUNCTION("""COMPUTED_VALUE"""),9)</f>
        <v>9</v>
      </c>
      <c r="K68" s="13">
        <f ca="1">IFERROR(__xludf.DUMMYFUNCTION("""COMPUTED_VALUE"""),2025)</f>
        <v>2025</v>
      </c>
      <c r="L68" s="15">
        <f ca="1"/>
        <v>45927</v>
      </c>
    </row>
    <row r="69" spans="1:12">
      <c r="A69" s="12" t="str">
        <f ca="1">IFERROR(__xludf.DUMMYFUNCTION("""COMPUTED_VALUE"""),"19-09-2025")</f>
        <v>19-09-2025</v>
      </c>
      <c r="B69" s="13" t="str">
        <f ca="1">IFERROR(__xludf.DUMMYFUNCTION("""COMPUTED_VALUE"""),"Makassar")</f>
        <v>Makassar</v>
      </c>
      <c r="C69" s="13" t="str">
        <f ca="1">IFERROR(__xludf.DUMMYFUNCTION("""COMPUTED_VALUE"""),"P04")</f>
        <v>P04</v>
      </c>
      <c r="D69" s="13">
        <f ca="1">IFERROR(__xludf.DUMMYFUNCTION("""COMPUTED_VALUE"""),1)</f>
        <v>1</v>
      </c>
      <c r="E69" s="14">
        <f ca="1">IFERROR(__xludf.DUMMYFUNCTION("""COMPUTED_VALUE"""),25000)</f>
        <v>25000</v>
      </c>
      <c r="F69" s="14">
        <f ca="1">IFERROR(__xludf.DUMMYFUNCTION("""COMPUTED_VALUE"""),25000)</f>
        <v>25000</v>
      </c>
      <c r="G69" s="13" t="str">
        <f ca="1"/>
        <v>Americano</v>
      </c>
      <c r="H69" s="13" t="str">
        <f ca="1"/>
        <v>Coffee</v>
      </c>
      <c r="I69" s="13">
        <f ca="1">IFERROR(__xludf.DUMMYFUNCTION("""COMPUTED_VALUE"""),19)</f>
        <v>19</v>
      </c>
      <c r="J69" s="13">
        <f ca="1">IFERROR(__xludf.DUMMYFUNCTION("""COMPUTED_VALUE"""),9)</f>
        <v>9</v>
      </c>
      <c r="K69" s="13">
        <f ca="1">IFERROR(__xludf.DUMMYFUNCTION("""COMPUTED_VALUE"""),2025)</f>
        <v>2025</v>
      </c>
      <c r="L69" s="15">
        <f ca="1"/>
        <v>45919</v>
      </c>
    </row>
    <row r="70" spans="1:12">
      <c r="A70" s="12" t="str">
        <f ca="1">IFERROR(__xludf.DUMMYFUNCTION("""COMPUTED_VALUE"""),"25-09-2025")</f>
        <v>25-09-2025</v>
      </c>
      <c r="B70" s="13" t="str">
        <f ca="1">IFERROR(__xludf.DUMMYFUNCTION("""COMPUTED_VALUE"""),"Makassar")</f>
        <v>Makassar</v>
      </c>
      <c r="C70" s="13" t="str">
        <f ca="1">IFERROR(__xludf.DUMMYFUNCTION("""COMPUTED_VALUE"""),"P05")</f>
        <v>P05</v>
      </c>
      <c r="D70" s="13">
        <f ca="1">IFERROR(__xludf.DUMMYFUNCTION("""COMPUTED_VALUE"""),2)</f>
        <v>2</v>
      </c>
      <c r="E70" s="14">
        <f ca="1">IFERROR(__xludf.DUMMYFUNCTION("""COMPUTED_VALUE"""),35000)</f>
        <v>35000</v>
      </c>
      <c r="F70" s="14">
        <f ca="1">IFERROR(__xludf.DUMMYFUNCTION("""COMPUTED_VALUE"""),70000)</f>
        <v>70000</v>
      </c>
      <c r="G70" s="13" t="str">
        <f ca="1"/>
        <v>Mocha</v>
      </c>
      <c r="H70" s="13" t="str">
        <f ca="1"/>
        <v>Chocolate</v>
      </c>
      <c r="I70" s="13">
        <f ca="1">IFERROR(__xludf.DUMMYFUNCTION("""COMPUTED_VALUE"""),25)</f>
        <v>25</v>
      </c>
      <c r="J70" s="13">
        <f ca="1">IFERROR(__xludf.DUMMYFUNCTION("""COMPUTED_VALUE"""),9)</f>
        <v>9</v>
      </c>
      <c r="K70" s="13">
        <f ca="1">IFERROR(__xludf.DUMMYFUNCTION("""COMPUTED_VALUE"""),2025)</f>
        <v>2025</v>
      </c>
      <c r="L70" s="15">
        <f ca="1"/>
        <v>45925</v>
      </c>
    </row>
    <row r="71" spans="1:12">
      <c r="A71" s="12" t="str">
        <f ca="1">IFERROR(__xludf.DUMMYFUNCTION("""COMPUTED_VALUE"""),"10-09-2025")</f>
        <v>10-09-2025</v>
      </c>
      <c r="B71" s="13" t="str">
        <f ca="1">IFERROR(__xludf.DUMMYFUNCTION("""COMPUTED_VALUE"""),"Makassar")</f>
        <v>Makassar</v>
      </c>
      <c r="C71" s="13" t="str">
        <f ca="1">IFERROR(__xludf.DUMMYFUNCTION("""COMPUTED_VALUE"""),"P01")</f>
        <v>P01</v>
      </c>
      <c r="D71" s="13">
        <f ca="1">IFERROR(__xludf.DUMMYFUNCTION("""COMPUTED_VALUE"""),5)</f>
        <v>5</v>
      </c>
      <c r="E71" s="14">
        <f ca="1">IFERROR(__xludf.DUMMYFUNCTION("""COMPUTED_VALUE"""),35000)</f>
        <v>35000</v>
      </c>
      <c r="F71" s="14">
        <f ca="1">IFERROR(__xludf.DUMMYFUNCTION("""COMPUTED_VALUE"""),175000)</f>
        <v>175000</v>
      </c>
      <c r="G71" s="13" t="str">
        <f ca="1"/>
        <v>Cappuccino</v>
      </c>
      <c r="H71" s="13" t="str">
        <f ca="1"/>
        <v>Coffee</v>
      </c>
      <c r="I71" s="13">
        <f ca="1">IFERROR(__xludf.DUMMYFUNCTION("""COMPUTED_VALUE"""),10)</f>
        <v>10</v>
      </c>
      <c r="J71" s="13">
        <f ca="1">IFERROR(__xludf.DUMMYFUNCTION("""COMPUTED_VALUE"""),9)</f>
        <v>9</v>
      </c>
      <c r="K71" s="13">
        <f ca="1">IFERROR(__xludf.DUMMYFUNCTION("""COMPUTED_VALUE"""),2025)</f>
        <v>2025</v>
      </c>
      <c r="L71" s="15">
        <f ca="1"/>
        <v>45910</v>
      </c>
    </row>
    <row r="72" spans="1:12">
      <c r="A72" s="12" t="str">
        <f ca="1">IFERROR(__xludf.DUMMYFUNCTION("""COMPUTED_VALUE"""),"01-09-2025")</f>
        <v>01-09-2025</v>
      </c>
      <c r="B72" s="13" t="str">
        <f ca="1">IFERROR(__xludf.DUMMYFUNCTION("""COMPUTED_VALUE"""),"Makassar")</f>
        <v>Makassar</v>
      </c>
      <c r="C72" s="13" t="str">
        <f ca="1">IFERROR(__xludf.DUMMYFUNCTION("""COMPUTED_VALUE"""),"P02")</f>
        <v>P02</v>
      </c>
      <c r="D72" s="13">
        <f ca="1">IFERROR(__xludf.DUMMYFUNCTION("""COMPUTED_VALUE"""),3)</f>
        <v>3</v>
      </c>
      <c r="E72" s="14">
        <f ca="1">IFERROR(__xludf.DUMMYFUNCTION("""COMPUTED_VALUE"""),20000)</f>
        <v>20000</v>
      </c>
      <c r="F72" s="14">
        <f ca="1">IFERROR(__xludf.DUMMYFUNCTION("""COMPUTED_VALUE"""),60000)</f>
        <v>60000</v>
      </c>
      <c r="G72" s="13" t="str">
        <f ca="1"/>
        <v>Latte</v>
      </c>
      <c r="H72" s="13" t="str">
        <f ca="1"/>
        <v>Coffee</v>
      </c>
      <c r="I72" s="13">
        <f ca="1">IFERROR(__xludf.DUMMYFUNCTION("""COMPUTED_VALUE"""),1)</f>
        <v>1</v>
      </c>
      <c r="J72" s="13">
        <f ca="1">IFERROR(__xludf.DUMMYFUNCTION("""COMPUTED_VALUE"""),9)</f>
        <v>9</v>
      </c>
      <c r="K72" s="13">
        <f ca="1">IFERROR(__xludf.DUMMYFUNCTION("""COMPUTED_VALUE"""),2025)</f>
        <v>2025</v>
      </c>
      <c r="L72" s="15">
        <f ca="1"/>
        <v>45901</v>
      </c>
    </row>
    <row r="73" spans="1:12">
      <c r="A73" s="12" t="str">
        <f ca="1">IFERROR(__xludf.DUMMYFUNCTION("""COMPUTED_VALUE"""),"04-09-2025")</f>
        <v>04-09-2025</v>
      </c>
      <c r="B73" s="13" t="str">
        <f ca="1">IFERROR(__xludf.DUMMYFUNCTION("""COMPUTED_VALUE"""),"Makassar")</f>
        <v>Makassar</v>
      </c>
      <c r="C73" s="13" t="str">
        <f ca="1">IFERROR(__xludf.DUMMYFUNCTION("""COMPUTED_VALUE"""),"P03")</f>
        <v>P03</v>
      </c>
      <c r="D73" s="13">
        <f ca="1">IFERROR(__xludf.DUMMYFUNCTION("""COMPUTED_VALUE"""),1)</f>
        <v>1</v>
      </c>
      <c r="E73" s="14">
        <f ca="1">IFERROR(__xludf.DUMMYFUNCTION("""COMPUTED_VALUE"""),30000)</f>
        <v>30000</v>
      </c>
      <c r="F73" s="14">
        <f ca="1">IFERROR(__xludf.DUMMYFUNCTION("""COMPUTED_VALUE"""),30000)</f>
        <v>30000</v>
      </c>
      <c r="G73" s="13" t="str">
        <f ca="1"/>
        <v>Espresso</v>
      </c>
      <c r="H73" s="13" t="str">
        <f ca="1"/>
        <v>Coffee</v>
      </c>
      <c r="I73" s="13">
        <f ca="1">IFERROR(__xludf.DUMMYFUNCTION("""COMPUTED_VALUE"""),4)</f>
        <v>4</v>
      </c>
      <c r="J73" s="13">
        <f ca="1">IFERROR(__xludf.DUMMYFUNCTION("""COMPUTED_VALUE"""),9)</f>
        <v>9</v>
      </c>
      <c r="K73" s="13">
        <f ca="1">IFERROR(__xludf.DUMMYFUNCTION("""COMPUTED_VALUE"""),2025)</f>
        <v>2025</v>
      </c>
      <c r="L73" s="15">
        <f ca="1"/>
        <v>45904</v>
      </c>
    </row>
    <row r="74" spans="1:12">
      <c r="A74" s="12" t="str">
        <f ca="1">IFERROR(__xludf.DUMMYFUNCTION("""COMPUTED_VALUE"""),"16-09-2025")</f>
        <v>16-09-2025</v>
      </c>
      <c r="B74" s="13" t="str">
        <f ca="1">IFERROR(__xludf.DUMMYFUNCTION("""COMPUTED_VALUE"""),"Makassar")</f>
        <v>Makassar</v>
      </c>
      <c r="C74" s="13" t="str">
        <f ca="1">IFERROR(__xludf.DUMMYFUNCTION("""COMPUTED_VALUE"""),"P04")</f>
        <v>P04</v>
      </c>
      <c r="D74" s="13">
        <f ca="1">IFERROR(__xludf.DUMMYFUNCTION("""COMPUTED_VALUE"""),1)</f>
        <v>1</v>
      </c>
      <c r="E74" s="14">
        <f ca="1">IFERROR(__xludf.DUMMYFUNCTION("""COMPUTED_VALUE"""),35000)</f>
        <v>35000</v>
      </c>
      <c r="F74" s="14">
        <f ca="1">IFERROR(__xludf.DUMMYFUNCTION("""COMPUTED_VALUE"""),35000)</f>
        <v>35000</v>
      </c>
      <c r="G74" s="13" t="str">
        <f ca="1"/>
        <v>Americano</v>
      </c>
      <c r="H74" s="13" t="str">
        <f ca="1"/>
        <v>Coffee</v>
      </c>
      <c r="I74" s="13">
        <f ca="1">IFERROR(__xludf.DUMMYFUNCTION("""COMPUTED_VALUE"""),16)</f>
        <v>16</v>
      </c>
      <c r="J74" s="13">
        <f ca="1">IFERROR(__xludf.DUMMYFUNCTION("""COMPUTED_VALUE"""),9)</f>
        <v>9</v>
      </c>
      <c r="K74" s="13">
        <f ca="1">IFERROR(__xludf.DUMMYFUNCTION("""COMPUTED_VALUE"""),2025)</f>
        <v>2025</v>
      </c>
      <c r="L74" s="15">
        <f ca="1"/>
        <v>45916</v>
      </c>
    </row>
    <row r="75" spans="1:12">
      <c r="A75" s="12" t="str">
        <f ca="1">IFERROR(__xludf.DUMMYFUNCTION("""COMPUTED_VALUE"""),"24-09-2025")</f>
        <v>24-09-2025</v>
      </c>
      <c r="B75" s="13" t="str">
        <f ca="1">IFERROR(__xludf.DUMMYFUNCTION("""COMPUTED_VALUE"""),"Makassar")</f>
        <v>Makassar</v>
      </c>
      <c r="C75" s="13" t="str">
        <f ca="1">IFERROR(__xludf.DUMMYFUNCTION("""COMPUTED_VALUE"""),"P05")</f>
        <v>P05</v>
      </c>
      <c r="D75" s="13">
        <f ca="1">IFERROR(__xludf.DUMMYFUNCTION("""COMPUTED_VALUE"""),1)</f>
        <v>1</v>
      </c>
      <c r="E75" s="14">
        <f ca="1">IFERROR(__xludf.DUMMYFUNCTION("""COMPUTED_VALUE"""),30000)</f>
        <v>30000</v>
      </c>
      <c r="F75" s="14">
        <f ca="1">IFERROR(__xludf.DUMMYFUNCTION("""COMPUTED_VALUE"""),30000)</f>
        <v>30000</v>
      </c>
      <c r="G75" s="13" t="str">
        <f ca="1"/>
        <v>Mocha</v>
      </c>
      <c r="H75" s="13" t="str">
        <f ca="1"/>
        <v>Chocolate</v>
      </c>
      <c r="I75" s="13">
        <f ca="1">IFERROR(__xludf.DUMMYFUNCTION("""COMPUTED_VALUE"""),24)</f>
        <v>24</v>
      </c>
      <c r="J75" s="13">
        <f ca="1">IFERROR(__xludf.DUMMYFUNCTION("""COMPUTED_VALUE"""),9)</f>
        <v>9</v>
      </c>
      <c r="K75" s="13">
        <f ca="1">IFERROR(__xludf.DUMMYFUNCTION("""COMPUTED_VALUE"""),2025)</f>
        <v>2025</v>
      </c>
      <c r="L75" s="15">
        <f ca="1"/>
        <v>45924</v>
      </c>
    </row>
    <row r="76" spans="1:12">
      <c r="A76" s="12" t="str">
        <f ca="1">IFERROR(__xludf.DUMMYFUNCTION("""COMPUTED_VALUE"""),"22-09-2025")</f>
        <v>22-09-2025</v>
      </c>
      <c r="B76" s="13" t="str">
        <f ca="1">IFERROR(__xludf.DUMMYFUNCTION("""COMPUTED_VALUE"""),"Makassar")</f>
        <v>Makassar</v>
      </c>
      <c r="C76" s="13" t="str">
        <f ca="1">IFERROR(__xludf.DUMMYFUNCTION("""COMPUTED_VALUE"""),"P01")</f>
        <v>P01</v>
      </c>
      <c r="D76" s="13">
        <f ca="1">IFERROR(__xludf.DUMMYFUNCTION("""COMPUTED_VALUE"""),1)</f>
        <v>1</v>
      </c>
      <c r="E76" s="14">
        <f ca="1">IFERROR(__xludf.DUMMYFUNCTION("""COMPUTED_VALUE"""),28000)</f>
        <v>28000</v>
      </c>
      <c r="F76" s="14">
        <f ca="1">IFERROR(__xludf.DUMMYFUNCTION("""COMPUTED_VALUE"""),28000)</f>
        <v>28000</v>
      </c>
      <c r="G76" s="13" t="str">
        <f ca="1"/>
        <v>Cappuccino</v>
      </c>
      <c r="H76" s="13" t="str">
        <f ca="1"/>
        <v>Coffee</v>
      </c>
      <c r="I76" s="13">
        <f ca="1">IFERROR(__xludf.DUMMYFUNCTION("""COMPUTED_VALUE"""),22)</f>
        <v>22</v>
      </c>
      <c r="J76" s="13">
        <f ca="1">IFERROR(__xludf.DUMMYFUNCTION("""COMPUTED_VALUE"""),9)</f>
        <v>9</v>
      </c>
      <c r="K76" s="13">
        <f ca="1">IFERROR(__xludf.DUMMYFUNCTION("""COMPUTED_VALUE"""),2025)</f>
        <v>2025</v>
      </c>
      <c r="L76" s="15">
        <f ca="1"/>
        <v>45922</v>
      </c>
    </row>
    <row r="77" spans="1:12">
      <c r="A77" s="12" t="str">
        <f ca="1">IFERROR(__xludf.DUMMYFUNCTION("""COMPUTED_VALUE"""),"14-09-2025")</f>
        <v>14-09-2025</v>
      </c>
      <c r="B77" s="13" t="str">
        <f ca="1">IFERROR(__xludf.DUMMYFUNCTION("""COMPUTED_VALUE"""),"Makassar")</f>
        <v>Makassar</v>
      </c>
      <c r="C77" s="13" t="str">
        <f ca="1">IFERROR(__xludf.DUMMYFUNCTION("""COMPUTED_VALUE"""),"P02")</f>
        <v>P02</v>
      </c>
      <c r="D77" s="13">
        <f ca="1">IFERROR(__xludf.DUMMYFUNCTION("""COMPUTED_VALUE"""),4)</f>
        <v>4</v>
      </c>
      <c r="E77" s="14">
        <f ca="1">IFERROR(__xludf.DUMMYFUNCTION("""COMPUTED_VALUE"""),35000)</f>
        <v>35000</v>
      </c>
      <c r="F77" s="14">
        <f ca="1">IFERROR(__xludf.DUMMYFUNCTION("""COMPUTED_VALUE"""),140000)</f>
        <v>140000</v>
      </c>
      <c r="G77" s="13" t="str">
        <f ca="1"/>
        <v>Latte</v>
      </c>
      <c r="H77" s="13" t="str">
        <f ca="1"/>
        <v>Coffee</v>
      </c>
      <c r="I77" s="13">
        <f ca="1">IFERROR(__xludf.DUMMYFUNCTION("""COMPUTED_VALUE"""),14)</f>
        <v>14</v>
      </c>
      <c r="J77" s="13">
        <f ca="1">IFERROR(__xludf.DUMMYFUNCTION("""COMPUTED_VALUE"""),9)</f>
        <v>9</v>
      </c>
      <c r="K77" s="13">
        <f ca="1">IFERROR(__xludf.DUMMYFUNCTION("""COMPUTED_VALUE"""),2025)</f>
        <v>2025</v>
      </c>
      <c r="L77" s="15">
        <f ca="1"/>
        <v>45914</v>
      </c>
    </row>
    <row r="78" spans="1:12">
      <c r="A78" s="12" t="str">
        <f ca="1">IFERROR(__xludf.DUMMYFUNCTION("""COMPUTED_VALUE"""),"16-09-2025")</f>
        <v>16-09-2025</v>
      </c>
      <c r="B78" s="13" t="str">
        <f ca="1">IFERROR(__xludf.DUMMYFUNCTION("""COMPUTED_VALUE"""),"Makassar")</f>
        <v>Makassar</v>
      </c>
      <c r="C78" s="13" t="str">
        <f ca="1">IFERROR(__xludf.DUMMYFUNCTION("""COMPUTED_VALUE"""),"P03")</f>
        <v>P03</v>
      </c>
      <c r="D78" s="13">
        <f ca="1">IFERROR(__xludf.DUMMYFUNCTION("""COMPUTED_VALUE"""),1)</f>
        <v>1</v>
      </c>
      <c r="E78" s="14">
        <f ca="1">IFERROR(__xludf.DUMMYFUNCTION("""COMPUTED_VALUE"""),25000)</f>
        <v>25000</v>
      </c>
      <c r="F78" s="14">
        <f ca="1">IFERROR(__xludf.DUMMYFUNCTION("""COMPUTED_VALUE"""),25000)</f>
        <v>25000</v>
      </c>
      <c r="G78" s="13" t="str">
        <f ca="1"/>
        <v>Espresso</v>
      </c>
      <c r="H78" s="13" t="str">
        <f ca="1"/>
        <v>Coffee</v>
      </c>
      <c r="I78" s="13">
        <f ca="1">IFERROR(__xludf.DUMMYFUNCTION("""COMPUTED_VALUE"""),16)</f>
        <v>16</v>
      </c>
      <c r="J78" s="13">
        <f ca="1">IFERROR(__xludf.DUMMYFUNCTION("""COMPUTED_VALUE"""),9)</f>
        <v>9</v>
      </c>
      <c r="K78" s="13">
        <f ca="1">IFERROR(__xludf.DUMMYFUNCTION("""COMPUTED_VALUE"""),2025)</f>
        <v>2025</v>
      </c>
      <c r="L78" s="15">
        <f ca="1"/>
        <v>45916</v>
      </c>
    </row>
    <row r="79" spans="1:12">
      <c r="A79" s="12" t="str">
        <f ca="1">IFERROR(__xludf.DUMMYFUNCTION("""COMPUTED_VALUE"""),"25-09-2025")</f>
        <v>25-09-2025</v>
      </c>
      <c r="B79" s="13" t="str">
        <f ca="1">IFERROR(__xludf.DUMMYFUNCTION("""COMPUTED_VALUE"""),"Makassar")</f>
        <v>Makassar</v>
      </c>
      <c r="C79" s="13" t="str">
        <f ca="1">IFERROR(__xludf.DUMMYFUNCTION("""COMPUTED_VALUE"""),"P04")</f>
        <v>P04</v>
      </c>
      <c r="D79" s="13">
        <f ca="1">IFERROR(__xludf.DUMMYFUNCTION("""COMPUTED_VALUE"""),1)</f>
        <v>1</v>
      </c>
      <c r="E79" s="14">
        <f ca="1">IFERROR(__xludf.DUMMYFUNCTION("""COMPUTED_VALUE"""),35000)</f>
        <v>35000</v>
      </c>
      <c r="F79" s="14">
        <f ca="1">IFERROR(__xludf.DUMMYFUNCTION("""COMPUTED_VALUE"""),35000)</f>
        <v>35000</v>
      </c>
      <c r="G79" s="13" t="str">
        <f ca="1"/>
        <v>Americano</v>
      </c>
      <c r="H79" s="13" t="str">
        <f ca="1"/>
        <v>Coffee</v>
      </c>
      <c r="I79" s="13">
        <f ca="1">IFERROR(__xludf.DUMMYFUNCTION("""COMPUTED_VALUE"""),25)</f>
        <v>25</v>
      </c>
      <c r="J79" s="13">
        <f ca="1">IFERROR(__xludf.DUMMYFUNCTION("""COMPUTED_VALUE"""),9)</f>
        <v>9</v>
      </c>
      <c r="K79" s="13">
        <f ca="1">IFERROR(__xludf.DUMMYFUNCTION("""COMPUTED_VALUE"""),2025)</f>
        <v>2025</v>
      </c>
      <c r="L79" s="15">
        <f ca="1"/>
        <v>45925</v>
      </c>
    </row>
    <row r="80" spans="1:12">
      <c r="A80" s="12" t="str">
        <f ca="1">IFERROR(__xludf.DUMMYFUNCTION("""COMPUTED_VALUE"""),"24-09-2025")</f>
        <v>24-09-2025</v>
      </c>
      <c r="B80" s="13" t="str">
        <f ca="1">IFERROR(__xludf.DUMMYFUNCTION("""COMPUTED_VALUE"""),"Makassar")</f>
        <v>Makassar</v>
      </c>
      <c r="C80" s="13" t="str">
        <f ca="1">IFERROR(__xludf.DUMMYFUNCTION("""COMPUTED_VALUE"""),"P05")</f>
        <v>P05</v>
      </c>
      <c r="D80" s="13">
        <f ca="1">IFERROR(__xludf.DUMMYFUNCTION("""COMPUTED_VALUE"""),3)</f>
        <v>3</v>
      </c>
      <c r="E80" s="14">
        <f ca="1">IFERROR(__xludf.DUMMYFUNCTION("""COMPUTED_VALUE"""),20000)</f>
        <v>20000</v>
      </c>
      <c r="F80" s="14">
        <f ca="1">IFERROR(__xludf.DUMMYFUNCTION("""COMPUTED_VALUE"""),60000)</f>
        <v>60000</v>
      </c>
      <c r="G80" s="13" t="str">
        <f ca="1"/>
        <v>Mocha</v>
      </c>
      <c r="H80" s="13" t="str">
        <f ca="1"/>
        <v>Chocolate</v>
      </c>
      <c r="I80" s="13">
        <f ca="1">IFERROR(__xludf.DUMMYFUNCTION("""COMPUTED_VALUE"""),24)</f>
        <v>24</v>
      </c>
      <c r="J80" s="13">
        <f ca="1">IFERROR(__xludf.DUMMYFUNCTION("""COMPUTED_VALUE"""),9)</f>
        <v>9</v>
      </c>
      <c r="K80" s="13">
        <f ca="1">IFERROR(__xludf.DUMMYFUNCTION("""COMPUTED_VALUE"""),2025)</f>
        <v>2025</v>
      </c>
      <c r="L80" s="15">
        <f ca="1"/>
        <v>45924</v>
      </c>
    </row>
    <row r="81" spans="1:12">
      <c r="A81" s="12" t="str">
        <f ca="1">IFERROR(__xludf.DUMMYFUNCTION("""COMPUTED_VALUE"""),"21-09-2025")</f>
        <v>21-09-2025</v>
      </c>
      <c r="B81" s="13" t="str">
        <f ca="1">IFERROR(__xludf.DUMMYFUNCTION("""COMPUTED_VALUE"""),"Makassar")</f>
        <v>Makassar</v>
      </c>
      <c r="C81" s="13" t="str">
        <f ca="1">IFERROR(__xludf.DUMMYFUNCTION("""COMPUTED_VALUE"""),"P01")</f>
        <v>P01</v>
      </c>
      <c r="D81" s="13">
        <f ca="1">IFERROR(__xludf.DUMMYFUNCTION("""COMPUTED_VALUE"""),1)</f>
        <v>1</v>
      </c>
      <c r="E81" s="14">
        <f ca="1">IFERROR(__xludf.DUMMYFUNCTION("""COMPUTED_VALUE"""),20000)</f>
        <v>20000</v>
      </c>
      <c r="F81" s="14">
        <f ca="1">IFERROR(__xludf.DUMMYFUNCTION("""COMPUTED_VALUE"""),20000)</f>
        <v>20000</v>
      </c>
      <c r="G81" s="13" t="str">
        <f ca="1"/>
        <v>Cappuccino</v>
      </c>
      <c r="H81" s="13" t="str">
        <f ca="1"/>
        <v>Coffee</v>
      </c>
      <c r="I81" s="13">
        <f ca="1">IFERROR(__xludf.DUMMYFUNCTION("""COMPUTED_VALUE"""),21)</f>
        <v>21</v>
      </c>
      <c r="J81" s="13">
        <f ca="1">IFERROR(__xludf.DUMMYFUNCTION("""COMPUTED_VALUE"""),9)</f>
        <v>9</v>
      </c>
      <c r="K81" s="13">
        <f ca="1">IFERROR(__xludf.DUMMYFUNCTION("""COMPUTED_VALUE"""),2025)</f>
        <v>2025</v>
      </c>
      <c r="L81" s="15">
        <f ca="1"/>
        <v>45921</v>
      </c>
    </row>
    <row r="82" spans="1:12">
      <c r="A82" s="12" t="str">
        <f ca="1">IFERROR(__xludf.DUMMYFUNCTION("""COMPUTED_VALUE"""),"11-09-2025")</f>
        <v>11-09-2025</v>
      </c>
      <c r="B82" s="13" t="str">
        <f ca="1">IFERROR(__xludf.DUMMYFUNCTION("""COMPUTED_VALUE"""),"Makassar")</f>
        <v>Makassar</v>
      </c>
      <c r="C82" s="13" t="str">
        <f ca="1">IFERROR(__xludf.DUMMYFUNCTION("""COMPUTED_VALUE"""),"P02")</f>
        <v>P02</v>
      </c>
      <c r="D82" s="13">
        <f ca="1">IFERROR(__xludf.DUMMYFUNCTION("""COMPUTED_VALUE"""),3)</f>
        <v>3</v>
      </c>
      <c r="E82" s="14">
        <f ca="1">IFERROR(__xludf.DUMMYFUNCTION("""COMPUTED_VALUE"""),35000)</f>
        <v>35000</v>
      </c>
      <c r="F82" s="14">
        <f ca="1">IFERROR(__xludf.DUMMYFUNCTION("""COMPUTED_VALUE"""),105000)</f>
        <v>105000</v>
      </c>
      <c r="G82" s="13" t="str">
        <f ca="1"/>
        <v>Latte</v>
      </c>
      <c r="H82" s="13" t="str">
        <f ca="1"/>
        <v>Coffee</v>
      </c>
      <c r="I82" s="13">
        <f ca="1">IFERROR(__xludf.DUMMYFUNCTION("""COMPUTED_VALUE"""),11)</f>
        <v>11</v>
      </c>
      <c r="J82" s="13">
        <f ca="1">IFERROR(__xludf.DUMMYFUNCTION("""COMPUTED_VALUE"""),9)</f>
        <v>9</v>
      </c>
      <c r="K82" s="13">
        <f ca="1">IFERROR(__xludf.DUMMYFUNCTION("""COMPUTED_VALUE"""),2025)</f>
        <v>2025</v>
      </c>
      <c r="L82" s="15">
        <f ca="1"/>
        <v>45911</v>
      </c>
    </row>
    <row r="83" spans="1:12">
      <c r="A83" s="12" t="str">
        <f ca="1">IFERROR(__xludf.DUMMYFUNCTION("""COMPUTED_VALUE"""),"04-09-2025")</f>
        <v>04-09-2025</v>
      </c>
      <c r="B83" s="13" t="str">
        <f ca="1">IFERROR(__xludf.DUMMYFUNCTION("""COMPUTED_VALUE"""),"Makassar")</f>
        <v>Makassar</v>
      </c>
      <c r="C83" s="13" t="str">
        <f ca="1">IFERROR(__xludf.DUMMYFUNCTION("""COMPUTED_VALUE"""),"P03")</f>
        <v>P03</v>
      </c>
      <c r="D83" s="13">
        <f ca="1">IFERROR(__xludf.DUMMYFUNCTION("""COMPUTED_VALUE"""),2)</f>
        <v>2</v>
      </c>
      <c r="E83" s="14">
        <f ca="1">IFERROR(__xludf.DUMMYFUNCTION("""COMPUTED_VALUE"""),25000)</f>
        <v>25000</v>
      </c>
      <c r="F83" s="14">
        <f ca="1">IFERROR(__xludf.DUMMYFUNCTION("""COMPUTED_VALUE"""),50000)</f>
        <v>50000</v>
      </c>
      <c r="G83" s="13" t="str">
        <f ca="1"/>
        <v>Espresso</v>
      </c>
      <c r="H83" s="13" t="str">
        <f ca="1"/>
        <v>Coffee</v>
      </c>
      <c r="I83" s="13">
        <f ca="1">IFERROR(__xludf.DUMMYFUNCTION("""COMPUTED_VALUE"""),4)</f>
        <v>4</v>
      </c>
      <c r="J83" s="13">
        <f ca="1">IFERROR(__xludf.DUMMYFUNCTION("""COMPUTED_VALUE"""),9)</f>
        <v>9</v>
      </c>
      <c r="K83" s="13">
        <f ca="1">IFERROR(__xludf.DUMMYFUNCTION("""COMPUTED_VALUE"""),2025)</f>
        <v>2025</v>
      </c>
      <c r="L83" s="15">
        <f ca="1"/>
        <v>45904</v>
      </c>
    </row>
    <row r="84" spans="1:12">
      <c r="A84" s="12" t="str">
        <f ca="1">IFERROR(__xludf.DUMMYFUNCTION("""COMPUTED_VALUE"""),"04-09-2025")</f>
        <v>04-09-2025</v>
      </c>
      <c r="B84" s="13" t="str">
        <f ca="1">IFERROR(__xludf.DUMMYFUNCTION("""COMPUTED_VALUE"""),"Makassar")</f>
        <v>Makassar</v>
      </c>
      <c r="C84" s="13" t="str">
        <f ca="1">IFERROR(__xludf.DUMMYFUNCTION("""COMPUTED_VALUE"""),"P04")</f>
        <v>P04</v>
      </c>
      <c r="D84" s="13">
        <f ca="1">IFERROR(__xludf.DUMMYFUNCTION("""COMPUTED_VALUE"""),3)</f>
        <v>3</v>
      </c>
      <c r="E84" s="14">
        <f ca="1">IFERROR(__xludf.DUMMYFUNCTION("""COMPUTED_VALUE"""),25000)</f>
        <v>25000</v>
      </c>
      <c r="F84" s="14">
        <f ca="1">IFERROR(__xludf.DUMMYFUNCTION("""COMPUTED_VALUE"""),75000)</f>
        <v>75000</v>
      </c>
      <c r="G84" s="13" t="str">
        <f ca="1"/>
        <v>Americano</v>
      </c>
      <c r="H84" s="13" t="str">
        <f ca="1"/>
        <v>Coffee</v>
      </c>
      <c r="I84" s="13">
        <f ca="1">IFERROR(__xludf.DUMMYFUNCTION("""COMPUTED_VALUE"""),4)</f>
        <v>4</v>
      </c>
      <c r="J84" s="13">
        <f ca="1">IFERROR(__xludf.DUMMYFUNCTION("""COMPUTED_VALUE"""),9)</f>
        <v>9</v>
      </c>
      <c r="K84" s="13">
        <f ca="1">IFERROR(__xludf.DUMMYFUNCTION("""COMPUTED_VALUE"""),2025)</f>
        <v>2025</v>
      </c>
      <c r="L84" s="15">
        <f ca="1"/>
        <v>45904</v>
      </c>
    </row>
    <row r="85" spans="1:12">
      <c r="A85" s="12" t="str">
        <f ca="1">IFERROR(__xludf.DUMMYFUNCTION("""COMPUTED_VALUE"""),"03-09-2025")</f>
        <v>03-09-2025</v>
      </c>
      <c r="B85" s="13" t="str">
        <f ca="1">IFERROR(__xludf.DUMMYFUNCTION("""COMPUTED_VALUE"""),"Makassar")</f>
        <v>Makassar</v>
      </c>
      <c r="C85" s="13" t="str">
        <f ca="1">IFERROR(__xludf.DUMMYFUNCTION("""COMPUTED_VALUE"""),"P05")</f>
        <v>P05</v>
      </c>
      <c r="D85" s="13">
        <f ca="1">IFERROR(__xludf.DUMMYFUNCTION("""COMPUTED_VALUE"""),2)</f>
        <v>2</v>
      </c>
      <c r="E85" s="14">
        <f ca="1">IFERROR(__xludf.DUMMYFUNCTION("""COMPUTED_VALUE"""),30000)</f>
        <v>30000</v>
      </c>
      <c r="F85" s="14">
        <f ca="1">IFERROR(__xludf.DUMMYFUNCTION("""COMPUTED_VALUE"""),60000)</f>
        <v>60000</v>
      </c>
      <c r="G85" s="13" t="str">
        <f ca="1"/>
        <v>Mocha</v>
      </c>
      <c r="H85" s="13" t="str">
        <f ca="1"/>
        <v>Chocolate</v>
      </c>
      <c r="I85" s="13">
        <f ca="1">IFERROR(__xludf.DUMMYFUNCTION("""COMPUTED_VALUE"""),3)</f>
        <v>3</v>
      </c>
      <c r="J85" s="13">
        <f ca="1">IFERROR(__xludf.DUMMYFUNCTION("""COMPUTED_VALUE"""),9)</f>
        <v>9</v>
      </c>
      <c r="K85" s="13">
        <f ca="1">IFERROR(__xludf.DUMMYFUNCTION("""COMPUTED_VALUE"""),2025)</f>
        <v>2025</v>
      </c>
      <c r="L85" s="15">
        <f ca="1"/>
        <v>45903</v>
      </c>
    </row>
    <row r="86" spans="1:12">
      <c r="A86" s="12" t="str">
        <f ca="1">IFERROR(__xludf.DUMMYFUNCTION("""COMPUTED_VALUE"""),"11-09-2025")</f>
        <v>11-09-2025</v>
      </c>
      <c r="B86" s="13" t="str">
        <f ca="1">IFERROR(__xludf.DUMMYFUNCTION("""COMPUTED_VALUE"""),"Makassar")</f>
        <v>Makassar</v>
      </c>
      <c r="C86" s="13" t="str">
        <f ca="1">IFERROR(__xludf.DUMMYFUNCTION("""COMPUTED_VALUE"""),"P03")</f>
        <v>P03</v>
      </c>
      <c r="D86" s="13">
        <f ca="1">IFERROR(__xludf.DUMMYFUNCTION("""COMPUTED_VALUE"""),3)</f>
        <v>3</v>
      </c>
      <c r="E86" s="14">
        <f ca="1">IFERROR(__xludf.DUMMYFUNCTION("""COMPUTED_VALUE"""),30000)</f>
        <v>30000</v>
      </c>
      <c r="F86" s="14">
        <f ca="1">IFERROR(__xludf.DUMMYFUNCTION("""COMPUTED_VALUE"""),90000)</f>
        <v>90000</v>
      </c>
      <c r="G86" s="13" t="str">
        <f ca="1"/>
        <v>Espresso</v>
      </c>
      <c r="H86" s="13" t="str">
        <f ca="1"/>
        <v>Coffee</v>
      </c>
      <c r="I86" s="13">
        <f ca="1">IFERROR(__xludf.DUMMYFUNCTION("""COMPUTED_VALUE"""),11)</f>
        <v>11</v>
      </c>
      <c r="J86" s="13">
        <f ca="1">IFERROR(__xludf.DUMMYFUNCTION("""COMPUTED_VALUE"""),9)</f>
        <v>9</v>
      </c>
      <c r="K86" s="13">
        <f ca="1">IFERROR(__xludf.DUMMYFUNCTION("""COMPUTED_VALUE"""),2025)</f>
        <v>2025</v>
      </c>
      <c r="L86" s="15">
        <f ca="1"/>
        <v>45911</v>
      </c>
    </row>
    <row r="87" spans="1:12">
      <c r="A87" s="12" t="str">
        <f ca="1">IFERROR(__xludf.DUMMYFUNCTION("""COMPUTED_VALUE"""),"13-09-2025")</f>
        <v>13-09-2025</v>
      </c>
      <c r="B87" s="13" t="str">
        <f ca="1">IFERROR(__xludf.DUMMYFUNCTION("""COMPUTED_VALUE"""),"Makassar")</f>
        <v>Makassar</v>
      </c>
      <c r="C87" s="13" t="str">
        <f ca="1">IFERROR(__xludf.DUMMYFUNCTION("""COMPUTED_VALUE"""),"P04")</f>
        <v>P04</v>
      </c>
      <c r="D87" s="13">
        <f ca="1">IFERROR(__xludf.DUMMYFUNCTION("""COMPUTED_VALUE"""),2)</f>
        <v>2</v>
      </c>
      <c r="E87" s="14">
        <f ca="1">IFERROR(__xludf.DUMMYFUNCTION("""COMPUTED_VALUE"""),20000)</f>
        <v>20000</v>
      </c>
      <c r="F87" s="14">
        <f ca="1">IFERROR(__xludf.DUMMYFUNCTION("""COMPUTED_VALUE"""),40000)</f>
        <v>40000</v>
      </c>
      <c r="G87" s="13" t="str">
        <f ca="1"/>
        <v>Americano</v>
      </c>
      <c r="H87" s="13" t="str">
        <f ca="1"/>
        <v>Coffee</v>
      </c>
      <c r="I87" s="13">
        <f ca="1">IFERROR(__xludf.DUMMYFUNCTION("""COMPUTED_VALUE"""),13)</f>
        <v>13</v>
      </c>
      <c r="J87" s="13">
        <f ca="1">IFERROR(__xludf.DUMMYFUNCTION("""COMPUTED_VALUE"""),9)</f>
        <v>9</v>
      </c>
      <c r="K87" s="13">
        <f ca="1">IFERROR(__xludf.DUMMYFUNCTION("""COMPUTED_VALUE"""),2025)</f>
        <v>2025</v>
      </c>
      <c r="L87" s="15">
        <f ca="1"/>
        <v>45913</v>
      </c>
    </row>
    <row r="88" spans="1:12">
      <c r="A88" s="12" t="str">
        <f ca="1">IFERROR(__xludf.DUMMYFUNCTION("""COMPUTED_VALUE"""),"07-09-2025")</f>
        <v>07-09-2025</v>
      </c>
      <c r="B88" s="13" t="str">
        <f ca="1">IFERROR(__xludf.DUMMYFUNCTION("""COMPUTED_VALUE"""),"Makassar")</f>
        <v>Makassar</v>
      </c>
      <c r="C88" s="13" t="str">
        <f ca="1">IFERROR(__xludf.DUMMYFUNCTION("""COMPUTED_VALUE"""),"P05")</f>
        <v>P05</v>
      </c>
      <c r="D88" s="13">
        <f ca="1">IFERROR(__xludf.DUMMYFUNCTION("""COMPUTED_VALUE"""),1)</f>
        <v>1</v>
      </c>
      <c r="E88" s="14">
        <f ca="1">IFERROR(__xludf.DUMMYFUNCTION("""COMPUTED_VALUE"""),20000)</f>
        <v>20000</v>
      </c>
      <c r="F88" s="14">
        <f ca="1">IFERROR(__xludf.DUMMYFUNCTION("""COMPUTED_VALUE"""),20000)</f>
        <v>20000</v>
      </c>
      <c r="G88" s="13" t="str">
        <f ca="1"/>
        <v>Mocha</v>
      </c>
      <c r="H88" s="13" t="str">
        <f ca="1"/>
        <v>Chocolate</v>
      </c>
      <c r="I88" s="13">
        <f ca="1">IFERROR(__xludf.DUMMYFUNCTION("""COMPUTED_VALUE"""),7)</f>
        <v>7</v>
      </c>
      <c r="J88" s="13">
        <f ca="1">IFERROR(__xludf.DUMMYFUNCTION("""COMPUTED_VALUE"""),9)</f>
        <v>9</v>
      </c>
      <c r="K88" s="13">
        <f ca="1">IFERROR(__xludf.DUMMYFUNCTION("""COMPUTED_VALUE"""),2025)</f>
        <v>2025</v>
      </c>
      <c r="L88" s="15">
        <f ca="1"/>
        <v>45907</v>
      </c>
    </row>
    <row r="89" spans="1:12">
      <c r="A89" s="12" t="str">
        <f ca="1">IFERROR(__xludf.DUMMYFUNCTION("""COMPUTED_VALUE"""),"25-09-2025")</f>
        <v>25-09-2025</v>
      </c>
      <c r="B89" s="13" t="str">
        <f ca="1">IFERROR(__xludf.DUMMYFUNCTION("""COMPUTED_VALUE"""),"Makassar")</f>
        <v>Makassar</v>
      </c>
      <c r="C89" s="13" t="str">
        <f ca="1">IFERROR(__xludf.DUMMYFUNCTION("""COMPUTED_VALUE"""),"P04")</f>
        <v>P04</v>
      </c>
      <c r="D89" s="13">
        <f ca="1">IFERROR(__xludf.DUMMYFUNCTION("""COMPUTED_VALUE"""),1)</f>
        <v>1</v>
      </c>
      <c r="E89" s="14">
        <f ca="1">IFERROR(__xludf.DUMMYFUNCTION("""COMPUTED_VALUE"""),20000)</f>
        <v>20000</v>
      </c>
      <c r="F89" s="14">
        <f ca="1">IFERROR(__xludf.DUMMYFUNCTION("""COMPUTED_VALUE"""),20000)</f>
        <v>20000</v>
      </c>
      <c r="G89" s="13" t="str">
        <f ca="1"/>
        <v>Americano</v>
      </c>
      <c r="H89" s="13" t="str">
        <f ca="1"/>
        <v>Coffee</v>
      </c>
      <c r="I89" s="13">
        <f ca="1">IFERROR(__xludf.DUMMYFUNCTION("""COMPUTED_VALUE"""),25)</f>
        <v>25</v>
      </c>
      <c r="J89" s="13">
        <f ca="1">IFERROR(__xludf.DUMMYFUNCTION("""COMPUTED_VALUE"""),9)</f>
        <v>9</v>
      </c>
      <c r="K89" s="13">
        <f ca="1">IFERROR(__xludf.DUMMYFUNCTION("""COMPUTED_VALUE"""),2025)</f>
        <v>2025</v>
      </c>
      <c r="L89" s="15">
        <f ca="1"/>
        <v>45925</v>
      </c>
    </row>
    <row r="90" spans="1:12">
      <c r="A90" s="12" t="str">
        <f ca="1">IFERROR(__xludf.DUMMYFUNCTION("""COMPUTED_VALUE"""),"27-09-2025")</f>
        <v>27-09-2025</v>
      </c>
      <c r="B90" s="13" t="str">
        <f ca="1">IFERROR(__xludf.DUMMYFUNCTION("""COMPUTED_VALUE"""),"Makassar")</f>
        <v>Makassar</v>
      </c>
      <c r="C90" s="13" t="str">
        <f ca="1">IFERROR(__xludf.DUMMYFUNCTION("""COMPUTED_VALUE"""),"P05")</f>
        <v>P05</v>
      </c>
      <c r="D90" s="13">
        <f ca="1">IFERROR(__xludf.DUMMYFUNCTION("""COMPUTED_VALUE"""),5)</f>
        <v>5</v>
      </c>
      <c r="E90" s="14">
        <f ca="1">IFERROR(__xludf.DUMMYFUNCTION("""COMPUTED_VALUE"""),25000)</f>
        <v>25000</v>
      </c>
      <c r="F90" s="14">
        <f ca="1">IFERROR(__xludf.DUMMYFUNCTION("""COMPUTED_VALUE"""),125000)</f>
        <v>125000</v>
      </c>
      <c r="G90" s="13" t="str">
        <f ca="1"/>
        <v>Mocha</v>
      </c>
      <c r="H90" s="13" t="str">
        <f ca="1"/>
        <v>Chocolate</v>
      </c>
      <c r="I90" s="13">
        <f ca="1">IFERROR(__xludf.DUMMYFUNCTION("""COMPUTED_VALUE"""),27)</f>
        <v>27</v>
      </c>
      <c r="J90" s="13">
        <f ca="1">IFERROR(__xludf.DUMMYFUNCTION("""COMPUTED_VALUE"""),9)</f>
        <v>9</v>
      </c>
      <c r="K90" s="13">
        <f ca="1">IFERROR(__xludf.DUMMYFUNCTION("""COMPUTED_VALUE"""),2025)</f>
        <v>2025</v>
      </c>
      <c r="L90" s="15">
        <f ca="1"/>
        <v>45927</v>
      </c>
    </row>
    <row r="91" spans="1:12">
      <c r="A91" s="12" t="str">
        <f ca="1">IFERROR(__xludf.DUMMYFUNCTION("""COMPUTED_VALUE"""),"05-09-2025")</f>
        <v>05-09-2025</v>
      </c>
      <c r="B91" s="13" t="str">
        <f ca="1">IFERROR(__xludf.DUMMYFUNCTION("""COMPUTED_VALUE"""),"Makassar")</f>
        <v>Makassar</v>
      </c>
      <c r="C91" s="13" t="str">
        <f ca="1">IFERROR(__xludf.DUMMYFUNCTION("""COMPUTED_VALUE"""),"P03")</f>
        <v>P03</v>
      </c>
      <c r="D91" s="13">
        <f ca="1">IFERROR(__xludf.DUMMYFUNCTION("""COMPUTED_VALUE"""),4)</f>
        <v>4</v>
      </c>
      <c r="E91" s="14">
        <f ca="1">IFERROR(__xludf.DUMMYFUNCTION("""COMPUTED_VALUE"""),28000)</f>
        <v>28000</v>
      </c>
      <c r="F91" s="14">
        <f ca="1">IFERROR(__xludf.DUMMYFUNCTION("""COMPUTED_VALUE"""),112000)</f>
        <v>112000</v>
      </c>
      <c r="G91" s="13" t="str">
        <f ca="1"/>
        <v>Espresso</v>
      </c>
      <c r="H91" s="13" t="str">
        <f ca="1"/>
        <v>Coffee</v>
      </c>
      <c r="I91" s="13">
        <f ca="1">IFERROR(__xludf.DUMMYFUNCTION("""COMPUTED_VALUE"""),5)</f>
        <v>5</v>
      </c>
      <c r="J91" s="13">
        <f ca="1">IFERROR(__xludf.DUMMYFUNCTION("""COMPUTED_VALUE"""),9)</f>
        <v>9</v>
      </c>
      <c r="K91" s="13">
        <f ca="1">IFERROR(__xludf.DUMMYFUNCTION("""COMPUTED_VALUE"""),2025)</f>
        <v>2025</v>
      </c>
      <c r="L91" s="15">
        <f ca="1"/>
        <v>45905</v>
      </c>
    </row>
    <row r="92" spans="1:12">
      <c r="A92" s="12" t="str">
        <f ca="1">IFERROR(__xludf.DUMMYFUNCTION("""COMPUTED_VALUE"""),"13-09-2025")</f>
        <v>13-09-2025</v>
      </c>
      <c r="B92" s="13" t="str">
        <f ca="1">IFERROR(__xludf.DUMMYFUNCTION("""COMPUTED_VALUE"""),"Makassar")</f>
        <v>Makassar</v>
      </c>
      <c r="C92" s="13" t="str">
        <f ca="1">IFERROR(__xludf.DUMMYFUNCTION("""COMPUTED_VALUE"""),"P04")</f>
        <v>P04</v>
      </c>
      <c r="D92" s="13">
        <f ca="1">IFERROR(__xludf.DUMMYFUNCTION("""COMPUTED_VALUE"""),5)</f>
        <v>5</v>
      </c>
      <c r="E92" s="14">
        <f ca="1">IFERROR(__xludf.DUMMYFUNCTION("""COMPUTED_VALUE"""),25000)</f>
        <v>25000</v>
      </c>
      <c r="F92" s="14">
        <f ca="1">IFERROR(__xludf.DUMMYFUNCTION("""COMPUTED_VALUE"""),125000)</f>
        <v>125000</v>
      </c>
      <c r="G92" s="13" t="str">
        <f ca="1"/>
        <v>Americano</v>
      </c>
      <c r="H92" s="13" t="str">
        <f ca="1"/>
        <v>Coffee</v>
      </c>
      <c r="I92" s="13">
        <f ca="1">IFERROR(__xludf.DUMMYFUNCTION("""COMPUTED_VALUE"""),13)</f>
        <v>13</v>
      </c>
      <c r="J92" s="13">
        <f ca="1">IFERROR(__xludf.DUMMYFUNCTION("""COMPUTED_VALUE"""),9)</f>
        <v>9</v>
      </c>
      <c r="K92" s="13">
        <f ca="1">IFERROR(__xludf.DUMMYFUNCTION("""COMPUTED_VALUE"""),2025)</f>
        <v>2025</v>
      </c>
      <c r="L92" s="15">
        <f ca="1"/>
        <v>45913</v>
      </c>
    </row>
    <row r="93" spans="1:12">
      <c r="A93" s="12" t="str">
        <f ca="1">IFERROR(__xludf.DUMMYFUNCTION("""COMPUTED_VALUE"""),"09-09-2025")</f>
        <v>09-09-2025</v>
      </c>
      <c r="B93" s="13" t="str">
        <f ca="1">IFERROR(__xludf.DUMMYFUNCTION("""COMPUTED_VALUE"""),"Makassar")</f>
        <v>Makassar</v>
      </c>
      <c r="C93" s="13" t="str">
        <f ca="1">IFERROR(__xludf.DUMMYFUNCTION("""COMPUTED_VALUE"""),"P05")</f>
        <v>P05</v>
      </c>
      <c r="D93" s="13">
        <f ca="1">IFERROR(__xludf.DUMMYFUNCTION("""COMPUTED_VALUE"""),2)</f>
        <v>2</v>
      </c>
      <c r="E93" s="14">
        <f ca="1">IFERROR(__xludf.DUMMYFUNCTION("""COMPUTED_VALUE"""),28000)</f>
        <v>28000</v>
      </c>
      <c r="F93" s="14">
        <f ca="1">IFERROR(__xludf.DUMMYFUNCTION("""COMPUTED_VALUE"""),56000)</f>
        <v>56000</v>
      </c>
      <c r="G93" s="13" t="str">
        <f ca="1"/>
        <v>Mocha</v>
      </c>
      <c r="H93" s="13" t="str">
        <f ca="1"/>
        <v>Chocolate</v>
      </c>
      <c r="I93" s="13">
        <f ca="1">IFERROR(__xludf.DUMMYFUNCTION("""COMPUTED_VALUE"""),9)</f>
        <v>9</v>
      </c>
      <c r="J93" s="13">
        <f ca="1">IFERROR(__xludf.DUMMYFUNCTION("""COMPUTED_VALUE"""),9)</f>
        <v>9</v>
      </c>
      <c r="K93" s="13">
        <f ca="1">IFERROR(__xludf.DUMMYFUNCTION("""COMPUTED_VALUE"""),2025)</f>
        <v>2025</v>
      </c>
      <c r="L93" s="15">
        <f ca="1"/>
        <v>45909</v>
      </c>
    </row>
    <row r="94" spans="1:12">
      <c r="A94" s="12" t="str">
        <f ca="1">IFERROR(__xludf.DUMMYFUNCTION("""COMPUTED_VALUE"""),"21-09-2025")</f>
        <v>21-09-2025</v>
      </c>
      <c r="B94" s="13" t="str">
        <f ca="1">IFERROR(__xludf.DUMMYFUNCTION("""COMPUTED_VALUE"""),"Makassar")</f>
        <v>Makassar</v>
      </c>
      <c r="C94" s="13" t="str">
        <f ca="1">IFERROR(__xludf.DUMMYFUNCTION("""COMPUTED_VALUE"""),"P01")</f>
        <v>P01</v>
      </c>
      <c r="D94" s="13">
        <f ca="1">IFERROR(__xludf.DUMMYFUNCTION("""COMPUTED_VALUE"""),1)</f>
        <v>1</v>
      </c>
      <c r="E94" s="14">
        <f ca="1">IFERROR(__xludf.DUMMYFUNCTION("""COMPUTED_VALUE"""),25000)</f>
        <v>25000</v>
      </c>
      <c r="F94" s="14">
        <f ca="1">IFERROR(__xludf.DUMMYFUNCTION("""COMPUTED_VALUE"""),25000)</f>
        <v>25000</v>
      </c>
      <c r="G94" s="13" t="str">
        <f ca="1"/>
        <v>Cappuccino</v>
      </c>
      <c r="H94" s="13" t="str">
        <f ca="1"/>
        <v>Coffee</v>
      </c>
      <c r="I94" s="13">
        <f ca="1">IFERROR(__xludf.DUMMYFUNCTION("""COMPUTED_VALUE"""),21)</f>
        <v>21</v>
      </c>
      <c r="J94" s="13">
        <f ca="1">IFERROR(__xludf.DUMMYFUNCTION("""COMPUTED_VALUE"""),9)</f>
        <v>9</v>
      </c>
      <c r="K94" s="13">
        <f ca="1">IFERROR(__xludf.DUMMYFUNCTION("""COMPUTED_VALUE"""),2025)</f>
        <v>2025</v>
      </c>
      <c r="L94" s="15">
        <f ca="1"/>
        <v>45921</v>
      </c>
    </row>
    <row r="95" spans="1:12">
      <c r="A95" s="12" t="str">
        <f ca="1">IFERROR(__xludf.DUMMYFUNCTION("""COMPUTED_VALUE"""),"05-09-2025")</f>
        <v>05-09-2025</v>
      </c>
      <c r="B95" s="13" t="str">
        <f ca="1">IFERROR(__xludf.DUMMYFUNCTION("""COMPUTED_VALUE"""),"Makassar")</f>
        <v>Makassar</v>
      </c>
      <c r="C95" s="13" t="str">
        <f ca="1">IFERROR(__xludf.DUMMYFUNCTION("""COMPUTED_VALUE"""),"P02")</f>
        <v>P02</v>
      </c>
      <c r="D95" s="13">
        <f ca="1">IFERROR(__xludf.DUMMYFUNCTION("""COMPUTED_VALUE"""),2)</f>
        <v>2</v>
      </c>
      <c r="E95" s="14">
        <f ca="1">IFERROR(__xludf.DUMMYFUNCTION("""COMPUTED_VALUE"""),20000)</f>
        <v>20000</v>
      </c>
      <c r="F95" s="14">
        <f ca="1">IFERROR(__xludf.DUMMYFUNCTION("""COMPUTED_VALUE"""),40000)</f>
        <v>40000</v>
      </c>
      <c r="G95" s="13" t="str">
        <f ca="1"/>
        <v>Latte</v>
      </c>
      <c r="H95" s="13" t="str">
        <f ca="1"/>
        <v>Coffee</v>
      </c>
      <c r="I95" s="13">
        <f ca="1">IFERROR(__xludf.DUMMYFUNCTION("""COMPUTED_VALUE"""),5)</f>
        <v>5</v>
      </c>
      <c r="J95" s="13">
        <f ca="1">IFERROR(__xludf.DUMMYFUNCTION("""COMPUTED_VALUE"""),9)</f>
        <v>9</v>
      </c>
      <c r="K95" s="13">
        <f ca="1">IFERROR(__xludf.DUMMYFUNCTION("""COMPUTED_VALUE"""),2025)</f>
        <v>2025</v>
      </c>
      <c r="L95" s="15">
        <f ca="1"/>
        <v>45905</v>
      </c>
    </row>
    <row r="96" spans="1:12">
      <c r="A96" s="12" t="str">
        <f ca="1">IFERROR(__xludf.DUMMYFUNCTION("""COMPUTED_VALUE"""),"24-09-2025")</f>
        <v>24-09-2025</v>
      </c>
      <c r="B96" s="13" t="str">
        <f ca="1">IFERROR(__xludf.DUMMYFUNCTION("""COMPUTED_VALUE"""),"Makassar")</f>
        <v>Makassar</v>
      </c>
      <c r="C96" s="13" t="str">
        <f ca="1">IFERROR(__xludf.DUMMYFUNCTION("""COMPUTED_VALUE"""),"P03")</f>
        <v>P03</v>
      </c>
      <c r="D96" s="13">
        <f ca="1">IFERROR(__xludf.DUMMYFUNCTION("""COMPUTED_VALUE"""),1)</f>
        <v>1</v>
      </c>
      <c r="E96" s="14">
        <f ca="1">IFERROR(__xludf.DUMMYFUNCTION("""COMPUTED_VALUE"""),28000)</f>
        <v>28000</v>
      </c>
      <c r="F96" s="14">
        <f ca="1">IFERROR(__xludf.DUMMYFUNCTION("""COMPUTED_VALUE"""),28000)</f>
        <v>28000</v>
      </c>
      <c r="G96" s="13" t="str">
        <f ca="1"/>
        <v>Espresso</v>
      </c>
      <c r="H96" s="13" t="str">
        <f ca="1"/>
        <v>Coffee</v>
      </c>
      <c r="I96" s="13">
        <f ca="1">IFERROR(__xludf.DUMMYFUNCTION("""COMPUTED_VALUE"""),24)</f>
        <v>24</v>
      </c>
      <c r="J96" s="13">
        <f ca="1">IFERROR(__xludf.DUMMYFUNCTION("""COMPUTED_VALUE"""),9)</f>
        <v>9</v>
      </c>
      <c r="K96" s="13">
        <f ca="1">IFERROR(__xludf.DUMMYFUNCTION("""COMPUTED_VALUE"""),2025)</f>
        <v>2025</v>
      </c>
      <c r="L96" s="15">
        <f ca="1"/>
        <v>45924</v>
      </c>
    </row>
    <row r="97" spans="1:12">
      <c r="A97" s="12" t="str">
        <f ca="1">IFERROR(__xludf.DUMMYFUNCTION("""COMPUTED_VALUE"""),"09-09-2025")</f>
        <v>09-09-2025</v>
      </c>
      <c r="B97" s="13" t="str">
        <f ca="1">IFERROR(__xludf.DUMMYFUNCTION("""COMPUTED_VALUE"""),"Makassar")</f>
        <v>Makassar</v>
      </c>
      <c r="C97" s="13" t="str">
        <f ca="1">IFERROR(__xludf.DUMMYFUNCTION("""COMPUTED_VALUE"""),"P04")</f>
        <v>P04</v>
      </c>
      <c r="D97" s="13">
        <f ca="1">IFERROR(__xludf.DUMMYFUNCTION("""COMPUTED_VALUE"""),3)</f>
        <v>3</v>
      </c>
      <c r="E97" s="14">
        <f ca="1">IFERROR(__xludf.DUMMYFUNCTION("""COMPUTED_VALUE"""),28000)</f>
        <v>28000</v>
      </c>
      <c r="F97" s="14">
        <f ca="1">IFERROR(__xludf.DUMMYFUNCTION("""COMPUTED_VALUE"""),84000)</f>
        <v>84000</v>
      </c>
      <c r="G97" s="13" t="str">
        <f ca="1"/>
        <v>Americano</v>
      </c>
      <c r="H97" s="13" t="str">
        <f ca="1"/>
        <v>Coffee</v>
      </c>
      <c r="I97" s="13">
        <f ca="1">IFERROR(__xludf.DUMMYFUNCTION("""COMPUTED_VALUE"""),9)</f>
        <v>9</v>
      </c>
      <c r="J97" s="13">
        <f ca="1">IFERROR(__xludf.DUMMYFUNCTION("""COMPUTED_VALUE"""),9)</f>
        <v>9</v>
      </c>
      <c r="K97" s="13">
        <f ca="1">IFERROR(__xludf.DUMMYFUNCTION("""COMPUTED_VALUE"""),2025)</f>
        <v>2025</v>
      </c>
      <c r="L97" s="15">
        <f ca="1"/>
        <v>45909</v>
      </c>
    </row>
    <row r="98" spans="1:12">
      <c r="A98" s="12" t="str">
        <f ca="1">IFERROR(__xludf.DUMMYFUNCTION("""COMPUTED_VALUE"""),"24-09-2025")</f>
        <v>24-09-2025</v>
      </c>
      <c r="B98" s="13" t="str">
        <f ca="1">IFERROR(__xludf.DUMMYFUNCTION("""COMPUTED_VALUE"""),"Makassar")</f>
        <v>Makassar</v>
      </c>
      <c r="C98" s="13" t="str">
        <f ca="1">IFERROR(__xludf.DUMMYFUNCTION("""COMPUTED_VALUE"""),"P05")</f>
        <v>P05</v>
      </c>
      <c r="D98" s="13">
        <f ca="1">IFERROR(__xludf.DUMMYFUNCTION("""COMPUTED_VALUE"""),4)</f>
        <v>4</v>
      </c>
      <c r="E98" s="14">
        <f ca="1">IFERROR(__xludf.DUMMYFUNCTION("""COMPUTED_VALUE"""),20000)</f>
        <v>20000</v>
      </c>
      <c r="F98" s="14">
        <f ca="1">IFERROR(__xludf.DUMMYFUNCTION("""COMPUTED_VALUE"""),80000)</f>
        <v>80000</v>
      </c>
      <c r="G98" s="13" t="str">
        <f ca="1"/>
        <v>Mocha</v>
      </c>
      <c r="H98" s="13" t="str">
        <f ca="1"/>
        <v>Chocolate</v>
      </c>
      <c r="I98" s="13">
        <f ca="1">IFERROR(__xludf.DUMMYFUNCTION("""COMPUTED_VALUE"""),24)</f>
        <v>24</v>
      </c>
      <c r="J98" s="13">
        <f ca="1">IFERROR(__xludf.DUMMYFUNCTION("""COMPUTED_VALUE"""),9)</f>
        <v>9</v>
      </c>
      <c r="K98" s="13">
        <f ca="1">IFERROR(__xludf.DUMMYFUNCTION("""COMPUTED_VALUE"""),2025)</f>
        <v>2025</v>
      </c>
      <c r="L98" s="15">
        <f ca="1"/>
        <v>45924</v>
      </c>
    </row>
    <row r="99" spans="1:12">
      <c r="A99" s="12" t="str">
        <f ca="1">IFERROR(__xludf.DUMMYFUNCTION("""COMPUTED_VALUE"""),"02-09-2025")</f>
        <v>02-09-2025</v>
      </c>
      <c r="B99" s="13" t="str">
        <f ca="1">IFERROR(__xludf.DUMMYFUNCTION("""COMPUTED_VALUE"""),"Makassar")</f>
        <v>Makassar</v>
      </c>
      <c r="C99" s="13" t="str">
        <f ca="1">IFERROR(__xludf.DUMMYFUNCTION("""COMPUTED_VALUE"""),"P01")</f>
        <v>P01</v>
      </c>
      <c r="D99" s="13">
        <f ca="1">IFERROR(__xludf.DUMMYFUNCTION("""COMPUTED_VALUE"""),2)</f>
        <v>2</v>
      </c>
      <c r="E99" s="14">
        <f ca="1">IFERROR(__xludf.DUMMYFUNCTION("""COMPUTED_VALUE"""),25000)</f>
        <v>25000</v>
      </c>
      <c r="F99" s="14">
        <f ca="1">IFERROR(__xludf.DUMMYFUNCTION("""COMPUTED_VALUE"""),50000)</f>
        <v>50000</v>
      </c>
      <c r="G99" s="13" t="str">
        <f ca="1"/>
        <v>Cappuccino</v>
      </c>
      <c r="H99" s="13" t="str">
        <f ca="1"/>
        <v>Coffee</v>
      </c>
      <c r="I99" s="13">
        <f ca="1">IFERROR(__xludf.DUMMYFUNCTION("""COMPUTED_VALUE"""),2)</f>
        <v>2</v>
      </c>
      <c r="J99" s="13">
        <f ca="1">IFERROR(__xludf.DUMMYFUNCTION("""COMPUTED_VALUE"""),9)</f>
        <v>9</v>
      </c>
      <c r="K99" s="13">
        <f ca="1">IFERROR(__xludf.DUMMYFUNCTION("""COMPUTED_VALUE"""),2025)</f>
        <v>2025</v>
      </c>
      <c r="L99" s="15">
        <f ca="1"/>
        <v>45902</v>
      </c>
    </row>
    <row r="100" spans="1:12">
      <c r="A100" s="12" t="str">
        <f ca="1">IFERROR(__xludf.DUMMYFUNCTION("""COMPUTED_VALUE"""),"02-09-2025")</f>
        <v>02-09-2025</v>
      </c>
      <c r="B100" s="13" t="str">
        <f ca="1">IFERROR(__xludf.DUMMYFUNCTION("""COMPUTED_VALUE"""),"Makassar")</f>
        <v>Makassar</v>
      </c>
      <c r="C100" s="13" t="str">
        <f ca="1">IFERROR(__xludf.DUMMYFUNCTION("""COMPUTED_VALUE"""),"P02")</f>
        <v>P02</v>
      </c>
      <c r="D100" s="13">
        <f ca="1">IFERROR(__xludf.DUMMYFUNCTION("""COMPUTED_VALUE"""),1)</f>
        <v>1</v>
      </c>
      <c r="E100" s="14">
        <f ca="1">IFERROR(__xludf.DUMMYFUNCTION("""COMPUTED_VALUE"""),28000)</f>
        <v>28000</v>
      </c>
      <c r="F100" s="14">
        <f ca="1">IFERROR(__xludf.DUMMYFUNCTION("""COMPUTED_VALUE"""),28000)</f>
        <v>28000</v>
      </c>
      <c r="G100" s="13" t="str">
        <f ca="1"/>
        <v>Latte</v>
      </c>
      <c r="H100" s="13" t="str">
        <f ca="1"/>
        <v>Coffee</v>
      </c>
      <c r="I100" s="13">
        <f ca="1">IFERROR(__xludf.DUMMYFUNCTION("""COMPUTED_VALUE"""),2)</f>
        <v>2</v>
      </c>
      <c r="J100" s="13">
        <f ca="1">IFERROR(__xludf.DUMMYFUNCTION("""COMPUTED_VALUE"""),9)</f>
        <v>9</v>
      </c>
      <c r="K100" s="13">
        <f ca="1">IFERROR(__xludf.DUMMYFUNCTION("""COMPUTED_VALUE"""),2025)</f>
        <v>2025</v>
      </c>
      <c r="L100" s="15">
        <f ca="1"/>
        <v>45902</v>
      </c>
    </row>
    <row r="101" spans="1:12">
      <c r="A101" s="12" t="str">
        <f ca="1">IFERROR(__xludf.DUMMYFUNCTION("""COMPUTED_VALUE"""),"28-09-2025")</f>
        <v>28-09-2025</v>
      </c>
      <c r="B101" s="13" t="str">
        <f ca="1">IFERROR(__xludf.DUMMYFUNCTION("""COMPUTED_VALUE"""),"Makassar")</f>
        <v>Makassar</v>
      </c>
      <c r="C101" s="13" t="str">
        <f ca="1">IFERROR(__xludf.DUMMYFUNCTION("""COMPUTED_VALUE"""),"P03")</f>
        <v>P03</v>
      </c>
      <c r="D101" s="13">
        <f ca="1">IFERROR(__xludf.DUMMYFUNCTION("""COMPUTED_VALUE"""),4)</f>
        <v>4</v>
      </c>
      <c r="E101" s="14">
        <f ca="1">IFERROR(__xludf.DUMMYFUNCTION("""COMPUTED_VALUE"""),28000)</f>
        <v>28000</v>
      </c>
      <c r="F101" s="14">
        <f ca="1">IFERROR(__xludf.DUMMYFUNCTION("""COMPUTED_VALUE"""),112000)</f>
        <v>112000</v>
      </c>
      <c r="G101" s="13" t="str">
        <f ca="1"/>
        <v>Espresso</v>
      </c>
      <c r="H101" s="13" t="str">
        <f ca="1"/>
        <v>Coffee</v>
      </c>
      <c r="I101" s="13">
        <f ca="1">IFERROR(__xludf.DUMMYFUNCTION("""COMPUTED_VALUE"""),28)</f>
        <v>28</v>
      </c>
      <c r="J101" s="13">
        <f ca="1">IFERROR(__xludf.DUMMYFUNCTION("""COMPUTED_VALUE"""),9)</f>
        <v>9</v>
      </c>
      <c r="K101" s="13">
        <f ca="1">IFERROR(__xludf.DUMMYFUNCTION("""COMPUTED_VALUE"""),2025)</f>
        <v>2025</v>
      </c>
      <c r="L101" s="15">
        <f ca="1"/>
        <v>45928</v>
      </c>
    </row>
    <row r="102" spans="1:12">
      <c r="A102" s="12" t="str">
        <f ca="1">IFERROR(__xludf.DUMMYFUNCTION("""COMPUTED_VALUE"""),"22-09-2025")</f>
        <v>22-09-2025</v>
      </c>
      <c r="B102" s="13" t="str">
        <f ca="1">IFERROR(__xludf.DUMMYFUNCTION("""COMPUTED_VALUE"""),"Makassar")</f>
        <v>Makassar</v>
      </c>
      <c r="C102" s="13" t="str">
        <f ca="1">IFERROR(__xludf.DUMMYFUNCTION("""COMPUTED_VALUE"""),"P04")</f>
        <v>P04</v>
      </c>
      <c r="D102" s="13">
        <f ca="1">IFERROR(__xludf.DUMMYFUNCTION("""COMPUTED_VALUE"""),1)</f>
        <v>1</v>
      </c>
      <c r="E102" s="14">
        <f ca="1">IFERROR(__xludf.DUMMYFUNCTION("""COMPUTED_VALUE"""),35000)</f>
        <v>35000</v>
      </c>
      <c r="F102" s="14">
        <f ca="1">IFERROR(__xludf.DUMMYFUNCTION("""COMPUTED_VALUE"""),35000)</f>
        <v>35000</v>
      </c>
      <c r="G102" s="13" t="str">
        <f ca="1"/>
        <v>Americano</v>
      </c>
      <c r="H102" s="13" t="str">
        <f ca="1"/>
        <v>Coffee</v>
      </c>
      <c r="I102" s="13">
        <f ca="1">IFERROR(__xludf.DUMMYFUNCTION("""COMPUTED_VALUE"""),22)</f>
        <v>22</v>
      </c>
      <c r="J102" s="13">
        <f ca="1">IFERROR(__xludf.DUMMYFUNCTION("""COMPUTED_VALUE"""),9)</f>
        <v>9</v>
      </c>
      <c r="K102" s="13">
        <f ca="1">IFERROR(__xludf.DUMMYFUNCTION("""COMPUTED_VALUE"""),2025)</f>
        <v>2025</v>
      </c>
      <c r="L102" s="15">
        <f ca="1"/>
        <v>45922</v>
      </c>
    </row>
    <row r="103" spans="1:12">
      <c r="A103" s="12" t="str">
        <f ca="1">IFERROR(__xludf.DUMMYFUNCTION("""COMPUTED_VALUE"""),"09-09-2025")</f>
        <v>09-09-2025</v>
      </c>
      <c r="B103" s="13" t="str">
        <f ca="1">IFERROR(__xludf.DUMMYFUNCTION("""COMPUTED_VALUE"""),"Makassar")</f>
        <v>Makassar</v>
      </c>
      <c r="C103" s="13" t="str">
        <f ca="1">IFERROR(__xludf.DUMMYFUNCTION("""COMPUTED_VALUE"""),"P05")</f>
        <v>P05</v>
      </c>
      <c r="D103" s="13">
        <f ca="1">IFERROR(__xludf.DUMMYFUNCTION("""COMPUTED_VALUE"""),1)</f>
        <v>1</v>
      </c>
      <c r="E103" s="14">
        <f ca="1">IFERROR(__xludf.DUMMYFUNCTION("""COMPUTED_VALUE"""),25000)</f>
        <v>25000</v>
      </c>
      <c r="F103" s="14">
        <f ca="1">IFERROR(__xludf.DUMMYFUNCTION("""COMPUTED_VALUE"""),25000)</f>
        <v>25000</v>
      </c>
      <c r="G103" s="13" t="str">
        <f ca="1"/>
        <v>Mocha</v>
      </c>
      <c r="H103" s="13" t="str">
        <f ca="1"/>
        <v>Chocolate</v>
      </c>
      <c r="I103" s="13">
        <f ca="1">IFERROR(__xludf.DUMMYFUNCTION("""COMPUTED_VALUE"""),9)</f>
        <v>9</v>
      </c>
      <c r="J103" s="13">
        <f ca="1">IFERROR(__xludf.DUMMYFUNCTION("""COMPUTED_VALUE"""),9)</f>
        <v>9</v>
      </c>
      <c r="K103" s="13">
        <f ca="1">IFERROR(__xludf.DUMMYFUNCTION("""COMPUTED_VALUE"""),2025)</f>
        <v>2025</v>
      </c>
      <c r="L103" s="15">
        <f ca="1"/>
        <v>45909</v>
      </c>
    </row>
    <row r="104" spans="1:12">
      <c r="A104" s="12" t="str">
        <f ca="1">IFERROR(__xludf.DUMMYFUNCTION("""COMPUTED_VALUE"""),"25-09-2025")</f>
        <v>25-09-2025</v>
      </c>
      <c r="B104" s="13" t="str">
        <f ca="1">IFERROR(__xludf.DUMMYFUNCTION("""COMPUTED_VALUE"""),"Makassar")</f>
        <v>Makassar</v>
      </c>
      <c r="C104" s="13" t="str">
        <f ca="1">IFERROR(__xludf.DUMMYFUNCTION("""COMPUTED_VALUE"""),"P01")</f>
        <v>P01</v>
      </c>
      <c r="D104" s="13">
        <f ca="1">IFERROR(__xludf.DUMMYFUNCTION("""COMPUTED_VALUE"""),4)</f>
        <v>4</v>
      </c>
      <c r="E104" s="14">
        <f ca="1">IFERROR(__xludf.DUMMYFUNCTION("""COMPUTED_VALUE"""),30000)</f>
        <v>30000</v>
      </c>
      <c r="F104" s="14">
        <f ca="1">IFERROR(__xludf.DUMMYFUNCTION("""COMPUTED_VALUE"""),120000)</f>
        <v>120000</v>
      </c>
      <c r="G104" s="13" t="str">
        <f ca="1"/>
        <v>Cappuccino</v>
      </c>
      <c r="H104" s="13" t="str">
        <f ca="1"/>
        <v>Coffee</v>
      </c>
      <c r="I104" s="13">
        <f ca="1">IFERROR(__xludf.DUMMYFUNCTION("""COMPUTED_VALUE"""),25)</f>
        <v>25</v>
      </c>
      <c r="J104" s="13">
        <f ca="1">IFERROR(__xludf.DUMMYFUNCTION("""COMPUTED_VALUE"""),9)</f>
        <v>9</v>
      </c>
      <c r="K104" s="13">
        <f ca="1">IFERROR(__xludf.DUMMYFUNCTION("""COMPUTED_VALUE"""),2025)</f>
        <v>2025</v>
      </c>
      <c r="L104" s="15">
        <f ca="1"/>
        <v>45925</v>
      </c>
    </row>
    <row r="105" spans="1:12">
      <c r="A105" s="12" t="str">
        <f ca="1">IFERROR(__xludf.DUMMYFUNCTION("""COMPUTED_VALUE"""),"30-09-2025")</f>
        <v>30-09-2025</v>
      </c>
      <c r="B105" s="13" t="str">
        <f ca="1">IFERROR(__xludf.DUMMYFUNCTION("""COMPUTED_VALUE"""),"Makassar")</f>
        <v>Makassar</v>
      </c>
      <c r="C105" s="13" t="str">
        <f ca="1">IFERROR(__xludf.DUMMYFUNCTION("""COMPUTED_VALUE"""),"P02")</f>
        <v>P02</v>
      </c>
      <c r="D105" s="13">
        <f ca="1">IFERROR(__xludf.DUMMYFUNCTION("""COMPUTED_VALUE"""),3)</f>
        <v>3</v>
      </c>
      <c r="E105" s="14">
        <f ca="1">IFERROR(__xludf.DUMMYFUNCTION("""COMPUTED_VALUE"""),25000)</f>
        <v>25000</v>
      </c>
      <c r="F105" s="14">
        <f ca="1">IFERROR(__xludf.DUMMYFUNCTION("""COMPUTED_VALUE"""),75000)</f>
        <v>75000</v>
      </c>
      <c r="G105" s="13" t="str">
        <f ca="1"/>
        <v>Latte</v>
      </c>
      <c r="H105" s="13" t="str">
        <f ca="1"/>
        <v>Coffee</v>
      </c>
      <c r="I105" s="13">
        <f ca="1">IFERROR(__xludf.DUMMYFUNCTION("""COMPUTED_VALUE"""),30)</f>
        <v>30</v>
      </c>
      <c r="J105" s="13">
        <f ca="1">IFERROR(__xludf.DUMMYFUNCTION("""COMPUTED_VALUE"""),9)</f>
        <v>9</v>
      </c>
      <c r="K105" s="13">
        <f ca="1">IFERROR(__xludf.DUMMYFUNCTION("""COMPUTED_VALUE"""),2025)</f>
        <v>2025</v>
      </c>
      <c r="L105" s="15">
        <f ca="1"/>
        <v>45930</v>
      </c>
    </row>
    <row r="106" spans="1:12">
      <c r="A106" s="12" t="str">
        <f ca="1">IFERROR(__xludf.DUMMYFUNCTION("""COMPUTED_VALUE"""),"29-09-2025")</f>
        <v>29-09-2025</v>
      </c>
      <c r="B106" s="13" t="str">
        <f ca="1">IFERROR(__xludf.DUMMYFUNCTION("""COMPUTED_VALUE"""),"Makassar")</f>
        <v>Makassar</v>
      </c>
      <c r="C106" s="13" t="str">
        <f ca="1">IFERROR(__xludf.DUMMYFUNCTION("""COMPUTED_VALUE"""),"P03")</f>
        <v>P03</v>
      </c>
      <c r="D106" s="13">
        <f ca="1">IFERROR(__xludf.DUMMYFUNCTION("""COMPUTED_VALUE"""),1)</f>
        <v>1</v>
      </c>
      <c r="E106" s="14">
        <f ca="1">IFERROR(__xludf.DUMMYFUNCTION("""COMPUTED_VALUE"""),25000)</f>
        <v>25000</v>
      </c>
      <c r="F106" s="14">
        <f ca="1">IFERROR(__xludf.DUMMYFUNCTION("""COMPUTED_VALUE"""),25000)</f>
        <v>25000</v>
      </c>
      <c r="G106" s="13" t="str">
        <f ca="1"/>
        <v>Espresso</v>
      </c>
      <c r="H106" s="13" t="str">
        <f ca="1"/>
        <v>Coffee</v>
      </c>
      <c r="I106" s="13">
        <f ca="1">IFERROR(__xludf.DUMMYFUNCTION("""COMPUTED_VALUE"""),29)</f>
        <v>29</v>
      </c>
      <c r="J106" s="13">
        <f ca="1">IFERROR(__xludf.DUMMYFUNCTION("""COMPUTED_VALUE"""),9)</f>
        <v>9</v>
      </c>
      <c r="K106" s="13">
        <f ca="1">IFERROR(__xludf.DUMMYFUNCTION("""COMPUTED_VALUE"""),2025)</f>
        <v>2025</v>
      </c>
      <c r="L106" s="15">
        <f ca="1"/>
        <v>45929</v>
      </c>
    </row>
    <row r="107" spans="1:12">
      <c r="A107" s="12" t="str">
        <f ca="1">IFERROR(__xludf.DUMMYFUNCTION("""COMPUTED_VALUE"""),"26-09-2025")</f>
        <v>26-09-2025</v>
      </c>
      <c r="B107" s="13" t="str">
        <f ca="1">IFERROR(__xludf.DUMMYFUNCTION("""COMPUTED_VALUE"""),"Makassar")</f>
        <v>Makassar</v>
      </c>
      <c r="C107" s="13" t="str">
        <f ca="1">IFERROR(__xludf.DUMMYFUNCTION("""COMPUTED_VALUE"""),"P04")</f>
        <v>P04</v>
      </c>
      <c r="D107" s="13">
        <f ca="1">IFERROR(__xludf.DUMMYFUNCTION("""COMPUTED_VALUE"""),5)</f>
        <v>5</v>
      </c>
      <c r="E107" s="14">
        <f ca="1">IFERROR(__xludf.DUMMYFUNCTION("""COMPUTED_VALUE"""),35000)</f>
        <v>35000</v>
      </c>
      <c r="F107" s="14">
        <f ca="1">IFERROR(__xludf.DUMMYFUNCTION("""COMPUTED_VALUE"""),175000)</f>
        <v>175000</v>
      </c>
      <c r="G107" s="13" t="str">
        <f ca="1"/>
        <v>Americano</v>
      </c>
      <c r="H107" s="13" t="str">
        <f ca="1"/>
        <v>Coffee</v>
      </c>
      <c r="I107" s="13">
        <f ca="1">IFERROR(__xludf.DUMMYFUNCTION("""COMPUTED_VALUE"""),26)</f>
        <v>26</v>
      </c>
      <c r="J107" s="13">
        <f ca="1">IFERROR(__xludf.DUMMYFUNCTION("""COMPUTED_VALUE"""),9)</f>
        <v>9</v>
      </c>
      <c r="K107" s="13">
        <f ca="1">IFERROR(__xludf.DUMMYFUNCTION("""COMPUTED_VALUE"""),2025)</f>
        <v>2025</v>
      </c>
      <c r="L107" s="15">
        <f ca="1"/>
        <v>45926</v>
      </c>
    </row>
    <row r="108" spans="1:12">
      <c r="A108" s="12" t="str">
        <f ca="1">IFERROR(__xludf.DUMMYFUNCTION("""COMPUTED_VALUE"""),"09-09-2025")</f>
        <v>09-09-2025</v>
      </c>
      <c r="B108" s="13" t="str">
        <f ca="1">IFERROR(__xludf.DUMMYFUNCTION("""COMPUTED_VALUE"""),"Makassar")</f>
        <v>Makassar</v>
      </c>
      <c r="C108" s="13" t="str">
        <f ca="1">IFERROR(__xludf.DUMMYFUNCTION("""COMPUTED_VALUE"""),"P05")</f>
        <v>P05</v>
      </c>
      <c r="D108" s="13">
        <f ca="1">IFERROR(__xludf.DUMMYFUNCTION("""COMPUTED_VALUE"""),4)</f>
        <v>4</v>
      </c>
      <c r="E108" s="14">
        <f ca="1">IFERROR(__xludf.DUMMYFUNCTION("""COMPUTED_VALUE"""),25000)</f>
        <v>25000</v>
      </c>
      <c r="F108" s="14">
        <f ca="1">IFERROR(__xludf.DUMMYFUNCTION("""COMPUTED_VALUE"""),100000)</f>
        <v>100000</v>
      </c>
      <c r="G108" s="13" t="str">
        <f ca="1"/>
        <v>Mocha</v>
      </c>
      <c r="H108" s="13" t="str">
        <f ca="1"/>
        <v>Chocolate</v>
      </c>
      <c r="I108" s="13">
        <f ca="1">IFERROR(__xludf.DUMMYFUNCTION("""COMPUTED_VALUE"""),9)</f>
        <v>9</v>
      </c>
      <c r="J108" s="13">
        <f ca="1">IFERROR(__xludf.DUMMYFUNCTION("""COMPUTED_VALUE"""),9)</f>
        <v>9</v>
      </c>
      <c r="K108" s="13">
        <f ca="1">IFERROR(__xludf.DUMMYFUNCTION("""COMPUTED_VALUE"""),2025)</f>
        <v>2025</v>
      </c>
      <c r="L108" s="15">
        <f ca="1"/>
        <v>45909</v>
      </c>
    </row>
    <row r="109" spans="1:12">
      <c r="A109" s="12" t="str">
        <f ca="1">IFERROR(__xludf.DUMMYFUNCTION("""COMPUTED_VALUE"""),"27-09-2025")</f>
        <v>27-09-2025</v>
      </c>
      <c r="B109" s="13" t="str">
        <f ca="1">IFERROR(__xludf.DUMMYFUNCTION("""COMPUTED_VALUE"""),"Makassar")</f>
        <v>Makassar</v>
      </c>
      <c r="C109" s="13" t="str">
        <f ca="1">IFERROR(__xludf.DUMMYFUNCTION("""COMPUTED_VALUE"""),"P01")</f>
        <v>P01</v>
      </c>
      <c r="D109" s="13">
        <f ca="1">IFERROR(__xludf.DUMMYFUNCTION("""COMPUTED_VALUE"""),3)</f>
        <v>3</v>
      </c>
      <c r="E109" s="14">
        <f ca="1">IFERROR(__xludf.DUMMYFUNCTION("""COMPUTED_VALUE"""),30000)</f>
        <v>30000</v>
      </c>
      <c r="F109" s="14">
        <f ca="1">IFERROR(__xludf.DUMMYFUNCTION("""COMPUTED_VALUE"""),90000)</f>
        <v>90000</v>
      </c>
      <c r="G109" s="13" t="str">
        <f ca="1"/>
        <v>Cappuccino</v>
      </c>
      <c r="H109" s="13" t="str">
        <f ca="1"/>
        <v>Coffee</v>
      </c>
      <c r="I109" s="13">
        <f ca="1">IFERROR(__xludf.DUMMYFUNCTION("""COMPUTED_VALUE"""),27)</f>
        <v>27</v>
      </c>
      <c r="J109" s="13">
        <f ca="1">IFERROR(__xludf.DUMMYFUNCTION("""COMPUTED_VALUE"""),9)</f>
        <v>9</v>
      </c>
      <c r="K109" s="13">
        <f ca="1">IFERROR(__xludf.DUMMYFUNCTION("""COMPUTED_VALUE"""),2025)</f>
        <v>2025</v>
      </c>
      <c r="L109" s="15">
        <f ca="1"/>
        <v>45927</v>
      </c>
    </row>
    <row r="110" spans="1:12">
      <c r="A110" s="12" t="str">
        <f ca="1">IFERROR(__xludf.DUMMYFUNCTION("""COMPUTED_VALUE"""),"04-09-2025")</f>
        <v>04-09-2025</v>
      </c>
      <c r="B110" s="13" t="str">
        <f ca="1">IFERROR(__xludf.DUMMYFUNCTION("""COMPUTED_VALUE"""),"Makassar")</f>
        <v>Makassar</v>
      </c>
      <c r="C110" s="13" t="str">
        <f ca="1">IFERROR(__xludf.DUMMYFUNCTION("""COMPUTED_VALUE"""),"P02")</f>
        <v>P02</v>
      </c>
      <c r="D110" s="13">
        <f ca="1">IFERROR(__xludf.DUMMYFUNCTION("""COMPUTED_VALUE"""),1)</f>
        <v>1</v>
      </c>
      <c r="E110" s="14">
        <f ca="1">IFERROR(__xludf.DUMMYFUNCTION("""COMPUTED_VALUE"""),25000)</f>
        <v>25000</v>
      </c>
      <c r="F110" s="14">
        <f ca="1">IFERROR(__xludf.DUMMYFUNCTION("""COMPUTED_VALUE"""),25000)</f>
        <v>25000</v>
      </c>
      <c r="G110" s="13" t="str">
        <f ca="1"/>
        <v>Latte</v>
      </c>
      <c r="H110" s="13" t="str">
        <f ca="1"/>
        <v>Coffee</v>
      </c>
      <c r="I110" s="13">
        <f ca="1">IFERROR(__xludf.DUMMYFUNCTION("""COMPUTED_VALUE"""),4)</f>
        <v>4</v>
      </c>
      <c r="J110" s="13">
        <f ca="1">IFERROR(__xludf.DUMMYFUNCTION("""COMPUTED_VALUE"""),9)</f>
        <v>9</v>
      </c>
      <c r="K110" s="13">
        <f ca="1">IFERROR(__xludf.DUMMYFUNCTION("""COMPUTED_VALUE"""),2025)</f>
        <v>2025</v>
      </c>
      <c r="L110" s="15">
        <f ca="1"/>
        <v>45904</v>
      </c>
    </row>
    <row r="111" spans="1:12">
      <c r="A111" s="12" t="str">
        <f ca="1">IFERROR(__xludf.DUMMYFUNCTION("""COMPUTED_VALUE"""),"20-09-2025")</f>
        <v>20-09-2025</v>
      </c>
      <c r="B111" s="13" t="str">
        <f ca="1">IFERROR(__xludf.DUMMYFUNCTION("""COMPUTED_VALUE"""),"Makassar")</f>
        <v>Makassar</v>
      </c>
      <c r="C111" s="13" t="str">
        <f ca="1">IFERROR(__xludf.DUMMYFUNCTION("""COMPUTED_VALUE"""),"P03")</f>
        <v>P03</v>
      </c>
      <c r="D111" s="13">
        <f ca="1">IFERROR(__xludf.DUMMYFUNCTION("""COMPUTED_VALUE"""),1)</f>
        <v>1</v>
      </c>
      <c r="E111" s="14">
        <f ca="1">IFERROR(__xludf.DUMMYFUNCTION("""COMPUTED_VALUE"""),28000)</f>
        <v>28000</v>
      </c>
      <c r="F111" s="14">
        <f ca="1">IFERROR(__xludf.DUMMYFUNCTION("""COMPUTED_VALUE"""),28000)</f>
        <v>28000</v>
      </c>
      <c r="G111" s="13" t="str">
        <f ca="1"/>
        <v>Espresso</v>
      </c>
      <c r="H111" s="13" t="str">
        <f ca="1"/>
        <v>Coffee</v>
      </c>
      <c r="I111" s="13">
        <f ca="1">IFERROR(__xludf.DUMMYFUNCTION("""COMPUTED_VALUE"""),20)</f>
        <v>20</v>
      </c>
      <c r="J111" s="13">
        <f ca="1">IFERROR(__xludf.DUMMYFUNCTION("""COMPUTED_VALUE"""),9)</f>
        <v>9</v>
      </c>
      <c r="K111" s="13">
        <f ca="1">IFERROR(__xludf.DUMMYFUNCTION("""COMPUTED_VALUE"""),2025)</f>
        <v>2025</v>
      </c>
      <c r="L111" s="15">
        <f ca="1"/>
        <v>45920</v>
      </c>
    </row>
    <row r="112" spans="1:12">
      <c r="A112" s="12" t="str">
        <f ca="1">IFERROR(__xludf.DUMMYFUNCTION("""COMPUTED_VALUE"""),"28-09-2025")</f>
        <v>28-09-2025</v>
      </c>
      <c r="B112" s="13" t="str">
        <f ca="1">IFERROR(__xludf.DUMMYFUNCTION("""COMPUTED_VALUE"""),"Makassar")</f>
        <v>Makassar</v>
      </c>
      <c r="C112" s="13" t="str">
        <f ca="1">IFERROR(__xludf.DUMMYFUNCTION("""COMPUTED_VALUE"""),"P04")</f>
        <v>P04</v>
      </c>
      <c r="D112" s="13">
        <f ca="1">IFERROR(__xludf.DUMMYFUNCTION("""COMPUTED_VALUE"""),2)</f>
        <v>2</v>
      </c>
      <c r="E112" s="14">
        <f ca="1">IFERROR(__xludf.DUMMYFUNCTION("""COMPUTED_VALUE"""),25000)</f>
        <v>25000</v>
      </c>
      <c r="F112" s="14">
        <f ca="1">IFERROR(__xludf.DUMMYFUNCTION("""COMPUTED_VALUE"""),50000)</f>
        <v>50000</v>
      </c>
      <c r="G112" s="13" t="str">
        <f ca="1"/>
        <v>Americano</v>
      </c>
      <c r="H112" s="13" t="str">
        <f ca="1"/>
        <v>Coffee</v>
      </c>
      <c r="I112" s="13">
        <f ca="1">IFERROR(__xludf.DUMMYFUNCTION("""COMPUTED_VALUE"""),28)</f>
        <v>28</v>
      </c>
      <c r="J112" s="13">
        <f ca="1">IFERROR(__xludf.DUMMYFUNCTION("""COMPUTED_VALUE"""),9)</f>
        <v>9</v>
      </c>
      <c r="K112" s="13">
        <f ca="1">IFERROR(__xludf.DUMMYFUNCTION("""COMPUTED_VALUE"""),2025)</f>
        <v>2025</v>
      </c>
      <c r="L112" s="15">
        <f ca="1"/>
        <v>45928</v>
      </c>
    </row>
    <row r="113" spans="1:12">
      <c r="A113" s="12" t="str">
        <f ca="1">IFERROR(__xludf.DUMMYFUNCTION("""COMPUTED_VALUE"""),"22-09-2025")</f>
        <v>22-09-2025</v>
      </c>
      <c r="B113" s="13" t="str">
        <f ca="1">IFERROR(__xludf.DUMMYFUNCTION("""COMPUTED_VALUE"""),"Makassar")</f>
        <v>Makassar</v>
      </c>
      <c r="C113" s="13" t="str">
        <f ca="1">IFERROR(__xludf.DUMMYFUNCTION("""COMPUTED_VALUE"""),"P05")</f>
        <v>P05</v>
      </c>
      <c r="D113" s="13">
        <f ca="1">IFERROR(__xludf.DUMMYFUNCTION("""COMPUTED_VALUE"""),3)</f>
        <v>3</v>
      </c>
      <c r="E113" s="14">
        <f ca="1">IFERROR(__xludf.DUMMYFUNCTION("""COMPUTED_VALUE"""),25000)</f>
        <v>25000</v>
      </c>
      <c r="F113" s="14">
        <f ca="1">IFERROR(__xludf.DUMMYFUNCTION("""COMPUTED_VALUE"""),75000)</f>
        <v>75000</v>
      </c>
      <c r="G113" s="13" t="str">
        <f ca="1"/>
        <v>Mocha</v>
      </c>
      <c r="H113" s="13" t="str">
        <f ca="1"/>
        <v>Chocolate</v>
      </c>
      <c r="I113" s="13">
        <f ca="1">IFERROR(__xludf.DUMMYFUNCTION("""COMPUTED_VALUE"""),22)</f>
        <v>22</v>
      </c>
      <c r="J113" s="13">
        <f ca="1">IFERROR(__xludf.DUMMYFUNCTION("""COMPUTED_VALUE"""),9)</f>
        <v>9</v>
      </c>
      <c r="K113" s="13">
        <f ca="1">IFERROR(__xludf.DUMMYFUNCTION("""COMPUTED_VALUE"""),2025)</f>
        <v>2025</v>
      </c>
      <c r="L113" s="15">
        <f ca="1"/>
        <v>45922</v>
      </c>
    </row>
    <row r="114" spans="1:12">
      <c r="A114" s="12" t="str">
        <f ca="1">IFERROR(__xludf.DUMMYFUNCTION("""COMPUTED_VALUE"""),"17-09-2025")</f>
        <v>17-09-2025</v>
      </c>
      <c r="B114" s="13" t="str">
        <f ca="1">IFERROR(__xludf.DUMMYFUNCTION("""COMPUTED_VALUE"""),"Makassar")</f>
        <v>Makassar</v>
      </c>
      <c r="C114" s="13" t="str">
        <f ca="1">IFERROR(__xludf.DUMMYFUNCTION("""COMPUTED_VALUE"""),"P01")</f>
        <v>P01</v>
      </c>
      <c r="D114" s="13">
        <f ca="1">IFERROR(__xludf.DUMMYFUNCTION("""COMPUTED_VALUE"""),5)</f>
        <v>5</v>
      </c>
      <c r="E114" s="14">
        <f ca="1">IFERROR(__xludf.DUMMYFUNCTION("""COMPUTED_VALUE"""),20000)</f>
        <v>20000</v>
      </c>
      <c r="F114" s="14">
        <f ca="1">IFERROR(__xludf.DUMMYFUNCTION("""COMPUTED_VALUE"""),100000)</f>
        <v>100000</v>
      </c>
      <c r="G114" s="13" t="str">
        <f ca="1"/>
        <v>Cappuccino</v>
      </c>
      <c r="H114" s="13" t="str">
        <f ca="1"/>
        <v>Coffee</v>
      </c>
      <c r="I114" s="13">
        <f ca="1">IFERROR(__xludf.DUMMYFUNCTION("""COMPUTED_VALUE"""),17)</f>
        <v>17</v>
      </c>
      <c r="J114" s="13">
        <f ca="1">IFERROR(__xludf.DUMMYFUNCTION("""COMPUTED_VALUE"""),9)</f>
        <v>9</v>
      </c>
      <c r="K114" s="13">
        <f ca="1">IFERROR(__xludf.DUMMYFUNCTION("""COMPUTED_VALUE"""),2025)</f>
        <v>2025</v>
      </c>
      <c r="L114" s="15">
        <f ca="1"/>
        <v>45917</v>
      </c>
    </row>
    <row r="115" spans="1:12">
      <c r="A115" s="12" t="str">
        <f ca="1">IFERROR(__xludf.DUMMYFUNCTION("""COMPUTED_VALUE"""),"07-09-2025")</f>
        <v>07-09-2025</v>
      </c>
      <c r="B115" s="13" t="str">
        <f ca="1">IFERROR(__xludf.DUMMYFUNCTION("""COMPUTED_VALUE"""),"Makassar")</f>
        <v>Makassar</v>
      </c>
      <c r="C115" s="13" t="str">
        <f ca="1">IFERROR(__xludf.DUMMYFUNCTION("""COMPUTED_VALUE"""),"P02")</f>
        <v>P02</v>
      </c>
      <c r="D115" s="13">
        <f ca="1">IFERROR(__xludf.DUMMYFUNCTION("""COMPUTED_VALUE"""),4)</f>
        <v>4</v>
      </c>
      <c r="E115" s="14">
        <f ca="1">IFERROR(__xludf.DUMMYFUNCTION("""COMPUTED_VALUE"""),30000)</f>
        <v>30000</v>
      </c>
      <c r="F115" s="14">
        <f ca="1">IFERROR(__xludf.DUMMYFUNCTION("""COMPUTED_VALUE"""),120000)</f>
        <v>120000</v>
      </c>
      <c r="G115" s="13" t="str">
        <f ca="1"/>
        <v>Latte</v>
      </c>
      <c r="H115" s="13" t="str">
        <f ca="1"/>
        <v>Coffee</v>
      </c>
      <c r="I115" s="13">
        <f ca="1">IFERROR(__xludf.DUMMYFUNCTION("""COMPUTED_VALUE"""),7)</f>
        <v>7</v>
      </c>
      <c r="J115" s="13">
        <f ca="1">IFERROR(__xludf.DUMMYFUNCTION("""COMPUTED_VALUE"""),9)</f>
        <v>9</v>
      </c>
      <c r="K115" s="13">
        <f ca="1">IFERROR(__xludf.DUMMYFUNCTION("""COMPUTED_VALUE"""),2025)</f>
        <v>2025</v>
      </c>
      <c r="L115" s="15">
        <f ca="1"/>
        <v>45907</v>
      </c>
    </row>
    <row r="116" spans="1:12">
      <c r="A116" s="12" t="str">
        <f ca="1">IFERROR(__xludf.DUMMYFUNCTION("""COMPUTED_VALUE"""),"11-09-2025")</f>
        <v>11-09-2025</v>
      </c>
      <c r="B116" s="13" t="str">
        <f ca="1">IFERROR(__xludf.DUMMYFUNCTION("""COMPUTED_VALUE"""),"Makassar")</f>
        <v>Makassar</v>
      </c>
      <c r="C116" s="13" t="str">
        <f ca="1">IFERROR(__xludf.DUMMYFUNCTION("""COMPUTED_VALUE"""),"P03")</f>
        <v>P03</v>
      </c>
      <c r="D116" s="13">
        <f ca="1">IFERROR(__xludf.DUMMYFUNCTION("""COMPUTED_VALUE"""),1)</f>
        <v>1</v>
      </c>
      <c r="E116" s="14">
        <f ca="1">IFERROR(__xludf.DUMMYFUNCTION("""COMPUTED_VALUE"""),20000)</f>
        <v>20000</v>
      </c>
      <c r="F116" s="14">
        <f ca="1">IFERROR(__xludf.DUMMYFUNCTION("""COMPUTED_VALUE"""),20000)</f>
        <v>20000</v>
      </c>
      <c r="G116" s="13" t="str">
        <f ca="1"/>
        <v>Espresso</v>
      </c>
      <c r="H116" s="13" t="str">
        <f ca="1"/>
        <v>Coffee</v>
      </c>
      <c r="I116" s="13">
        <f ca="1">IFERROR(__xludf.DUMMYFUNCTION("""COMPUTED_VALUE"""),11)</f>
        <v>11</v>
      </c>
      <c r="J116" s="13">
        <f ca="1">IFERROR(__xludf.DUMMYFUNCTION("""COMPUTED_VALUE"""),9)</f>
        <v>9</v>
      </c>
      <c r="K116" s="13">
        <f ca="1">IFERROR(__xludf.DUMMYFUNCTION("""COMPUTED_VALUE"""),2025)</f>
        <v>2025</v>
      </c>
      <c r="L116" s="15">
        <f ca="1"/>
        <v>45911</v>
      </c>
    </row>
    <row r="117" spans="1:12">
      <c r="A117" s="12" t="str">
        <f ca="1">IFERROR(__xludf.DUMMYFUNCTION("""COMPUTED_VALUE"""),"01-09-2025")</f>
        <v>01-09-2025</v>
      </c>
      <c r="B117" s="13" t="str">
        <f ca="1">IFERROR(__xludf.DUMMYFUNCTION("""COMPUTED_VALUE"""),"Makassar")</f>
        <v>Makassar</v>
      </c>
      <c r="C117" s="13" t="str">
        <f ca="1">IFERROR(__xludf.DUMMYFUNCTION("""COMPUTED_VALUE"""),"P04")</f>
        <v>P04</v>
      </c>
      <c r="D117" s="13">
        <f ca="1">IFERROR(__xludf.DUMMYFUNCTION("""COMPUTED_VALUE"""),1)</f>
        <v>1</v>
      </c>
      <c r="E117" s="14">
        <f ca="1">IFERROR(__xludf.DUMMYFUNCTION("""COMPUTED_VALUE"""),35000)</f>
        <v>35000</v>
      </c>
      <c r="F117" s="14">
        <f ca="1">IFERROR(__xludf.DUMMYFUNCTION("""COMPUTED_VALUE"""),35000)</f>
        <v>35000</v>
      </c>
      <c r="G117" s="13" t="str">
        <f ca="1"/>
        <v>Americano</v>
      </c>
      <c r="H117" s="13" t="str">
        <f ca="1"/>
        <v>Coffee</v>
      </c>
      <c r="I117" s="13">
        <f ca="1">IFERROR(__xludf.DUMMYFUNCTION("""COMPUTED_VALUE"""),1)</f>
        <v>1</v>
      </c>
      <c r="J117" s="13">
        <f ca="1">IFERROR(__xludf.DUMMYFUNCTION("""COMPUTED_VALUE"""),9)</f>
        <v>9</v>
      </c>
      <c r="K117" s="13">
        <f ca="1">IFERROR(__xludf.DUMMYFUNCTION("""COMPUTED_VALUE"""),2025)</f>
        <v>2025</v>
      </c>
      <c r="L117" s="15">
        <f ca="1"/>
        <v>45901</v>
      </c>
    </row>
    <row r="118" spans="1:12">
      <c r="A118" s="12" t="str">
        <f ca="1">IFERROR(__xludf.DUMMYFUNCTION("""COMPUTED_VALUE"""),"10-09-2025")</f>
        <v>10-09-2025</v>
      </c>
      <c r="B118" s="13" t="str">
        <f ca="1">IFERROR(__xludf.DUMMYFUNCTION("""COMPUTED_VALUE"""),"Makassar")</f>
        <v>Makassar</v>
      </c>
      <c r="C118" s="13" t="str">
        <f ca="1">IFERROR(__xludf.DUMMYFUNCTION("""COMPUTED_VALUE"""),"P05")</f>
        <v>P05</v>
      </c>
      <c r="D118" s="13">
        <f ca="1">IFERROR(__xludf.DUMMYFUNCTION("""COMPUTED_VALUE"""),3)</f>
        <v>3</v>
      </c>
      <c r="E118" s="14">
        <f ca="1">IFERROR(__xludf.DUMMYFUNCTION("""COMPUTED_VALUE"""),25000)</f>
        <v>25000</v>
      </c>
      <c r="F118" s="14">
        <f ca="1">IFERROR(__xludf.DUMMYFUNCTION("""COMPUTED_VALUE"""),75000)</f>
        <v>75000</v>
      </c>
      <c r="G118" s="13" t="str">
        <f ca="1"/>
        <v>Mocha</v>
      </c>
      <c r="H118" s="13" t="str">
        <f ca="1"/>
        <v>Chocolate</v>
      </c>
      <c r="I118" s="13">
        <f ca="1">IFERROR(__xludf.DUMMYFUNCTION("""COMPUTED_VALUE"""),10)</f>
        <v>10</v>
      </c>
      <c r="J118" s="13">
        <f ca="1">IFERROR(__xludf.DUMMYFUNCTION("""COMPUTED_VALUE"""),9)</f>
        <v>9</v>
      </c>
      <c r="K118" s="13">
        <f ca="1">IFERROR(__xludf.DUMMYFUNCTION("""COMPUTED_VALUE"""),2025)</f>
        <v>2025</v>
      </c>
      <c r="L118" s="15">
        <f ca="1"/>
        <v>45910</v>
      </c>
    </row>
    <row r="119" spans="1:12">
      <c r="A119" s="12" t="str">
        <f ca="1">IFERROR(__xludf.DUMMYFUNCTION("""COMPUTED_VALUE"""),"15-09-2025")</f>
        <v>15-09-2025</v>
      </c>
      <c r="B119" s="13" t="str">
        <f ca="1">IFERROR(__xludf.DUMMYFUNCTION("""COMPUTED_VALUE"""),"Makassar")</f>
        <v>Makassar</v>
      </c>
      <c r="C119" s="13" t="str">
        <f ca="1">IFERROR(__xludf.DUMMYFUNCTION("""COMPUTED_VALUE"""),"P01")</f>
        <v>P01</v>
      </c>
      <c r="D119" s="13">
        <f ca="1">IFERROR(__xludf.DUMMYFUNCTION("""COMPUTED_VALUE"""),2)</f>
        <v>2</v>
      </c>
      <c r="E119" s="14">
        <f ca="1">IFERROR(__xludf.DUMMYFUNCTION("""COMPUTED_VALUE"""),20000)</f>
        <v>20000</v>
      </c>
      <c r="F119" s="14">
        <f ca="1">IFERROR(__xludf.DUMMYFUNCTION("""COMPUTED_VALUE"""),40000)</f>
        <v>40000</v>
      </c>
      <c r="G119" s="13" t="str">
        <f ca="1"/>
        <v>Cappuccino</v>
      </c>
      <c r="H119" s="13" t="str">
        <f ca="1"/>
        <v>Coffee</v>
      </c>
      <c r="I119" s="13">
        <f ca="1">IFERROR(__xludf.DUMMYFUNCTION("""COMPUTED_VALUE"""),15)</f>
        <v>15</v>
      </c>
      <c r="J119" s="13">
        <f ca="1">IFERROR(__xludf.DUMMYFUNCTION("""COMPUTED_VALUE"""),9)</f>
        <v>9</v>
      </c>
      <c r="K119" s="13">
        <f ca="1">IFERROR(__xludf.DUMMYFUNCTION("""COMPUTED_VALUE"""),2025)</f>
        <v>2025</v>
      </c>
      <c r="L119" s="15">
        <f ca="1"/>
        <v>45915</v>
      </c>
    </row>
    <row r="120" spans="1:12">
      <c r="A120" s="12" t="str">
        <f ca="1">IFERROR(__xludf.DUMMYFUNCTION("""COMPUTED_VALUE"""),"22-09-2025")</f>
        <v>22-09-2025</v>
      </c>
      <c r="B120" s="13" t="str">
        <f ca="1">IFERROR(__xludf.DUMMYFUNCTION("""COMPUTED_VALUE"""),"Makassar")</f>
        <v>Makassar</v>
      </c>
      <c r="C120" s="13" t="str">
        <f ca="1">IFERROR(__xludf.DUMMYFUNCTION("""COMPUTED_VALUE"""),"P02")</f>
        <v>P02</v>
      </c>
      <c r="D120" s="13">
        <f ca="1">IFERROR(__xludf.DUMMYFUNCTION("""COMPUTED_VALUE"""),3)</f>
        <v>3</v>
      </c>
      <c r="E120" s="14">
        <f ca="1">IFERROR(__xludf.DUMMYFUNCTION("""COMPUTED_VALUE"""),30000)</f>
        <v>30000</v>
      </c>
      <c r="F120" s="14">
        <f ca="1">IFERROR(__xludf.DUMMYFUNCTION("""COMPUTED_VALUE"""),90000)</f>
        <v>90000</v>
      </c>
      <c r="G120" s="13" t="str">
        <f ca="1"/>
        <v>Latte</v>
      </c>
      <c r="H120" s="13" t="str">
        <f ca="1"/>
        <v>Coffee</v>
      </c>
      <c r="I120" s="13">
        <f ca="1">IFERROR(__xludf.DUMMYFUNCTION("""COMPUTED_VALUE"""),22)</f>
        <v>22</v>
      </c>
      <c r="J120" s="13">
        <f ca="1">IFERROR(__xludf.DUMMYFUNCTION("""COMPUTED_VALUE"""),9)</f>
        <v>9</v>
      </c>
      <c r="K120" s="13">
        <f ca="1">IFERROR(__xludf.DUMMYFUNCTION("""COMPUTED_VALUE"""),2025)</f>
        <v>2025</v>
      </c>
      <c r="L120" s="15">
        <f ca="1"/>
        <v>45922</v>
      </c>
    </row>
    <row r="121" spans="1:12">
      <c r="A121" s="12" t="str">
        <f ca="1">IFERROR(__xludf.DUMMYFUNCTION("""COMPUTED_VALUE"""),"29-09-2025")</f>
        <v>29-09-2025</v>
      </c>
      <c r="B121" s="13" t="str">
        <f ca="1">IFERROR(__xludf.DUMMYFUNCTION("""COMPUTED_VALUE"""),"Makassar")</f>
        <v>Makassar</v>
      </c>
      <c r="C121" s="13" t="str">
        <f ca="1">IFERROR(__xludf.DUMMYFUNCTION("""COMPUTED_VALUE"""),"P03")</f>
        <v>P03</v>
      </c>
      <c r="D121" s="13">
        <f ca="1">IFERROR(__xludf.DUMMYFUNCTION("""COMPUTED_VALUE"""),1)</f>
        <v>1</v>
      </c>
      <c r="E121" s="14">
        <f ca="1">IFERROR(__xludf.DUMMYFUNCTION("""COMPUTED_VALUE"""),30000)</f>
        <v>30000</v>
      </c>
      <c r="F121" s="14">
        <f ca="1">IFERROR(__xludf.DUMMYFUNCTION("""COMPUTED_VALUE"""),30000)</f>
        <v>30000</v>
      </c>
      <c r="G121" s="13" t="str">
        <f ca="1"/>
        <v>Espresso</v>
      </c>
      <c r="H121" s="13" t="str">
        <f ca="1"/>
        <v>Coffee</v>
      </c>
      <c r="I121" s="13">
        <f ca="1">IFERROR(__xludf.DUMMYFUNCTION("""COMPUTED_VALUE"""),29)</f>
        <v>29</v>
      </c>
      <c r="J121" s="13">
        <f ca="1">IFERROR(__xludf.DUMMYFUNCTION("""COMPUTED_VALUE"""),9)</f>
        <v>9</v>
      </c>
      <c r="K121" s="13">
        <f ca="1">IFERROR(__xludf.DUMMYFUNCTION("""COMPUTED_VALUE"""),2025)</f>
        <v>2025</v>
      </c>
      <c r="L121" s="15">
        <f ca="1"/>
        <v>45929</v>
      </c>
    </row>
    <row r="122" spans="1:12">
      <c r="A122" s="12" t="str">
        <f ca="1">IFERROR(__xludf.DUMMYFUNCTION("""COMPUTED_VALUE"""),"11-09-2025")</f>
        <v>11-09-2025</v>
      </c>
      <c r="B122" s="13" t="str">
        <f ca="1">IFERROR(__xludf.DUMMYFUNCTION("""COMPUTED_VALUE"""),"Semarang")</f>
        <v>Semarang</v>
      </c>
      <c r="C122" s="13" t="str">
        <f ca="1">IFERROR(__xludf.DUMMYFUNCTION("""COMPUTED_VALUE"""),"P01")</f>
        <v>P01</v>
      </c>
      <c r="D122" s="13">
        <f ca="1">IFERROR(__xludf.DUMMYFUNCTION("""COMPUTED_VALUE"""),1)</f>
        <v>1</v>
      </c>
      <c r="E122" s="14">
        <f ca="1">IFERROR(__xludf.DUMMYFUNCTION("""COMPUTED_VALUE"""),30000)</f>
        <v>30000</v>
      </c>
      <c r="F122" s="14">
        <f ca="1">IFERROR(__xludf.DUMMYFUNCTION("""COMPUTED_VALUE"""),30000)</f>
        <v>30000</v>
      </c>
      <c r="G122" s="13" t="str">
        <f ca="1"/>
        <v>Cappuccino</v>
      </c>
      <c r="H122" s="13" t="str">
        <f ca="1"/>
        <v>Coffee</v>
      </c>
      <c r="I122" s="13">
        <f ca="1">IFERROR(__xludf.DUMMYFUNCTION("""COMPUTED_VALUE"""),11)</f>
        <v>11</v>
      </c>
      <c r="J122" s="13">
        <f ca="1">IFERROR(__xludf.DUMMYFUNCTION("""COMPUTED_VALUE"""),9)</f>
        <v>9</v>
      </c>
      <c r="K122" s="13">
        <f ca="1">IFERROR(__xludf.DUMMYFUNCTION("""COMPUTED_VALUE"""),2025)</f>
        <v>2025</v>
      </c>
      <c r="L122" s="15">
        <f ca="1"/>
        <v>45911</v>
      </c>
    </row>
    <row r="123" spans="1:12">
      <c r="A123" s="12" t="str">
        <f ca="1">IFERROR(__xludf.DUMMYFUNCTION("""COMPUTED_VALUE"""),"20-09-2025")</f>
        <v>20-09-2025</v>
      </c>
      <c r="B123" s="13" t="str">
        <f ca="1">IFERROR(__xludf.DUMMYFUNCTION("""COMPUTED_VALUE"""),"Semarang")</f>
        <v>Semarang</v>
      </c>
      <c r="C123" s="13" t="str">
        <f ca="1">IFERROR(__xludf.DUMMYFUNCTION("""COMPUTED_VALUE"""),"P02")</f>
        <v>P02</v>
      </c>
      <c r="D123" s="13">
        <f ca="1">IFERROR(__xludf.DUMMYFUNCTION("""COMPUTED_VALUE"""),4)</f>
        <v>4</v>
      </c>
      <c r="E123" s="14">
        <f ca="1">IFERROR(__xludf.DUMMYFUNCTION("""COMPUTED_VALUE"""),30000)</f>
        <v>30000</v>
      </c>
      <c r="F123" s="14">
        <f ca="1">IFERROR(__xludf.DUMMYFUNCTION("""COMPUTED_VALUE"""),120000)</f>
        <v>120000</v>
      </c>
      <c r="G123" s="13" t="str">
        <f ca="1"/>
        <v>Latte</v>
      </c>
      <c r="H123" s="13" t="str">
        <f ca="1"/>
        <v>Coffee</v>
      </c>
      <c r="I123" s="13">
        <f ca="1">IFERROR(__xludf.DUMMYFUNCTION("""COMPUTED_VALUE"""),20)</f>
        <v>20</v>
      </c>
      <c r="J123" s="13">
        <f ca="1">IFERROR(__xludf.DUMMYFUNCTION("""COMPUTED_VALUE"""),9)</f>
        <v>9</v>
      </c>
      <c r="K123" s="13">
        <f ca="1">IFERROR(__xludf.DUMMYFUNCTION("""COMPUTED_VALUE"""),2025)</f>
        <v>2025</v>
      </c>
      <c r="L123" s="15">
        <f ca="1"/>
        <v>45920</v>
      </c>
    </row>
    <row r="124" spans="1:12">
      <c r="A124" s="12" t="str">
        <f ca="1">IFERROR(__xludf.DUMMYFUNCTION("""COMPUTED_VALUE"""),"05-09-2025")</f>
        <v>05-09-2025</v>
      </c>
      <c r="B124" s="13" t="str">
        <f ca="1">IFERROR(__xludf.DUMMYFUNCTION("""COMPUTED_VALUE"""),"Semarang")</f>
        <v>Semarang</v>
      </c>
      <c r="C124" s="13" t="str">
        <f ca="1">IFERROR(__xludf.DUMMYFUNCTION("""COMPUTED_VALUE"""),"P03")</f>
        <v>P03</v>
      </c>
      <c r="D124" s="13">
        <f ca="1">IFERROR(__xludf.DUMMYFUNCTION("""COMPUTED_VALUE"""),1)</f>
        <v>1</v>
      </c>
      <c r="E124" s="14">
        <f ca="1">IFERROR(__xludf.DUMMYFUNCTION("""COMPUTED_VALUE"""),20000)</f>
        <v>20000</v>
      </c>
      <c r="F124" s="14">
        <f ca="1">IFERROR(__xludf.DUMMYFUNCTION("""COMPUTED_VALUE"""),20000)</f>
        <v>20000</v>
      </c>
      <c r="G124" s="13" t="str">
        <f ca="1"/>
        <v>Espresso</v>
      </c>
      <c r="H124" s="13" t="str">
        <f ca="1"/>
        <v>Coffee</v>
      </c>
      <c r="I124" s="13">
        <f ca="1">IFERROR(__xludf.DUMMYFUNCTION("""COMPUTED_VALUE"""),5)</f>
        <v>5</v>
      </c>
      <c r="J124" s="13">
        <f ca="1">IFERROR(__xludf.DUMMYFUNCTION("""COMPUTED_VALUE"""),9)</f>
        <v>9</v>
      </c>
      <c r="K124" s="13">
        <f ca="1">IFERROR(__xludf.DUMMYFUNCTION("""COMPUTED_VALUE"""),2025)</f>
        <v>2025</v>
      </c>
      <c r="L124" s="15">
        <f ca="1"/>
        <v>45905</v>
      </c>
    </row>
    <row r="125" spans="1:12">
      <c r="A125" s="12" t="str">
        <f ca="1">IFERROR(__xludf.DUMMYFUNCTION("""COMPUTED_VALUE"""),"14-09-2025")</f>
        <v>14-09-2025</v>
      </c>
      <c r="B125" s="13" t="str">
        <f ca="1">IFERROR(__xludf.DUMMYFUNCTION("""COMPUTED_VALUE"""),"Semarang")</f>
        <v>Semarang</v>
      </c>
      <c r="C125" s="13" t="str">
        <f ca="1">IFERROR(__xludf.DUMMYFUNCTION("""COMPUTED_VALUE"""),"P04")</f>
        <v>P04</v>
      </c>
      <c r="D125" s="13">
        <f ca="1">IFERROR(__xludf.DUMMYFUNCTION("""COMPUTED_VALUE"""),1)</f>
        <v>1</v>
      </c>
      <c r="E125" s="14">
        <f ca="1">IFERROR(__xludf.DUMMYFUNCTION("""COMPUTED_VALUE"""),20000)</f>
        <v>20000</v>
      </c>
      <c r="F125" s="14">
        <f ca="1">IFERROR(__xludf.DUMMYFUNCTION("""COMPUTED_VALUE"""),20000)</f>
        <v>20000</v>
      </c>
      <c r="G125" s="13" t="str">
        <f ca="1"/>
        <v>Americano</v>
      </c>
      <c r="H125" s="13" t="str">
        <f ca="1"/>
        <v>Coffee</v>
      </c>
      <c r="I125" s="13">
        <f ca="1">IFERROR(__xludf.DUMMYFUNCTION("""COMPUTED_VALUE"""),14)</f>
        <v>14</v>
      </c>
      <c r="J125" s="13">
        <f ca="1">IFERROR(__xludf.DUMMYFUNCTION("""COMPUTED_VALUE"""),9)</f>
        <v>9</v>
      </c>
      <c r="K125" s="13">
        <f ca="1">IFERROR(__xludf.DUMMYFUNCTION("""COMPUTED_VALUE"""),2025)</f>
        <v>2025</v>
      </c>
      <c r="L125" s="15">
        <f ca="1"/>
        <v>45914</v>
      </c>
    </row>
    <row r="126" spans="1:12">
      <c r="A126" s="12" t="str">
        <f ca="1">IFERROR(__xludf.DUMMYFUNCTION("""COMPUTED_VALUE"""),"20-09-2025")</f>
        <v>20-09-2025</v>
      </c>
      <c r="B126" s="13" t="str">
        <f ca="1">IFERROR(__xludf.DUMMYFUNCTION("""COMPUTED_VALUE"""),"Semarang")</f>
        <v>Semarang</v>
      </c>
      <c r="C126" s="13" t="str">
        <f ca="1">IFERROR(__xludf.DUMMYFUNCTION("""COMPUTED_VALUE"""),"P05")</f>
        <v>P05</v>
      </c>
      <c r="D126" s="13">
        <f ca="1">IFERROR(__xludf.DUMMYFUNCTION("""COMPUTED_VALUE"""),4)</f>
        <v>4</v>
      </c>
      <c r="E126" s="14">
        <f ca="1">IFERROR(__xludf.DUMMYFUNCTION("""COMPUTED_VALUE"""),30000)</f>
        <v>30000</v>
      </c>
      <c r="F126" s="14">
        <f ca="1">IFERROR(__xludf.DUMMYFUNCTION("""COMPUTED_VALUE"""),120000)</f>
        <v>120000</v>
      </c>
      <c r="G126" s="13" t="str">
        <f ca="1"/>
        <v>Mocha</v>
      </c>
      <c r="H126" s="13" t="str">
        <f ca="1"/>
        <v>Chocolate</v>
      </c>
      <c r="I126" s="13">
        <f ca="1">IFERROR(__xludf.DUMMYFUNCTION("""COMPUTED_VALUE"""),20)</f>
        <v>20</v>
      </c>
      <c r="J126" s="13">
        <f ca="1">IFERROR(__xludf.DUMMYFUNCTION("""COMPUTED_VALUE"""),9)</f>
        <v>9</v>
      </c>
      <c r="K126" s="13">
        <f ca="1">IFERROR(__xludf.DUMMYFUNCTION("""COMPUTED_VALUE"""),2025)</f>
        <v>2025</v>
      </c>
      <c r="L126" s="15">
        <f ca="1"/>
        <v>45920</v>
      </c>
    </row>
    <row r="127" spans="1:12">
      <c r="A127" s="12" t="str">
        <f ca="1">IFERROR(__xludf.DUMMYFUNCTION("""COMPUTED_VALUE"""),"27-09-2025")</f>
        <v>27-09-2025</v>
      </c>
      <c r="B127" s="13" t="str">
        <f ca="1">IFERROR(__xludf.DUMMYFUNCTION("""COMPUTED_VALUE"""),"Semarang")</f>
        <v>Semarang</v>
      </c>
      <c r="C127" s="13" t="str">
        <f ca="1">IFERROR(__xludf.DUMMYFUNCTION("""COMPUTED_VALUE"""),"P05")</f>
        <v>P05</v>
      </c>
      <c r="D127" s="13">
        <f ca="1">IFERROR(__xludf.DUMMYFUNCTION("""COMPUTED_VALUE"""),1)</f>
        <v>1</v>
      </c>
      <c r="E127" s="14">
        <f ca="1">IFERROR(__xludf.DUMMYFUNCTION("""COMPUTED_VALUE"""),25000)</f>
        <v>25000</v>
      </c>
      <c r="F127" s="14">
        <f ca="1">IFERROR(__xludf.DUMMYFUNCTION("""COMPUTED_VALUE"""),25000)</f>
        <v>25000</v>
      </c>
      <c r="G127" s="13" t="str">
        <f ca="1"/>
        <v>Mocha</v>
      </c>
      <c r="H127" s="13" t="str">
        <f ca="1"/>
        <v>Chocolate</v>
      </c>
      <c r="I127" s="13">
        <f ca="1">IFERROR(__xludf.DUMMYFUNCTION("""COMPUTED_VALUE"""),27)</f>
        <v>27</v>
      </c>
      <c r="J127" s="13">
        <f ca="1">IFERROR(__xludf.DUMMYFUNCTION("""COMPUTED_VALUE"""),9)</f>
        <v>9</v>
      </c>
      <c r="K127" s="13">
        <f ca="1">IFERROR(__xludf.DUMMYFUNCTION("""COMPUTED_VALUE"""),2025)</f>
        <v>2025</v>
      </c>
      <c r="L127" s="15">
        <f ca="1"/>
        <v>45927</v>
      </c>
    </row>
    <row r="128" spans="1:12">
      <c r="A128" s="12" t="str">
        <f ca="1">IFERROR(__xludf.DUMMYFUNCTION("""COMPUTED_VALUE"""),"27-09-2025")</f>
        <v>27-09-2025</v>
      </c>
      <c r="B128" s="13" t="str">
        <f ca="1">IFERROR(__xludf.DUMMYFUNCTION("""COMPUTED_VALUE"""),"Semarang")</f>
        <v>Semarang</v>
      </c>
      <c r="C128" s="13" t="str">
        <f ca="1">IFERROR(__xludf.DUMMYFUNCTION("""COMPUTED_VALUE"""),"P04")</f>
        <v>P04</v>
      </c>
      <c r="D128" s="13">
        <f ca="1">IFERROR(__xludf.DUMMYFUNCTION("""COMPUTED_VALUE"""),5)</f>
        <v>5</v>
      </c>
      <c r="E128" s="14">
        <f ca="1">IFERROR(__xludf.DUMMYFUNCTION("""COMPUTED_VALUE"""),25000)</f>
        <v>25000</v>
      </c>
      <c r="F128" s="14">
        <f ca="1">IFERROR(__xludf.DUMMYFUNCTION("""COMPUTED_VALUE"""),125000)</f>
        <v>125000</v>
      </c>
      <c r="G128" s="13" t="str">
        <f ca="1"/>
        <v>Americano</v>
      </c>
      <c r="H128" s="13" t="str">
        <f ca="1"/>
        <v>Coffee</v>
      </c>
      <c r="I128" s="13">
        <f ca="1">IFERROR(__xludf.DUMMYFUNCTION("""COMPUTED_VALUE"""),27)</f>
        <v>27</v>
      </c>
      <c r="J128" s="13">
        <f ca="1">IFERROR(__xludf.DUMMYFUNCTION("""COMPUTED_VALUE"""),9)</f>
        <v>9</v>
      </c>
      <c r="K128" s="13">
        <f ca="1">IFERROR(__xludf.DUMMYFUNCTION("""COMPUTED_VALUE"""),2025)</f>
        <v>2025</v>
      </c>
      <c r="L128" s="15">
        <f ca="1"/>
        <v>45927</v>
      </c>
    </row>
    <row r="129" spans="1:12">
      <c r="A129" s="12" t="str">
        <f ca="1">IFERROR(__xludf.DUMMYFUNCTION("""COMPUTED_VALUE"""),"26-09-2025")</f>
        <v>26-09-2025</v>
      </c>
      <c r="B129" s="13" t="str">
        <f ca="1">IFERROR(__xludf.DUMMYFUNCTION("""COMPUTED_VALUE"""),"Semarang")</f>
        <v>Semarang</v>
      </c>
      <c r="C129" s="13" t="str">
        <f ca="1">IFERROR(__xludf.DUMMYFUNCTION("""COMPUTED_VALUE"""),"P03")</f>
        <v>P03</v>
      </c>
      <c r="D129" s="13">
        <f ca="1">IFERROR(__xludf.DUMMYFUNCTION("""COMPUTED_VALUE"""),1)</f>
        <v>1</v>
      </c>
      <c r="E129" s="14">
        <f ca="1">IFERROR(__xludf.DUMMYFUNCTION("""COMPUTED_VALUE"""),30000)</f>
        <v>30000</v>
      </c>
      <c r="F129" s="14">
        <f ca="1">IFERROR(__xludf.DUMMYFUNCTION("""COMPUTED_VALUE"""),30000)</f>
        <v>30000</v>
      </c>
      <c r="G129" s="13" t="str">
        <f ca="1"/>
        <v>Espresso</v>
      </c>
      <c r="H129" s="13" t="str">
        <f ca="1"/>
        <v>Coffee</v>
      </c>
      <c r="I129" s="13">
        <f ca="1">IFERROR(__xludf.DUMMYFUNCTION("""COMPUTED_VALUE"""),26)</f>
        <v>26</v>
      </c>
      <c r="J129" s="13">
        <f ca="1">IFERROR(__xludf.DUMMYFUNCTION("""COMPUTED_VALUE"""),9)</f>
        <v>9</v>
      </c>
      <c r="K129" s="13">
        <f ca="1">IFERROR(__xludf.DUMMYFUNCTION("""COMPUTED_VALUE"""),2025)</f>
        <v>2025</v>
      </c>
      <c r="L129" s="15">
        <f ca="1"/>
        <v>45926</v>
      </c>
    </row>
    <row r="130" spans="1:12">
      <c r="A130" s="12" t="str">
        <f ca="1">IFERROR(__xludf.DUMMYFUNCTION("""COMPUTED_VALUE"""),"10-09-2025")</f>
        <v>10-09-2025</v>
      </c>
      <c r="B130" s="13" t="str">
        <f ca="1">IFERROR(__xludf.DUMMYFUNCTION("""COMPUTED_VALUE"""),"Semarang")</f>
        <v>Semarang</v>
      </c>
      <c r="C130" s="13" t="str">
        <f ca="1">IFERROR(__xludf.DUMMYFUNCTION("""COMPUTED_VALUE"""),"P02")</f>
        <v>P02</v>
      </c>
      <c r="D130" s="13">
        <f ca="1">IFERROR(__xludf.DUMMYFUNCTION("""COMPUTED_VALUE"""),2)</f>
        <v>2</v>
      </c>
      <c r="E130" s="14">
        <f ca="1">IFERROR(__xludf.DUMMYFUNCTION("""COMPUTED_VALUE"""),30000)</f>
        <v>30000</v>
      </c>
      <c r="F130" s="14">
        <f ca="1">IFERROR(__xludf.DUMMYFUNCTION("""COMPUTED_VALUE"""),60000)</f>
        <v>60000</v>
      </c>
      <c r="G130" s="13" t="str">
        <f ca="1"/>
        <v>Latte</v>
      </c>
      <c r="H130" s="13" t="str">
        <f ca="1"/>
        <v>Coffee</v>
      </c>
      <c r="I130" s="13">
        <f ca="1">IFERROR(__xludf.DUMMYFUNCTION("""COMPUTED_VALUE"""),10)</f>
        <v>10</v>
      </c>
      <c r="J130" s="13">
        <f ca="1">IFERROR(__xludf.DUMMYFUNCTION("""COMPUTED_VALUE"""),9)</f>
        <v>9</v>
      </c>
      <c r="K130" s="13">
        <f ca="1">IFERROR(__xludf.DUMMYFUNCTION("""COMPUTED_VALUE"""),2025)</f>
        <v>2025</v>
      </c>
      <c r="L130" s="15">
        <f ca="1"/>
        <v>45910</v>
      </c>
    </row>
    <row r="131" spans="1:12">
      <c r="A131" s="12" t="str">
        <f ca="1">IFERROR(__xludf.DUMMYFUNCTION("""COMPUTED_VALUE"""),"17-09-2025")</f>
        <v>17-09-2025</v>
      </c>
      <c r="B131" s="13" t="str">
        <f ca="1">IFERROR(__xludf.DUMMYFUNCTION("""COMPUTED_VALUE"""),"Semarang")</f>
        <v>Semarang</v>
      </c>
      <c r="C131" s="13" t="str">
        <f ca="1">IFERROR(__xludf.DUMMYFUNCTION("""COMPUTED_VALUE"""),"P01")</f>
        <v>P01</v>
      </c>
      <c r="D131" s="13">
        <f ca="1">IFERROR(__xludf.DUMMYFUNCTION("""COMPUTED_VALUE"""),4)</f>
        <v>4</v>
      </c>
      <c r="E131" s="14">
        <f ca="1">IFERROR(__xludf.DUMMYFUNCTION("""COMPUTED_VALUE"""),20000)</f>
        <v>20000</v>
      </c>
      <c r="F131" s="14">
        <f ca="1">IFERROR(__xludf.DUMMYFUNCTION("""COMPUTED_VALUE"""),80000)</f>
        <v>80000</v>
      </c>
      <c r="G131" s="13" t="str">
        <f ca="1"/>
        <v>Cappuccino</v>
      </c>
      <c r="H131" s="13" t="str">
        <f ca="1"/>
        <v>Coffee</v>
      </c>
      <c r="I131" s="13">
        <f ca="1">IFERROR(__xludf.DUMMYFUNCTION("""COMPUTED_VALUE"""),17)</f>
        <v>17</v>
      </c>
      <c r="J131" s="13">
        <f ca="1">IFERROR(__xludf.DUMMYFUNCTION("""COMPUTED_VALUE"""),9)</f>
        <v>9</v>
      </c>
      <c r="K131" s="13">
        <f ca="1">IFERROR(__xludf.DUMMYFUNCTION("""COMPUTED_VALUE"""),2025)</f>
        <v>2025</v>
      </c>
      <c r="L131" s="15">
        <f ca="1"/>
        <v>45917</v>
      </c>
    </row>
    <row r="132" spans="1:12">
      <c r="A132" s="12" t="str">
        <f ca="1">IFERROR(__xludf.DUMMYFUNCTION("""COMPUTED_VALUE"""),"18-09-2025")</f>
        <v>18-09-2025</v>
      </c>
      <c r="B132" s="13" t="str">
        <f ca="1">IFERROR(__xludf.DUMMYFUNCTION("""COMPUTED_VALUE"""),"Semarang")</f>
        <v>Semarang</v>
      </c>
      <c r="C132" s="13" t="str">
        <f ca="1">IFERROR(__xludf.DUMMYFUNCTION("""COMPUTED_VALUE"""),"P01")</f>
        <v>P01</v>
      </c>
      <c r="D132" s="13">
        <f ca="1">IFERROR(__xludf.DUMMYFUNCTION("""COMPUTED_VALUE"""),3)</f>
        <v>3</v>
      </c>
      <c r="E132" s="14">
        <f ca="1">IFERROR(__xludf.DUMMYFUNCTION("""COMPUTED_VALUE"""),25000)</f>
        <v>25000</v>
      </c>
      <c r="F132" s="14">
        <f ca="1">IFERROR(__xludf.DUMMYFUNCTION("""COMPUTED_VALUE"""),75000)</f>
        <v>75000</v>
      </c>
      <c r="G132" s="13" t="str">
        <f ca="1"/>
        <v>Cappuccino</v>
      </c>
      <c r="H132" s="13" t="str">
        <f ca="1"/>
        <v>Coffee</v>
      </c>
      <c r="I132" s="13">
        <f ca="1">IFERROR(__xludf.DUMMYFUNCTION("""COMPUTED_VALUE"""),18)</f>
        <v>18</v>
      </c>
      <c r="J132" s="13">
        <f ca="1">IFERROR(__xludf.DUMMYFUNCTION("""COMPUTED_VALUE"""),9)</f>
        <v>9</v>
      </c>
      <c r="K132" s="13">
        <f ca="1">IFERROR(__xludf.DUMMYFUNCTION("""COMPUTED_VALUE"""),2025)</f>
        <v>2025</v>
      </c>
      <c r="L132" s="15">
        <f ca="1"/>
        <v>45918</v>
      </c>
    </row>
    <row r="133" spans="1:12">
      <c r="A133" s="12" t="str">
        <f ca="1">IFERROR(__xludf.DUMMYFUNCTION("""COMPUTED_VALUE"""),"16-09-2025")</f>
        <v>16-09-2025</v>
      </c>
      <c r="B133" s="13" t="str">
        <f ca="1">IFERROR(__xludf.DUMMYFUNCTION("""COMPUTED_VALUE"""),"Semarang")</f>
        <v>Semarang</v>
      </c>
      <c r="C133" s="13" t="str">
        <f ca="1">IFERROR(__xludf.DUMMYFUNCTION("""COMPUTED_VALUE"""),"P02")</f>
        <v>P02</v>
      </c>
      <c r="D133" s="13">
        <f ca="1">IFERROR(__xludf.DUMMYFUNCTION("""COMPUTED_VALUE"""),1)</f>
        <v>1</v>
      </c>
      <c r="E133" s="14">
        <f ca="1">IFERROR(__xludf.DUMMYFUNCTION("""COMPUTED_VALUE"""),25000)</f>
        <v>25000</v>
      </c>
      <c r="F133" s="14">
        <f ca="1">IFERROR(__xludf.DUMMYFUNCTION("""COMPUTED_VALUE"""),25000)</f>
        <v>25000</v>
      </c>
      <c r="G133" s="13" t="str">
        <f ca="1"/>
        <v>Latte</v>
      </c>
      <c r="H133" s="13" t="str">
        <f ca="1"/>
        <v>Coffee</v>
      </c>
      <c r="I133" s="13">
        <f ca="1">IFERROR(__xludf.DUMMYFUNCTION("""COMPUTED_VALUE"""),16)</f>
        <v>16</v>
      </c>
      <c r="J133" s="13">
        <f ca="1">IFERROR(__xludf.DUMMYFUNCTION("""COMPUTED_VALUE"""),9)</f>
        <v>9</v>
      </c>
      <c r="K133" s="13">
        <f ca="1">IFERROR(__xludf.DUMMYFUNCTION("""COMPUTED_VALUE"""),2025)</f>
        <v>2025</v>
      </c>
      <c r="L133" s="15">
        <f ca="1"/>
        <v>45916</v>
      </c>
    </row>
    <row r="134" spans="1:12">
      <c r="A134" s="12" t="str">
        <f ca="1">IFERROR(__xludf.DUMMYFUNCTION("""COMPUTED_VALUE"""),"01-09-2025")</f>
        <v>01-09-2025</v>
      </c>
      <c r="B134" s="13" t="str">
        <f ca="1">IFERROR(__xludf.DUMMYFUNCTION("""COMPUTED_VALUE"""),"Semarang")</f>
        <v>Semarang</v>
      </c>
      <c r="C134" s="13" t="str">
        <f ca="1">IFERROR(__xludf.DUMMYFUNCTION("""COMPUTED_VALUE"""),"P03")</f>
        <v>P03</v>
      </c>
      <c r="D134" s="13">
        <f ca="1">IFERROR(__xludf.DUMMYFUNCTION("""COMPUTED_VALUE"""),3)</f>
        <v>3</v>
      </c>
      <c r="E134" s="14">
        <f ca="1">IFERROR(__xludf.DUMMYFUNCTION("""COMPUTED_VALUE"""),30000)</f>
        <v>30000</v>
      </c>
      <c r="F134" s="14">
        <f ca="1">IFERROR(__xludf.DUMMYFUNCTION("""COMPUTED_VALUE"""),90000)</f>
        <v>90000</v>
      </c>
      <c r="G134" s="13" t="str">
        <f ca="1"/>
        <v>Espresso</v>
      </c>
      <c r="H134" s="13" t="str">
        <f ca="1"/>
        <v>Coffee</v>
      </c>
      <c r="I134" s="13">
        <f ca="1">IFERROR(__xludf.DUMMYFUNCTION("""COMPUTED_VALUE"""),1)</f>
        <v>1</v>
      </c>
      <c r="J134" s="13">
        <f ca="1">IFERROR(__xludf.DUMMYFUNCTION("""COMPUTED_VALUE"""),9)</f>
        <v>9</v>
      </c>
      <c r="K134" s="13">
        <f ca="1">IFERROR(__xludf.DUMMYFUNCTION("""COMPUTED_VALUE"""),2025)</f>
        <v>2025</v>
      </c>
      <c r="L134" s="15">
        <f ca="1"/>
        <v>45901</v>
      </c>
    </row>
    <row r="135" spans="1:12">
      <c r="A135" s="12" t="str">
        <f ca="1">IFERROR(__xludf.DUMMYFUNCTION("""COMPUTED_VALUE"""),"04-09-2025")</f>
        <v>04-09-2025</v>
      </c>
      <c r="B135" s="13" t="str">
        <f ca="1">IFERROR(__xludf.DUMMYFUNCTION("""COMPUTED_VALUE"""),"Semarang")</f>
        <v>Semarang</v>
      </c>
      <c r="C135" s="13" t="str">
        <f ca="1">IFERROR(__xludf.DUMMYFUNCTION("""COMPUTED_VALUE"""),"P04")</f>
        <v>P04</v>
      </c>
      <c r="D135" s="13">
        <f ca="1">IFERROR(__xludf.DUMMYFUNCTION("""COMPUTED_VALUE"""),3)</f>
        <v>3</v>
      </c>
      <c r="E135" s="14">
        <f ca="1">IFERROR(__xludf.DUMMYFUNCTION("""COMPUTED_VALUE"""),28000)</f>
        <v>28000</v>
      </c>
      <c r="F135" s="14">
        <f ca="1">IFERROR(__xludf.DUMMYFUNCTION("""COMPUTED_VALUE"""),84000)</f>
        <v>84000</v>
      </c>
      <c r="G135" s="13" t="str">
        <f ca="1"/>
        <v>Americano</v>
      </c>
      <c r="H135" s="13" t="str">
        <f ca="1"/>
        <v>Coffee</v>
      </c>
      <c r="I135" s="13">
        <f ca="1">IFERROR(__xludf.DUMMYFUNCTION("""COMPUTED_VALUE"""),4)</f>
        <v>4</v>
      </c>
      <c r="J135" s="13">
        <f ca="1">IFERROR(__xludf.DUMMYFUNCTION("""COMPUTED_VALUE"""),9)</f>
        <v>9</v>
      </c>
      <c r="K135" s="13">
        <f ca="1">IFERROR(__xludf.DUMMYFUNCTION("""COMPUTED_VALUE"""),2025)</f>
        <v>2025</v>
      </c>
      <c r="L135" s="15">
        <f ca="1"/>
        <v>45904</v>
      </c>
    </row>
    <row r="136" spans="1:12">
      <c r="A136" s="12" t="str">
        <f ca="1">IFERROR(__xludf.DUMMYFUNCTION("""COMPUTED_VALUE"""),"30-09-2025")</f>
        <v>30-09-2025</v>
      </c>
      <c r="B136" s="13" t="str">
        <f ca="1">IFERROR(__xludf.DUMMYFUNCTION("""COMPUTED_VALUE"""),"Semarang")</f>
        <v>Semarang</v>
      </c>
      <c r="C136" s="13" t="str">
        <f ca="1">IFERROR(__xludf.DUMMYFUNCTION("""COMPUTED_VALUE"""),"P05")</f>
        <v>P05</v>
      </c>
      <c r="D136" s="13">
        <f ca="1">IFERROR(__xludf.DUMMYFUNCTION("""COMPUTED_VALUE"""),1)</f>
        <v>1</v>
      </c>
      <c r="E136" s="14">
        <f ca="1">IFERROR(__xludf.DUMMYFUNCTION("""COMPUTED_VALUE"""),35000)</f>
        <v>35000</v>
      </c>
      <c r="F136" s="14">
        <f ca="1">IFERROR(__xludf.DUMMYFUNCTION("""COMPUTED_VALUE"""),35000)</f>
        <v>35000</v>
      </c>
      <c r="G136" s="13" t="str">
        <f ca="1"/>
        <v>Mocha</v>
      </c>
      <c r="H136" s="13" t="str">
        <f ca="1"/>
        <v>Chocolate</v>
      </c>
      <c r="I136" s="13">
        <f ca="1">IFERROR(__xludf.DUMMYFUNCTION("""COMPUTED_VALUE"""),30)</f>
        <v>30</v>
      </c>
      <c r="J136" s="13">
        <f ca="1">IFERROR(__xludf.DUMMYFUNCTION("""COMPUTED_VALUE"""),9)</f>
        <v>9</v>
      </c>
      <c r="K136" s="13">
        <f ca="1">IFERROR(__xludf.DUMMYFUNCTION("""COMPUTED_VALUE"""),2025)</f>
        <v>2025</v>
      </c>
      <c r="L136" s="15">
        <f ca="1"/>
        <v>45930</v>
      </c>
    </row>
    <row r="137" spans="1:12">
      <c r="A137" s="12" t="str">
        <f ca="1">IFERROR(__xludf.DUMMYFUNCTION("""COMPUTED_VALUE"""),"16-09-2025")</f>
        <v>16-09-2025</v>
      </c>
      <c r="B137" s="13" t="str">
        <f ca="1">IFERROR(__xludf.DUMMYFUNCTION("""COMPUTED_VALUE"""),"Semarang")</f>
        <v>Semarang</v>
      </c>
      <c r="C137" s="13" t="str">
        <f ca="1">IFERROR(__xludf.DUMMYFUNCTION("""COMPUTED_VALUE"""),"P05")</f>
        <v>P05</v>
      </c>
      <c r="D137" s="13">
        <f ca="1">IFERROR(__xludf.DUMMYFUNCTION("""COMPUTED_VALUE"""),1)</f>
        <v>1</v>
      </c>
      <c r="E137" s="14">
        <f ca="1">IFERROR(__xludf.DUMMYFUNCTION("""COMPUTED_VALUE"""),28000)</f>
        <v>28000</v>
      </c>
      <c r="F137" s="14">
        <f ca="1">IFERROR(__xludf.DUMMYFUNCTION("""COMPUTED_VALUE"""),28000)</f>
        <v>28000</v>
      </c>
      <c r="G137" s="13" t="str">
        <f ca="1"/>
        <v>Mocha</v>
      </c>
      <c r="H137" s="13" t="str">
        <f ca="1"/>
        <v>Chocolate</v>
      </c>
      <c r="I137" s="13">
        <f ca="1">IFERROR(__xludf.DUMMYFUNCTION("""COMPUTED_VALUE"""),16)</f>
        <v>16</v>
      </c>
      <c r="J137" s="13">
        <f ca="1">IFERROR(__xludf.DUMMYFUNCTION("""COMPUTED_VALUE"""),9)</f>
        <v>9</v>
      </c>
      <c r="K137" s="13">
        <f ca="1">IFERROR(__xludf.DUMMYFUNCTION("""COMPUTED_VALUE"""),2025)</f>
        <v>2025</v>
      </c>
      <c r="L137" s="15">
        <f ca="1"/>
        <v>45916</v>
      </c>
    </row>
    <row r="138" spans="1:12">
      <c r="A138" s="12" t="str">
        <f ca="1">IFERROR(__xludf.DUMMYFUNCTION("""COMPUTED_VALUE"""),"29-09-2025")</f>
        <v>29-09-2025</v>
      </c>
      <c r="B138" s="13" t="str">
        <f ca="1">IFERROR(__xludf.DUMMYFUNCTION("""COMPUTED_VALUE"""),"Semarang")</f>
        <v>Semarang</v>
      </c>
      <c r="C138" s="13" t="str">
        <f ca="1">IFERROR(__xludf.DUMMYFUNCTION("""COMPUTED_VALUE"""),"P04")</f>
        <v>P04</v>
      </c>
      <c r="D138" s="13">
        <f ca="1">IFERROR(__xludf.DUMMYFUNCTION("""COMPUTED_VALUE"""),2)</f>
        <v>2</v>
      </c>
      <c r="E138" s="14">
        <f ca="1">IFERROR(__xludf.DUMMYFUNCTION("""COMPUTED_VALUE"""),35000)</f>
        <v>35000</v>
      </c>
      <c r="F138" s="14">
        <f ca="1">IFERROR(__xludf.DUMMYFUNCTION("""COMPUTED_VALUE"""),70000)</f>
        <v>70000</v>
      </c>
      <c r="G138" s="13" t="str">
        <f ca="1"/>
        <v>Americano</v>
      </c>
      <c r="H138" s="13" t="str">
        <f ca="1"/>
        <v>Coffee</v>
      </c>
      <c r="I138" s="13">
        <f ca="1">IFERROR(__xludf.DUMMYFUNCTION("""COMPUTED_VALUE"""),29)</f>
        <v>29</v>
      </c>
      <c r="J138" s="13">
        <f ca="1">IFERROR(__xludf.DUMMYFUNCTION("""COMPUTED_VALUE"""),9)</f>
        <v>9</v>
      </c>
      <c r="K138" s="13">
        <f ca="1">IFERROR(__xludf.DUMMYFUNCTION("""COMPUTED_VALUE"""),2025)</f>
        <v>2025</v>
      </c>
      <c r="L138" s="15">
        <f ca="1"/>
        <v>45929</v>
      </c>
    </row>
    <row r="139" spans="1:12">
      <c r="A139" s="12" t="str">
        <f ca="1">IFERROR(__xludf.DUMMYFUNCTION("""COMPUTED_VALUE"""),"20-09-2025")</f>
        <v>20-09-2025</v>
      </c>
      <c r="B139" s="13" t="str">
        <f ca="1">IFERROR(__xludf.DUMMYFUNCTION("""COMPUTED_VALUE"""),"Semarang")</f>
        <v>Semarang</v>
      </c>
      <c r="C139" s="13" t="str">
        <f ca="1">IFERROR(__xludf.DUMMYFUNCTION("""COMPUTED_VALUE"""),"P03")</f>
        <v>P03</v>
      </c>
      <c r="D139" s="13">
        <f ca="1">IFERROR(__xludf.DUMMYFUNCTION("""COMPUTED_VALUE"""),1)</f>
        <v>1</v>
      </c>
      <c r="E139" s="14">
        <f ca="1">IFERROR(__xludf.DUMMYFUNCTION("""COMPUTED_VALUE"""),35000)</f>
        <v>35000</v>
      </c>
      <c r="F139" s="14">
        <f ca="1">IFERROR(__xludf.DUMMYFUNCTION("""COMPUTED_VALUE"""),35000)</f>
        <v>35000</v>
      </c>
      <c r="G139" s="13" t="str">
        <f ca="1"/>
        <v>Espresso</v>
      </c>
      <c r="H139" s="13" t="str">
        <f ca="1"/>
        <v>Coffee</v>
      </c>
      <c r="I139" s="13">
        <f ca="1">IFERROR(__xludf.DUMMYFUNCTION("""COMPUTED_VALUE"""),20)</f>
        <v>20</v>
      </c>
      <c r="J139" s="13">
        <f ca="1">IFERROR(__xludf.DUMMYFUNCTION("""COMPUTED_VALUE"""),9)</f>
        <v>9</v>
      </c>
      <c r="K139" s="13">
        <f ca="1">IFERROR(__xludf.DUMMYFUNCTION("""COMPUTED_VALUE"""),2025)</f>
        <v>2025</v>
      </c>
      <c r="L139" s="15">
        <f ca="1"/>
        <v>45920</v>
      </c>
    </row>
    <row r="140" spans="1:12">
      <c r="A140" s="12" t="str">
        <f ca="1">IFERROR(__xludf.DUMMYFUNCTION("""COMPUTED_VALUE"""),"04-09-2025")</f>
        <v>04-09-2025</v>
      </c>
      <c r="B140" s="13" t="str">
        <f ca="1">IFERROR(__xludf.DUMMYFUNCTION("""COMPUTED_VALUE"""),"Semarang")</f>
        <v>Semarang</v>
      </c>
      <c r="C140" s="13" t="str">
        <f ca="1">IFERROR(__xludf.DUMMYFUNCTION("""COMPUTED_VALUE"""),"P02")</f>
        <v>P02</v>
      </c>
      <c r="D140" s="13">
        <f ca="1">IFERROR(__xludf.DUMMYFUNCTION("""COMPUTED_VALUE"""),5)</f>
        <v>5</v>
      </c>
      <c r="E140" s="14">
        <f ca="1">IFERROR(__xludf.DUMMYFUNCTION("""COMPUTED_VALUE"""),30000)</f>
        <v>30000</v>
      </c>
      <c r="F140" s="14">
        <f ca="1">IFERROR(__xludf.DUMMYFUNCTION("""COMPUTED_VALUE"""),150000)</f>
        <v>150000</v>
      </c>
      <c r="G140" s="13" t="str">
        <f ca="1"/>
        <v>Latte</v>
      </c>
      <c r="H140" s="13" t="str">
        <f ca="1"/>
        <v>Coffee</v>
      </c>
      <c r="I140" s="13">
        <f ca="1">IFERROR(__xludf.DUMMYFUNCTION("""COMPUTED_VALUE"""),4)</f>
        <v>4</v>
      </c>
      <c r="J140" s="13">
        <f ca="1">IFERROR(__xludf.DUMMYFUNCTION("""COMPUTED_VALUE"""),9)</f>
        <v>9</v>
      </c>
      <c r="K140" s="13">
        <f ca="1">IFERROR(__xludf.DUMMYFUNCTION("""COMPUTED_VALUE"""),2025)</f>
        <v>2025</v>
      </c>
      <c r="L140" s="15">
        <f ca="1"/>
        <v>45904</v>
      </c>
    </row>
    <row r="141" spans="1:12">
      <c r="A141" s="12" t="str">
        <f ca="1">IFERROR(__xludf.DUMMYFUNCTION("""COMPUTED_VALUE"""),"27-09-2025")</f>
        <v>27-09-2025</v>
      </c>
      <c r="B141" s="13" t="str">
        <f ca="1">IFERROR(__xludf.DUMMYFUNCTION("""COMPUTED_VALUE"""),"Semarang")</f>
        <v>Semarang</v>
      </c>
      <c r="C141" s="13" t="str">
        <f ca="1">IFERROR(__xludf.DUMMYFUNCTION("""COMPUTED_VALUE"""),"P01")</f>
        <v>P01</v>
      </c>
      <c r="D141" s="13">
        <f ca="1">IFERROR(__xludf.DUMMYFUNCTION("""COMPUTED_VALUE"""),3)</f>
        <v>3</v>
      </c>
      <c r="E141" s="14">
        <f ca="1">IFERROR(__xludf.DUMMYFUNCTION("""COMPUTED_VALUE"""),35000)</f>
        <v>35000</v>
      </c>
      <c r="F141" s="14">
        <f ca="1">IFERROR(__xludf.DUMMYFUNCTION("""COMPUTED_VALUE"""),105000)</f>
        <v>105000</v>
      </c>
      <c r="G141" s="13" t="str">
        <f ca="1"/>
        <v>Cappuccino</v>
      </c>
      <c r="H141" s="13" t="str">
        <f ca="1"/>
        <v>Coffee</v>
      </c>
      <c r="I141" s="13">
        <f ca="1">IFERROR(__xludf.DUMMYFUNCTION("""COMPUTED_VALUE"""),27)</f>
        <v>27</v>
      </c>
      <c r="J141" s="13">
        <f ca="1">IFERROR(__xludf.DUMMYFUNCTION("""COMPUTED_VALUE"""),9)</f>
        <v>9</v>
      </c>
      <c r="K141" s="13">
        <f ca="1">IFERROR(__xludf.DUMMYFUNCTION("""COMPUTED_VALUE"""),2025)</f>
        <v>2025</v>
      </c>
      <c r="L141" s="15">
        <f ca="1"/>
        <v>45927</v>
      </c>
    </row>
    <row r="142" spans="1:12">
      <c r="A142" s="12" t="str">
        <f ca="1">IFERROR(__xludf.DUMMYFUNCTION("""COMPUTED_VALUE"""),"13-09-2025")</f>
        <v>13-09-2025</v>
      </c>
      <c r="B142" s="13" t="str">
        <f ca="1">IFERROR(__xludf.DUMMYFUNCTION("""COMPUTED_VALUE"""),"Semarang")</f>
        <v>Semarang</v>
      </c>
      <c r="C142" s="13" t="str">
        <f ca="1">IFERROR(__xludf.DUMMYFUNCTION("""COMPUTED_VALUE"""),"P01")</f>
        <v>P01</v>
      </c>
      <c r="D142" s="13">
        <f ca="1">IFERROR(__xludf.DUMMYFUNCTION("""COMPUTED_VALUE"""),5)</f>
        <v>5</v>
      </c>
      <c r="E142" s="14">
        <f ca="1">IFERROR(__xludf.DUMMYFUNCTION("""COMPUTED_VALUE"""),30000)</f>
        <v>30000</v>
      </c>
      <c r="F142" s="14">
        <f ca="1">IFERROR(__xludf.DUMMYFUNCTION("""COMPUTED_VALUE"""),150000)</f>
        <v>150000</v>
      </c>
      <c r="G142" s="13" t="str">
        <f ca="1"/>
        <v>Cappuccino</v>
      </c>
      <c r="H142" s="13" t="str">
        <f ca="1"/>
        <v>Coffee</v>
      </c>
      <c r="I142" s="13">
        <f ca="1">IFERROR(__xludf.DUMMYFUNCTION("""COMPUTED_VALUE"""),13)</f>
        <v>13</v>
      </c>
      <c r="J142" s="13">
        <f ca="1">IFERROR(__xludf.DUMMYFUNCTION("""COMPUTED_VALUE"""),9)</f>
        <v>9</v>
      </c>
      <c r="K142" s="13">
        <f ca="1">IFERROR(__xludf.DUMMYFUNCTION("""COMPUTED_VALUE"""),2025)</f>
        <v>2025</v>
      </c>
      <c r="L142" s="15">
        <f ca="1"/>
        <v>45913</v>
      </c>
    </row>
    <row r="143" spans="1:12">
      <c r="A143" s="12" t="str">
        <f ca="1">IFERROR(__xludf.DUMMYFUNCTION("""COMPUTED_VALUE"""),"13-09-2025")</f>
        <v>13-09-2025</v>
      </c>
      <c r="B143" s="13" t="str">
        <f ca="1">IFERROR(__xludf.DUMMYFUNCTION("""COMPUTED_VALUE"""),"Semarang")</f>
        <v>Semarang</v>
      </c>
      <c r="C143" s="13" t="str">
        <f ca="1">IFERROR(__xludf.DUMMYFUNCTION("""COMPUTED_VALUE"""),"P02")</f>
        <v>P02</v>
      </c>
      <c r="D143" s="13">
        <f ca="1">IFERROR(__xludf.DUMMYFUNCTION("""COMPUTED_VALUE"""),1)</f>
        <v>1</v>
      </c>
      <c r="E143" s="14">
        <f ca="1">IFERROR(__xludf.DUMMYFUNCTION("""COMPUTED_VALUE"""),28000)</f>
        <v>28000</v>
      </c>
      <c r="F143" s="14">
        <f ca="1">IFERROR(__xludf.DUMMYFUNCTION("""COMPUTED_VALUE"""),28000)</f>
        <v>28000</v>
      </c>
      <c r="G143" s="13" t="str">
        <f ca="1"/>
        <v>Latte</v>
      </c>
      <c r="H143" s="13" t="str">
        <f ca="1"/>
        <v>Coffee</v>
      </c>
      <c r="I143" s="13">
        <f ca="1">IFERROR(__xludf.DUMMYFUNCTION("""COMPUTED_VALUE"""),13)</f>
        <v>13</v>
      </c>
      <c r="J143" s="13">
        <f ca="1">IFERROR(__xludf.DUMMYFUNCTION("""COMPUTED_VALUE"""),9)</f>
        <v>9</v>
      </c>
      <c r="K143" s="13">
        <f ca="1">IFERROR(__xludf.DUMMYFUNCTION("""COMPUTED_VALUE"""),2025)</f>
        <v>2025</v>
      </c>
      <c r="L143" s="15">
        <f ca="1"/>
        <v>45913</v>
      </c>
    </row>
    <row r="144" spans="1:12">
      <c r="A144" s="12" t="str">
        <f ca="1">IFERROR(__xludf.DUMMYFUNCTION("""COMPUTED_VALUE"""),"27-09-2025")</f>
        <v>27-09-2025</v>
      </c>
      <c r="B144" s="13" t="str">
        <f ca="1">IFERROR(__xludf.DUMMYFUNCTION("""COMPUTED_VALUE"""),"Semarang")</f>
        <v>Semarang</v>
      </c>
      <c r="C144" s="13" t="str">
        <f ca="1">IFERROR(__xludf.DUMMYFUNCTION("""COMPUTED_VALUE"""),"P03")</f>
        <v>P03</v>
      </c>
      <c r="D144" s="13">
        <f ca="1">IFERROR(__xludf.DUMMYFUNCTION("""COMPUTED_VALUE"""),1)</f>
        <v>1</v>
      </c>
      <c r="E144" s="14">
        <f ca="1">IFERROR(__xludf.DUMMYFUNCTION("""COMPUTED_VALUE"""),28000)</f>
        <v>28000</v>
      </c>
      <c r="F144" s="14">
        <f ca="1">IFERROR(__xludf.DUMMYFUNCTION("""COMPUTED_VALUE"""),28000)</f>
        <v>28000</v>
      </c>
      <c r="G144" s="13" t="str">
        <f ca="1"/>
        <v>Espresso</v>
      </c>
      <c r="H144" s="13" t="str">
        <f ca="1"/>
        <v>Coffee</v>
      </c>
      <c r="I144" s="13">
        <f ca="1">IFERROR(__xludf.DUMMYFUNCTION("""COMPUTED_VALUE"""),27)</f>
        <v>27</v>
      </c>
      <c r="J144" s="13">
        <f ca="1">IFERROR(__xludf.DUMMYFUNCTION("""COMPUTED_VALUE"""),9)</f>
        <v>9</v>
      </c>
      <c r="K144" s="13">
        <f ca="1">IFERROR(__xludf.DUMMYFUNCTION("""COMPUTED_VALUE"""),2025)</f>
        <v>2025</v>
      </c>
      <c r="L144" s="15">
        <f ca="1"/>
        <v>45927</v>
      </c>
    </row>
    <row r="145" spans="1:12">
      <c r="A145" s="12" t="str">
        <f ca="1">IFERROR(__xludf.DUMMYFUNCTION("""COMPUTED_VALUE"""),"26-09-2025")</f>
        <v>26-09-2025</v>
      </c>
      <c r="B145" s="13" t="str">
        <f ca="1">IFERROR(__xludf.DUMMYFUNCTION("""COMPUTED_VALUE"""),"Semarang")</f>
        <v>Semarang</v>
      </c>
      <c r="C145" s="13" t="str">
        <f ca="1">IFERROR(__xludf.DUMMYFUNCTION("""COMPUTED_VALUE"""),"P04")</f>
        <v>P04</v>
      </c>
      <c r="D145" s="13">
        <f ca="1">IFERROR(__xludf.DUMMYFUNCTION("""COMPUTED_VALUE"""),1)</f>
        <v>1</v>
      </c>
      <c r="E145" s="14">
        <f ca="1">IFERROR(__xludf.DUMMYFUNCTION("""COMPUTED_VALUE"""),25000)</f>
        <v>25000</v>
      </c>
      <c r="F145" s="14">
        <f ca="1">IFERROR(__xludf.DUMMYFUNCTION("""COMPUTED_VALUE"""),25000)</f>
        <v>25000</v>
      </c>
      <c r="G145" s="13" t="str">
        <f ca="1"/>
        <v>Americano</v>
      </c>
      <c r="H145" s="13" t="str">
        <f ca="1"/>
        <v>Coffee</v>
      </c>
      <c r="I145" s="13">
        <f ca="1">IFERROR(__xludf.DUMMYFUNCTION("""COMPUTED_VALUE"""),26)</f>
        <v>26</v>
      </c>
      <c r="J145" s="13">
        <f ca="1">IFERROR(__xludf.DUMMYFUNCTION("""COMPUTED_VALUE"""),9)</f>
        <v>9</v>
      </c>
      <c r="K145" s="13">
        <f ca="1">IFERROR(__xludf.DUMMYFUNCTION("""COMPUTED_VALUE"""),2025)</f>
        <v>2025</v>
      </c>
      <c r="L145" s="15">
        <f ca="1"/>
        <v>45926</v>
      </c>
    </row>
    <row r="146" spans="1:12">
      <c r="A146" s="12" t="str">
        <f ca="1">IFERROR(__xludf.DUMMYFUNCTION("""COMPUTED_VALUE"""),"19-09-2025")</f>
        <v>19-09-2025</v>
      </c>
      <c r="B146" s="13" t="str">
        <f ca="1">IFERROR(__xludf.DUMMYFUNCTION("""COMPUTED_VALUE"""),"Semarang")</f>
        <v>Semarang</v>
      </c>
      <c r="C146" s="13" t="str">
        <f ca="1">IFERROR(__xludf.DUMMYFUNCTION("""COMPUTED_VALUE"""),"P05")</f>
        <v>P05</v>
      </c>
      <c r="D146" s="13">
        <f ca="1">IFERROR(__xludf.DUMMYFUNCTION("""COMPUTED_VALUE"""),1)</f>
        <v>1</v>
      </c>
      <c r="E146" s="14">
        <f ca="1">IFERROR(__xludf.DUMMYFUNCTION("""COMPUTED_VALUE"""),20000)</f>
        <v>20000</v>
      </c>
      <c r="F146" s="14">
        <f ca="1">IFERROR(__xludf.DUMMYFUNCTION("""COMPUTED_VALUE"""),20000)</f>
        <v>20000</v>
      </c>
      <c r="G146" s="13" t="str">
        <f ca="1"/>
        <v>Mocha</v>
      </c>
      <c r="H146" s="13" t="str">
        <f ca="1"/>
        <v>Chocolate</v>
      </c>
      <c r="I146" s="13">
        <f ca="1">IFERROR(__xludf.DUMMYFUNCTION("""COMPUTED_VALUE"""),19)</f>
        <v>19</v>
      </c>
      <c r="J146" s="13">
        <f ca="1">IFERROR(__xludf.DUMMYFUNCTION("""COMPUTED_VALUE"""),9)</f>
        <v>9</v>
      </c>
      <c r="K146" s="13">
        <f ca="1">IFERROR(__xludf.DUMMYFUNCTION("""COMPUTED_VALUE"""),2025)</f>
        <v>2025</v>
      </c>
      <c r="L146" s="15">
        <f ca="1"/>
        <v>45919</v>
      </c>
    </row>
    <row r="147" spans="1:12">
      <c r="A147" s="12" t="str">
        <f ca="1">IFERROR(__xludf.DUMMYFUNCTION("""COMPUTED_VALUE"""),"10-09-2025")</f>
        <v>10-09-2025</v>
      </c>
      <c r="B147" s="13" t="str">
        <f ca="1">IFERROR(__xludf.DUMMYFUNCTION("""COMPUTED_VALUE"""),"Semarang")</f>
        <v>Semarang</v>
      </c>
      <c r="C147" s="13" t="str">
        <f ca="1">IFERROR(__xludf.DUMMYFUNCTION("""COMPUTED_VALUE"""),"P05")</f>
        <v>P05</v>
      </c>
      <c r="D147" s="13">
        <f ca="1">IFERROR(__xludf.DUMMYFUNCTION("""COMPUTED_VALUE"""),3)</f>
        <v>3</v>
      </c>
      <c r="E147" s="14">
        <f ca="1">IFERROR(__xludf.DUMMYFUNCTION("""COMPUTED_VALUE"""),35000)</f>
        <v>35000</v>
      </c>
      <c r="F147" s="14">
        <f ca="1">IFERROR(__xludf.DUMMYFUNCTION("""COMPUTED_VALUE"""),105000)</f>
        <v>105000</v>
      </c>
      <c r="G147" s="13" t="str">
        <f ca="1"/>
        <v>Mocha</v>
      </c>
      <c r="H147" s="13" t="str">
        <f ca="1"/>
        <v>Chocolate</v>
      </c>
      <c r="I147" s="13">
        <f ca="1">IFERROR(__xludf.DUMMYFUNCTION("""COMPUTED_VALUE"""),10)</f>
        <v>10</v>
      </c>
      <c r="J147" s="13">
        <f ca="1">IFERROR(__xludf.DUMMYFUNCTION("""COMPUTED_VALUE"""),9)</f>
        <v>9</v>
      </c>
      <c r="K147" s="13">
        <f ca="1">IFERROR(__xludf.DUMMYFUNCTION("""COMPUTED_VALUE"""),2025)</f>
        <v>2025</v>
      </c>
      <c r="L147" s="15">
        <f ca="1"/>
        <v>45910</v>
      </c>
    </row>
    <row r="148" spans="1:12">
      <c r="A148" s="12" t="str">
        <f ca="1">IFERROR(__xludf.DUMMYFUNCTION("""COMPUTED_VALUE"""),"18-09-2025")</f>
        <v>18-09-2025</v>
      </c>
      <c r="B148" s="13" t="str">
        <f ca="1">IFERROR(__xludf.DUMMYFUNCTION("""COMPUTED_VALUE"""),"Semarang")</f>
        <v>Semarang</v>
      </c>
      <c r="C148" s="13" t="str">
        <f ca="1">IFERROR(__xludf.DUMMYFUNCTION("""COMPUTED_VALUE"""),"P04")</f>
        <v>P04</v>
      </c>
      <c r="D148" s="13">
        <f ca="1">IFERROR(__xludf.DUMMYFUNCTION("""COMPUTED_VALUE"""),2)</f>
        <v>2</v>
      </c>
      <c r="E148" s="14">
        <f ca="1">IFERROR(__xludf.DUMMYFUNCTION("""COMPUTED_VALUE"""),28000)</f>
        <v>28000</v>
      </c>
      <c r="F148" s="14">
        <f ca="1">IFERROR(__xludf.DUMMYFUNCTION("""COMPUTED_VALUE"""),56000)</f>
        <v>56000</v>
      </c>
      <c r="G148" s="13" t="str">
        <f ca="1"/>
        <v>Americano</v>
      </c>
      <c r="H148" s="13" t="str">
        <f ca="1"/>
        <v>Coffee</v>
      </c>
      <c r="I148" s="13">
        <f ca="1">IFERROR(__xludf.DUMMYFUNCTION("""COMPUTED_VALUE"""),18)</f>
        <v>18</v>
      </c>
      <c r="J148" s="13">
        <f ca="1">IFERROR(__xludf.DUMMYFUNCTION("""COMPUTED_VALUE"""),9)</f>
        <v>9</v>
      </c>
      <c r="K148" s="13">
        <f ca="1">IFERROR(__xludf.DUMMYFUNCTION("""COMPUTED_VALUE"""),2025)</f>
        <v>2025</v>
      </c>
      <c r="L148" s="15">
        <f ca="1"/>
        <v>45918</v>
      </c>
    </row>
    <row r="149" spans="1:12">
      <c r="A149" s="12" t="str">
        <f ca="1">IFERROR(__xludf.DUMMYFUNCTION("""COMPUTED_VALUE"""),"19-09-2025")</f>
        <v>19-09-2025</v>
      </c>
      <c r="B149" s="13" t="str">
        <f ca="1">IFERROR(__xludf.DUMMYFUNCTION("""COMPUTED_VALUE"""),"Semarang")</f>
        <v>Semarang</v>
      </c>
      <c r="C149" s="13" t="str">
        <f ca="1">IFERROR(__xludf.DUMMYFUNCTION("""COMPUTED_VALUE"""),"P03")</f>
        <v>P03</v>
      </c>
      <c r="D149" s="13">
        <f ca="1">IFERROR(__xludf.DUMMYFUNCTION("""COMPUTED_VALUE"""),2)</f>
        <v>2</v>
      </c>
      <c r="E149" s="14">
        <f ca="1">IFERROR(__xludf.DUMMYFUNCTION("""COMPUTED_VALUE"""),35000)</f>
        <v>35000</v>
      </c>
      <c r="F149" s="14">
        <f ca="1">IFERROR(__xludf.DUMMYFUNCTION("""COMPUTED_VALUE"""),70000)</f>
        <v>70000</v>
      </c>
      <c r="G149" s="13" t="str">
        <f ca="1"/>
        <v>Espresso</v>
      </c>
      <c r="H149" s="13" t="str">
        <f ca="1"/>
        <v>Coffee</v>
      </c>
      <c r="I149" s="13">
        <f ca="1">IFERROR(__xludf.DUMMYFUNCTION("""COMPUTED_VALUE"""),19)</f>
        <v>19</v>
      </c>
      <c r="J149" s="13">
        <f ca="1">IFERROR(__xludf.DUMMYFUNCTION("""COMPUTED_VALUE"""),9)</f>
        <v>9</v>
      </c>
      <c r="K149" s="13">
        <f ca="1">IFERROR(__xludf.DUMMYFUNCTION("""COMPUTED_VALUE"""),2025)</f>
        <v>2025</v>
      </c>
      <c r="L149" s="15">
        <f ca="1"/>
        <v>45919</v>
      </c>
    </row>
    <row r="150" spans="1:12">
      <c r="A150" s="12" t="str">
        <f ca="1">IFERROR(__xludf.DUMMYFUNCTION("""COMPUTED_VALUE"""),"08-09-2025")</f>
        <v>08-09-2025</v>
      </c>
      <c r="B150" s="13" t="str">
        <f ca="1">IFERROR(__xludf.DUMMYFUNCTION("""COMPUTED_VALUE"""),"Semarang")</f>
        <v>Semarang</v>
      </c>
      <c r="C150" s="13" t="str">
        <f ca="1">IFERROR(__xludf.DUMMYFUNCTION("""COMPUTED_VALUE"""),"P02")</f>
        <v>P02</v>
      </c>
      <c r="D150" s="13">
        <f ca="1">IFERROR(__xludf.DUMMYFUNCTION("""COMPUTED_VALUE"""),4)</f>
        <v>4</v>
      </c>
      <c r="E150" s="14">
        <f ca="1">IFERROR(__xludf.DUMMYFUNCTION("""COMPUTED_VALUE"""),25000)</f>
        <v>25000</v>
      </c>
      <c r="F150" s="14">
        <f ca="1">IFERROR(__xludf.DUMMYFUNCTION("""COMPUTED_VALUE"""),100000)</f>
        <v>100000</v>
      </c>
      <c r="G150" s="13" t="str">
        <f ca="1"/>
        <v>Latte</v>
      </c>
      <c r="H150" s="13" t="str">
        <f ca="1"/>
        <v>Coffee</v>
      </c>
      <c r="I150" s="13">
        <f ca="1">IFERROR(__xludf.DUMMYFUNCTION("""COMPUTED_VALUE"""),8)</f>
        <v>8</v>
      </c>
      <c r="J150" s="13">
        <f ca="1">IFERROR(__xludf.DUMMYFUNCTION("""COMPUTED_VALUE"""),9)</f>
        <v>9</v>
      </c>
      <c r="K150" s="13">
        <f ca="1">IFERROR(__xludf.DUMMYFUNCTION("""COMPUTED_VALUE"""),2025)</f>
        <v>2025</v>
      </c>
      <c r="L150" s="15">
        <f ca="1"/>
        <v>45908</v>
      </c>
    </row>
    <row r="151" spans="1:12">
      <c r="A151" s="12" t="str">
        <f ca="1">IFERROR(__xludf.DUMMYFUNCTION("""COMPUTED_VALUE"""),"20-09-2025")</f>
        <v>20-09-2025</v>
      </c>
      <c r="B151" s="13" t="str">
        <f ca="1">IFERROR(__xludf.DUMMYFUNCTION("""COMPUTED_VALUE"""),"Semarang")</f>
        <v>Semarang</v>
      </c>
      <c r="C151" s="13" t="str">
        <f ca="1">IFERROR(__xludf.DUMMYFUNCTION("""COMPUTED_VALUE"""),"P01")</f>
        <v>P01</v>
      </c>
      <c r="D151" s="13">
        <f ca="1">IFERROR(__xludf.DUMMYFUNCTION("""COMPUTED_VALUE"""),1)</f>
        <v>1</v>
      </c>
      <c r="E151" s="14">
        <f ca="1">IFERROR(__xludf.DUMMYFUNCTION("""COMPUTED_VALUE"""),30000)</f>
        <v>30000</v>
      </c>
      <c r="F151" s="14">
        <f ca="1">IFERROR(__xludf.DUMMYFUNCTION("""COMPUTED_VALUE"""),30000)</f>
        <v>30000</v>
      </c>
      <c r="G151" s="13" t="str">
        <f ca="1"/>
        <v>Cappuccino</v>
      </c>
      <c r="H151" s="13" t="str">
        <f ca="1"/>
        <v>Coffee</v>
      </c>
      <c r="I151" s="13">
        <f ca="1">IFERROR(__xludf.DUMMYFUNCTION("""COMPUTED_VALUE"""),20)</f>
        <v>20</v>
      </c>
      <c r="J151" s="13">
        <f ca="1">IFERROR(__xludf.DUMMYFUNCTION("""COMPUTED_VALUE"""),9)</f>
        <v>9</v>
      </c>
      <c r="K151" s="13">
        <f ca="1">IFERROR(__xludf.DUMMYFUNCTION("""COMPUTED_VALUE"""),2025)</f>
        <v>2025</v>
      </c>
      <c r="L151" s="15">
        <f ca="1"/>
        <v>45920</v>
      </c>
    </row>
    <row r="152" spans="1:12">
      <c r="A152" s="12" t="str">
        <f ca="1">IFERROR(__xludf.DUMMYFUNCTION("""COMPUTED_VALUE"""),"24-09-2025")</f>
        <v>24-09-2025</v>
      </c>
      <c r="B152" s="13" t="str">
        <f ca="1">IFERROR(__xludf.DUMMYFUNCTION("""COMPUTED_VALUE"""),"Semarang")</f>
        <v>Semarang</v>
      </c>
      <c r="C152" s="13" t="str">
        <f ca="1">IFERROR(__xludf.DUMMYFUNCTION("""COMPUTED_VALUE"""),"P01")</f>
        <v>P01</v>
      </c>
      <c r="D152" s="13">
        <f ca="1">IFERROR(__xludf.DUMMYFUNCTION("""COMPUTED_VALUE"""),4)</f>
        <v>4</v>
      </c>
      <c r="E152" s="14">
        <f ca="1">IFERROR(__xludf.DUMMYFUNCTION("""COMPUTED_VALUE"""),20000)</f>
        <v>20000</v>
      </c>
      <c r="F152" s="14">
        <f ca="1">IFERROR(__xludf.DUMMYFUNCTION("""COMPUTED_VALUE"""),80000)</f>
        <v>80000</v>
      </c>
      <c r="G152" s="13" t="str">
        <f ca="1"/>
        <v>Cappuccino</v>
      </c>
      <c r="H152" s="13" t="str">
        <f ca="1"/>
        <v>Coffee</v>
      </c>
      <c r="I152" s="13">
        <f ca="1">IFERROR(__xludf.DUMMYFUNCTION("""COMPUTED_VALUE"""),24)</f>
        <v>24</v>
      </c>
      <c r="J152" s="13">
        <f ca="1">IFERROR(__xludf.DUMMYFUNCTION("""COMPUTED_VALUE"""),9)</f>
        <v>9</v>
      </c>
      <c r="K152" s="13">
        <f ca="1">IFERROR(__xludf.DUMMYFUNCTION("""COMPUTED_VALUE"""),2025)</f>
        <v>2025</v>
      </c>
      <c r="L152" s="15">
        <f ca="1"/>
        <v>45924</v>
      </c>
    </row>
    <row r="153" spans="1:12">
      <c r="A153" s="12" t="str">
        <f ca="1">IFERROR(__xludf.DUMMYFUNCTION("""COMPUTED_VALUE"""),"20-09-2025")</f>
        <v>20-09-2025</v>
      </c>
      <c r="B153" s="13" t="str">
        <f ca="1">IFERROR(__xludf.DUMMYFUNCTION("""COMPUTED_VALUE"""),"Semarang")</f>
        <v>Semarang</v>
      </c>
      <c r="C153" s="13" t="str">
        <f ca="1">IFERROR(__xludf.DUMMYFUNCTION("""COMPUTED_VALUE"""),"P02")</f>
        <v>P02</v>
      </c>
      <c r="D153" s="13">
        <f ca="1">IFERROR(__xludf.DUMMYFUNCTION("""COMPUTED_VALUE"""),3)</f>
        <v>3</v>
      </c>
      <c r="E153" s="14">
        <f ca="1">IFERROR(__xludf.DUMMYFUNCTION("""COMPUTED_VALUE"""),30000)</f>
        <v>30000</v>
      </c>
      <c r="F153" s="14">
        <f ca="1">IFERROR(__xludf.DUMMYFUNCTION("""COMPUTED_VALUE"""),90000)</f>
        <v>90000</v>
      </c>
      <c r="G153" s="13" t="str">
        <f ca="1"/>
        <v>Latte</v>
      </c>
      <c r="H153" s="13" t="str">
        <f ca="1"/>
        <v>Coffee</v>
      </c>
      <c r="I153" s="13">
        <f ca="1">IFERROR(__xludf.DUMMYFUNCTION("""COMPUTED_VALUE"""),20)</f>
        <v>20</v>
      </c>
      <c r="J153" s="13">
        <f ca="1">IFERROR(__xludf.DUMMYFUNCTION("""COMPUTED_VALUE"""),9)</f>
        <v>9</v>
      </c>
      <c r="K153" s="13">
        <f ca="1">IFERROR(__xludf.DUMMYFUNCTION("""COMPUTED_VALUE"""),2025)</f>
        <v>2025</v>
      </c>
      <c r="L153" s="15">
        <f ca="1"/>
        <v>45920</v>
      </c>
    </row>
    <row r="154" spans="1:12">
      <c r="A154" s="12" t="str">
        <f ca="1">IFERROR(__xludf.DUMMYFUNCTION("""COMPUTED_VALUE"""),"23-09-2025")</f>
        <v>23-09-2025</v>
      </c>
      <c r="B154" s="13" t="str">
        <f ca="1">IFERROR(__xludf.DUMMYFUNCTION("""COMPUTED_VALUE"""),"Semarang")</f>
        <v>Semarang</v>
      </c>
      <c r="C154" s="13" t="str">
        <f ca="1">IFERROR(__xludf.DUMMYFUNCTION("""COMPUTED_VALUE"""),"P03")</f>
        <v>P03</v>
      </c>
      <c r="D154" s="13">
        <f ca="1">IFERROR(__xludf.DUMMYFUNCTION("""COMPUTED_VALUE"""),3)</f>
        <v>3</v>
      </c>
      <c r="E154" s="14">
        <f ca="1">IFERROR(__xludf.DUMMYFUNCTION("""COMPUTED_VALUE"""),30000)</f>
        <v>30000</v>
      </c>
      <c r="F154" s="14">
        <f ca="1">IFERROR(__xludf.DUMMYFUNCTION("""COMPUTED_VALUE"""),90000)</f>
        <v>90000</v>
      </c>
      <c r="G154" s="13" t="str">
        <f ca="1"/>
        <v>Espresso</v>
      </c>
      <c r="H154" s="13" t="str">
        <f ca="1"/>
        <v>Coffee</v>
      </c>
      <c r="I154" s="13">
        <f ca="1">IFERROR(__xludf.DUMMYFUNCTION("""COMPUTED_VALUE"""),23)</f>
        <v>23</v>
      </c>
      <c r="J154" s="13">
        <f ca="1">IFERROR(__xludf.DUMMYFUNCTION("""COMPUTED_VALUE"""),9)</f>
        <v>9</v>
      </c>
      <c r="K154" s="13">
        <f ca="1">IFERROR(__xludf.DUMMYFUNCTION("""COMPUTED_VALUE"""),2025)</f>
        <v>2025</v>
      </c>
      <c r="L154" s="15">
        <f ca="1"/>
        <v>45923</v>
      </c>
    </row>
    <row r="155" spans="1:12">
      <c r="A155" s="12" t="str">
        <f ca="1">IFERROR(__xludf.DUMMYFUNCTION("""COMPUTED_VALUE"""),"19-09-2025")</f>
        <v>19-09-2025</v>
      </c>
      <c r="B155" s="13" t="str">
        <f ca="1">IFERROR(__xludf.DUMMYFUNCTION("""COMPUTED_VALUE"""),"Semarang")</f>
        <v>Semarang</v>
      </c>
      <c r="C155" s="13" t="str">
        <f ca="1">IFERROR(__xludf.DUMMYFUNCTION("""COMPUTED_VALUE"""),"P04")</f>
        <v>P04</v>
      </c>
      <c r="D155" s="13">
        <f ca="1">IFERROR(__xludf.DUMMYFUNCTION("""COMPUTED_VALUE"""),1)</f>
        <v>1</v>
      </c>
      <c r="E155" s="14">
        <f ca="1">IFERROR(__xludf.DUMMYFUNCTION("""COMPUTED_VALUE"""),20000)</f>
        <v>20000</v>
      </c>
      <c r="F155" s="14">
        <f ca="1">IFERROR(__xludf.DUMMYFUNCTION("""COMPUTED_VALUE"""),20000)</f>
        <v>20000</v>
      </c>
      <c r="G155" s="13" t="str">
        <f ca="1"/>
        <v>Americano</v>
      </c>
      <c r="H155" s="13" t="str">
        <f ca="1"/>
        <v>Coffee</v>
      </c>
      <c r="I155" s="13">
        <f ca="1">IFERROR(__xludf.DUMMYFUNCTION("""COMPUTED_VALUE"""),19)</f>
        <v>19</v>
      </c>
      <c r="J155" s="13">
        <f ca="1">IFERROR(__xludf.DUMMYFUNCTION("""COMPUTED_VALUE"""),9)</f>
        <v>9</v>
      </c>
      <c r="K155" s="13">
        <f ca="1">IFERROR(__xludf.DUMMYFUNCTION("""COMPUTED_VALUE"""),2025)</f>
        <v>2025</v>
      </c>
      <c r="L155" s="15">
        <f ca="1"/>
        <v>45919</v>
      </c>
    </row>
    <row r="156" spans="1:12">
      <c r="A156" s="12" t="str">
        <f ca="1">IFERROR(__xludf.DUMMYFUNCTION("""COMPUTED_VALUE"""),"16-09-2025")</f>
        <v>16-09-2025</v>
      </c>
      <c r="B156" s="13" t="str">
        <f ca="1">IFERROR(__xludf.DUMMYFUNCTION("""COMPUTED_VALUE"""),"Semarang")</f>
        <v>Semarang</v>
      </c>
      <c r="C156" s="13" t="str">
        <f ca="1">IFERROR(__xludf.DUMMYFUNCTION("""COMPUTED_VALUE"""),"P05")</f>
        <v>P05</v>
      </c>
      <c r="D156" s="13">
        <f ca="1">IFERROR(__xludf.DUMMYFUNCTION("""COMPUTED_VALUE"""),1)</f>
        <v>1</v>
      </c>
      <c r="E156" s="14">
        <f ca="1">IFERROR(__xludf.DUMMYFUNCTION("""COMPUTED_VALUE"""),35000)</f>
        <v>35000</v>
      </c>
      <c r="F156" s="14">
        <f ca="1">IFERROR(__xludf.DUMMYFUNCTION("""COMPUTED_VALUE"""),35000)</f>
        <v>35000</v>
      </c>
      <c r="G156" s="13" t="str">
        <f ca="1"/>
        <v>Mocha</v>
      </c>
      <c r="H156" s="13" t="str">
        <f ca="1"/>
        <v>Chocolate</v>
      </c>
      <c r="I156" s="13">
        <f ca="1">IFERROR(__xludf.DUMMYFUNCTION("""COMPUTED_VALUE"""),16)</f>
        <v>16</v>
      </c>
      <c r="J156" s="13">
        <f ca="1">IFERROR(__xludf.DUMMYFUNCTION("""COMPUTED_VALUE"""),9)</f>
        <v>9</v>
      </c>
      <c r="K156" s="13">
        <f ca="1">IFERROR(__xludf.DUMMYFUNCTION("""COMPUTED_VALUE"""),2025)</f>
        <v>2025</v>
      </c>
      <c r="L156" s="15">
        <f ca="1"/>
        <v>45916</v>
      </c>
    </row>
    <row r="157" spans="1:12">
      <c r="A157" s="12" t="str">
        <f ca="1">IFERROR(__xludf.DUMMYFUNCTION("""COMPUTED_VALUE"""),"05-09-2025")</f>
        <v>05-09-2025</v>
      </c>
      <c r="B157" s="13" t="str">
        <f ca="1">IFERROR(__xludf.DUMMYFUNCTION("""COMPUTED_VALUE"""),"Semarang")</f>
        <v>Semarang</v>
      </c>
      <c r="C157" s="13" t="str">
        <f ca="1">IFERROR(__xludf.DUMMYFUNCTION("""COMPUTED_VALUE"""),"P05")</f>
        <v>P05</v>
      </c>
      <c r="D157" s="13">
        <f ca="1">IFERROR(__xludf.DUMMYFUNCTION("""COMPUTED_VALUE"""),5)</f>
        <v>5</v>
      </c>
      <c r="E157" s="14">
        <f ca="1">IFERROR(__xludf.DUMMYFUNCTION("""COMPUTED_VALUE"""),20000)</f>
        <v>20000</v>
      </c>
      <c r="F157" s="14">
        <f ca="1">IFERROR(__xludf.DUMMYFUNCTION("""COMPUTED_VALUE"""),100000)</f>
        <v>100000</v>
      </c>
      <c r="G157" s="13" t="str">
        <f ca="1"/>
        <v>Mocha</v>
      </c>
      <c r="H157" s="13" t="str">
        <f ca="1"/>
        <v>Chocolate</v>
      </c>
      <c r="I157" s="13">
        <f ca="1">IFERROR(__xludf.DUMMYFUNCTION("""COMPUTED_VALUE"""),5)</f>
        <v>5</v>
      </c>
      <c r="J157" s="13">
        <f ca="1">IFERROR(__xludf.DUMMYFUNCTION("""COMPUTED_VALUE"""),9)</f>
        <v>9</v>
      </c>
      <c r="K157" s="13">
        <f ca="1">IFERROR(__xludf.DUMMYFUNCTION("""COMPUTED_VALUE"""),2025)</f>
        <v>2025</v>
      </c>
      <c r="L157" s="15">
        <f ca="1"/>
        <v>45905</v>
      </c>
    </row>
    <row r="158" spans="1:12">
      <c r="A158" s="12" t="str">
        <f ca="1">IFERROR(__xludf.DUMMYFUNCTION("""COMPUTED_VALUE"""),"30-09-2025")</f>
        <v>30-09-2025</v>
      </c>
      <c r="B158" s="13" t="str">
        <f ca="1">IFERROR(__xludf.DUMMYFUNCTION("""COMPUTED_VALUE"""),"Semarang")</f>
        <v>Semarang</v>
      </c>
      <c r="C158" s="13" t="str">
        <f ca="1">IFERROR(__xludf.DUMMYFUNCTION("""COMPUTED_VALUE"""),"P04")</f>
        <v>P04</v>
      </c>
      <c r="D158" s="13">
        <f ca="1">IFERROR(__xludf.DUMMYFUNCTION("""COMPUTED_VALUE"""),2)</f>
        <v>2</v>
      </c>
      <c r="E158" s="14">
        <f ca="1">IFERROR(__xludf.DUMMYFUNCTION("""COMPUTED_VALUE"""),35000)</f>
        <v>35000</v>
      </c>
      <c r="F158" s="14">
        <f ca="1">IFERROR(__xludf.DUMMYFUNCTION("""COMPUTED_VALUE"""),70000)</f>
        <v>70000</v>
      </c>
      <c r="G158" s="13" t="str">
        <f ca="1"/>
        <v>Americano</v>
      </c>
      <c r="H158" s="13" t="str">
        <f ca="1"/>
        <v>Coffee</v>
      </c>
      <c r="I158" s="13">
        <f ca="1">IFERROR(__xludf.DUMMYFUNCTION("""COMPUTED_VALUE"""),30)</f>
        <v>30</v>
      </c>
      <c r="J158" s="13">
        <f ca="1">IFERROR(__xludf.DUMMYFUNCTION("""COMPUTED_VALUE"""),9)</f>
        <v>9</v>
      </c>
      <c r="K158" s="13">
        <f ca="1">IFERROR(__xludf.DUMMYFUNCTION("""COMPUTED_VALUE"""),2025)</f>
        <v>2025</v>
      </c>
      <c r="L158" s="15">
        <f ca="1"/>
        <v>45930</v>
      </c>
    </row>
    <row r="159" spans="1:12">
      <c r="A159" s="12" t="str">
        <f ca="1">IFERROR(__xludf.DUMMYFUNCTION("""COMPUTED_VALUE"""),"03-09-2025")</f>
        <v>03-09-2025</v>
      </c>
      <c r="B159" s="13" t="str">
        <f ca="1">IFERROR(__xludf.DUMMYFUNCTION("""COMPUTED_VALUE"""),"Semarang")</f>
        <v>Semarang</v>
      </c>
      <c r="C159" s="13" t="str">
        <f ca="1">IFERROR(__xludf.DUMMYFUNCTION("""COMPUTED_VALUE"""),"P03")</f>
        <v>P03</v>
      </c>
      <c r="D159" s="13">
        <f ca="1">IFERROR(__xludf.DUMMYFUNCTION("""COMPUTED_VALUE"""),3)</f>
        <v>3</v>
      </c>
      <c r="E159" s="14">
        <f ca="1">IFERROR(__xludf.DUMMYFUNCTION("""COMPUTED_VALUE"""),30000)</f>
        <v>30000</v>
      </c>
      <c r="F159" s="14">
        <f ca="1">IFERROR(__xludf.DUMMYFUNCTION("""COMPUTED_VALUE"""),90000)</f>
        <v>90000</v>
      </c>
      <c r="G159" s="13" t="str">
        <f ca="1"/>
        <v>Espresso</v>
      </c>
      <c r="H159" s="13" t="str">
        <f ca="1"/>
        <v>Coffee</v>
      </c>
      <c r="I159" s="13">
        <f ca="1">IFERROR(__xludf.DUMMYFUNCTION("""COMPUTED_VALUE"""),3)</f>
        <v>3</v>
      </c>
      <c r="J159" s="13">
        <f ca="1">IFERROR(__xludf.DUMMYFUNCTION("""COMPUTED_VALUE"""),9)</f>
        <v>9</v>
      </c>
      <c r="K159" s="13">
        <f ca="1">IFERROR(__xludf.DUMMYFUNCTION("""COMPUTED_VALUE"""),2025)</f>
        <v>2025</v>
      </c>
      <c r="L159" s="15">
        <f ca="1"/>
        <v>45903</v>
      </c>
    </row>
    <row r="160" spans="1:12">
      <c r="A160" s="12" t="str">
        <f ca="1">IFERROR(__xludf.DUMMYFUNCTION("""COMPUTED_VALUE"""),"02-09-2025")</f>
        <v>02-09-2025</v>
      </c>
      <c r="B160" s="13" t="str">
        <f ca="1">IFERROR(__xludf.DUMMYFUNCTION("""COMPUTED_VALUE"""),"Semarang")</f>
        <v>Semarang</v>
      </c>
      <c r="C160" s="13" t="str">
        <f ca="1">IFERROR(__xludf.DUMMYFUNCTION("""COMPUTED_VALUE"""),"P02")</f>
        <v>P02</v>
      </c>
      <c r="D160" s="13">
        <f ca="1">IFERROR(__xludf.DUMMYFUNCTION("""COMPUTED_VALUE"""),4)</f>
        <v>4</v>
      </c>
      <c r="E160" s="14">
        <f ca="1">IFERROR(__xludf.DUMMYFUNCTION("""COMPUTED_VALUE"""),25000)</f>
        <v>25000</v>
      </c>
      <c r="F160" s="14">
        <f ca="1">IFERROR(__xludf.DUMMYFUNCTION("""COMPUTED_VALUE"""),100000)</f>
        <v>100000</v>
      </c>
      <c r="G160" s="13" t="str">
        <f ca="1"/>
        <v>Latte</v>
      </c>
      <c r="H160" s="13" t="str">
        <f ca="1"/>
        <v>Coffee</v>
      </c>
      <c r="I160" s="13">
        <f ca="1">IFERROR(__xludf.DUMMYFUNCTION("""COMPUTED_VALUE"""),2)</f>
        <v>2</v>
      </c>
      <c r="J160" s="13">
        <f ca="1">IFERROR(__xludf.DUMMYFUNCTION("""COMPUTED_VALUE"""),9)</f>
        <v>9</v>
      </c>
      <c r="K160" s="13">
        <f ca="1">IFERROR(__xludf.DUMMYFUNCTION("""COMPUTED_VALUE"""),2025)</f>
        <v>2025</v>
      </c>
      <c r="L160" s="15">
        <f ca="1"/>
        <v>45902</v>
      </c>
    </row>
    <row r="161" spans="1:12">
      <c r="A161" s="12" t="str">
        <f ca="1">IFERROR(__xludf.DUMMYFUNCTION("""COMPUTED_VALUE"""),"23-09-2025")</f>
        <v>23-09-2025</v>
      </c>
      <c r="B161" s="13" t="str">
        <f ca="1">IFERROR(__xludf.DUMMYFUNCTION("""COMPUTED_VALUE"""),"Semarang")</f>
        <v>Semarang</v>
      </c>
      <c r="C161" s="13" t="str">
        <f ca="1">IFERROR(__xludf.DUMMYFUNCTION("""COMPUTED_VALUE"""),"P01")</f>
        <v>P01</v>
      </c>
      <c r="D161" s="13">
        <f ca="1">IFERROR(__xludf.DUMMYFUNCTION("""COMPUTED_VALUE"""),1)</f>
        <v>1</v>
      </c>
      <c r="E161" s="14">
        <f ca="1">IFERROR(__xludf.DUMMYFUNCTION("""COMPUTED_VALUE"""),35000)</f>
        <v>35000</v>
      </c>
      <c r="F161" s="14">
        <f ca="1">IFERROR(__xludf.DUMMYFUNCTION("""COMPUTED_VALUE"""),35000)</f>
        <v>35000</v>
      </c>
      <c r="G161" s="13" t="str">
        <f ca="1"/>
        <v>Cappuccino</v>
      </c>
      <c r="H161" s="13" t="str">
        <f ca="1"/>
        <v>Coffee</v>
      </c>
      <c r="I161" s="13">
        <f ca="1">IFERROR(__xludf.DUMMYFUNCTION("""COMPUTED_VALUE"""),23)</f>
        <v>23</v>
      </c>
      <c r="J161" s="13">
        <f ca="1">IFERROR(__xludf.DUMMYFUNCTION("""COMPUTED_VALUE"""),9)</f>
        <v>9</v>
      </c>
      <c r="K161" s="13">
        <f ca="1">IFERROR(__xludf.DUMMYFUNCTION("""COMPUTED_VALUE"""),2025)</f>
        <v>2025</v>
      </c>
      <c r="L161" s="15">
        <f ca="1"/>
        <v>45923</v>
      </c>
    </row>
    <row r="162" spans="1:12">
      <c r="A162" s="12" t="str">
        <f ca="1">IFERROR(__xludf.DUMMYFUNCTION("""COMPUTED_VALUE"""),"06-09-2025")</f>
        <v>06-09-2025</v>
      </c>
      <c r="B162" s="13" t="str">
        <f ca="1">IFERROR(__xludf.DUMMYFUNCTION("""COMPUTED_VALUE"""),"Semarang")</f>
        <v>Semarang</v>
      </c>
      <c r="C162" s="13" t="str">
        <f ca="1">IFERROR(__xludf.DUMMYFUNCTION("""COMPUTED_VALUE"""),"P01")</f>
        <v>P01</v>
      </c>
      <c r="D162" s="13">
        <f ca="1">IFERROR(__xludf.DUMMYFUNCTION("""COMPUTED_VALUE"""),2)</f>
        <v>2</v>
      </c>
      <c r="E162" s="14">
        <f ca="1">IFERROR(__xludf.DUMMYFUNCTION("""COMPUTED_VALUE"""),25000)</f>
        <v>25000</v>
      </c>
      <c r="F162" s="14">
        <f ca="1">IFERROR(__xludf.DUMMYFUNCTION("""COMPUTED_VALUE"""),50000)</f>
        <v>50000</v>
      </c>
      <c r="G162" s="13" t="str">
        <f ca="1"/>
        <v>Cappuccino</v>
      </c>
      <c r="H162" s="13" t="str">
        <f ca="1"/>
        <v>Coffee</v>
      </c>
      <c r="I162" s="13">
        <f ca="1">IFERROR(__xludf.DUMMYFUNCTION("""COMPUTED_VALUE"""),6)</f>
        <v>6</v>
      </c>
      <c r="J162" s="13">
        <f ca="1">IFERROR(__xludf.DUMMYFUNCTION("""COMPUTED_VALUE"""),9)</f>
        <v>9</v>
      </c>
      <c r="K162" s="13">
        <f ca="1">IFERROR(__xludf.DUMMYFUNCTION("""COMPUTED_VALUE"""),2025)</f>
        <v>2025</v>
      </c>
      <c r="L162" s="15">
        <f ca="1"/>
        <v>45906</v>
      </c>
    </row>
    <row r="163" spans="1:12">
      <c r="A163" s="12" t="str">
        <f ca="1">IFERROR(__xludf.DUMMYFUNCTION("""COMPUTED_VALUE"""),"06-09-2025")</f>
        <v>06-09-2025</v>
      </c>
      <c r="B163" s="13" t="str">
        <f ca="1">IFERROR(__xludf.DUMMYFUNCTION("""COMPUTED_VALUE"""),"Semarang")</f>
        <v>Semarang</v>
      </c>
      <c r="C163" s="13" t="str">
        <f ca="1">IFERROR(__xludf.DUMMYFUNCTION("""COMPUTED_VALUE"""),"P02")</f>
        <v>P02</v>
      </c>
      <c r="D163" s="13">
        <f ca="1">IFERROR(__xludf.DUMMYFUNCTION("""COMPUTED_VALUE"""),1)</f>
        <v>1</v>
      </c>
      <c r="E163" s="14">
        <f ca="1">IFERROR(__xludf.DUMMYFUNCTION("""COMPUTED_VALUE"""),25000)</f>
        <v>25000</v>
      </c>
      <c r="F163" s="14">
        <f ca="1">IFERROR(__xludf.DUMMYFUNCTION("""COMPUTED_VALUE"""),25000)</f>
        <v>25000</v>
      </c>
      <c r="G163" s="13" t="str">
        <f ca="1"/>
        <v>Latte</v>
      </c>
      <c r="H163" s="13" t="str">
        <f ca="1"/>
        <v>Coffee</v>
      </c>
      <c r="I163" s="13">
        <f ca="1">IFERROR(__xludf.DUMMYFUNCTION("""COMPUTED_VALUE"""),6)</f>
        <v>6</v>
      </c>
      <c r="J163" s="13">
        <f ca="1">IFERROR(__xludf.DUMMYFUNCTION("""COMPUTED_VALUE"""),9)</f>
        <v>9</v>
      </c>
      <c r="K163" s="13">
        <f ca="1">IFERROR(__xludf.DUMMYFUNCTION("""COMPUTED_VALUE"""),2025)</f>
        <v>2025</v>
      </c>
      <c r="L163" s="15">
        <f ca="1"/>
        <v>45906</v>
      </c>
    </row>
    <row r="164" spans="1:12">
      <c r="A164" s="12" t="str">
        <f ca="1">IFERROR(__xludf.DUMMYFUNCTION("""COMPUTED_VALUE"""),"27-09-2025")</f>
        <v>27-09-2025</v>
      </c>
      <c r="B164" s="13" t="str">
        <f ca="1">IFERROR(__xludf.DUMMYFUNCTION("""COMPUTED_VALUE"""),"Semarang")</f>
        <v>Semarang</v>
      </c>
      <c r="C164" s="13" t="str">
        <f ca="1">IFERROR(__xludf.DUMMYFUNCTION("""COMPUTED_VALUE"""),"P03")</f>
        <v>P03</v>
      </c>
      <c r="D164" s="13">
        <f ca="1">IFERROR(__xludf.DUMMYFUNCTION("""COMPUTED_VALUE"""),1)</f>
        <v>1</v>
      </c>
      <c r="E164" s="14">
        <f ca="1">IFERROR(__xludf.DUMMYFUNCTION("""COMPUTED_VALUE"""),25000)</f>
        <v>25000</v>
      </c>
      <c r="F164" s="14">
        <f ca="1">IFERROR(__xludf.DUMMYFUNCTION("""COMPUTED_VALUE"""),25000)</f>
        <v>25000</v>
      </c>
      <c r="G164" s="13" t="str">
        <f ca="1"/>
        <v>Espresso</v>
      </c>
      <c r="H164" s="13" t="str">
        <f ca="1"/>
        <v>Coffee</v>
      </c>
      <c r="I164" s="13">
        <f ca="1">IFERROR(__xludf.DUMMYFUNCTION("""COMPUTED_VALUE"""),27)</f>
        <v>27</v>
      </c>
      <c r="J164" s="13">
        <f ca="1">IFERROR(__xludf.DUMMYFUNCTION("""COMPUTED_VALUE"""),9)</f>
        <v>9</v>
      </c>
      <c r="K164" s="13">
        <f ca="1">IFERROR(__xludf.DUMMYFUNCTION("""COMPUTED_VALUE"""),2025)</f>
        <v>2025</v>
      </c>
      <c r="L164" s="15">
        <f ca="1"/>
        <v>45927</v>
      </c>
    </row>
    <row r="165" spans="1:12">
      <c r="A165" s="12" t="str">
        <f ca="1">IFERROR(__xludf.DUMMYFUNCTION("""COMPUTED_VALUE"""),"06-09-2025")</f>
        <v>06-09-2025</v>
      </c>
      <c r="B165" s="13" t="str">
        <f ca="1">IFERROR(__xludf.DUMMYFUNCTION("""COMPUTED_VALUE"""),"Semarang")</f>
        <v>Semarang</v>
      </c>
      <c r="C165" s="13" t="str">
        <f ca="1">IFERROR(__xludf.DUMMYFUNCTION("""COMPUTED_VALUE"""),"P04")</f>
        <v>P04</v>
      </c>
      <c r="D165" s="13">
        <f ca="1">IFERROR(__xludf.DUMMYFUNCTION("""COMPUTED_VALUE"""),3)</f>
        <v>3</v>
      </c>
      <c r="E165" s="14">
        <f ca="1">IFERROR(__xludf.DUMMYFUNCTION("""COMPUTED_VALUE"""),25000)</f>
        <v>25000</v>
      </c>
      <c r="F165" s="14">
        <f ca="1">IFERROR(__xludf.DUMMYFUNCTION("""COMPUTED_VALUE"""),75000)</f>
        <v>75000</v>
      </c>
      <c r="G165" s="13" t="str">
        <f ca="1"/>
        <v>Americano</v>
      </c>
      <c r="H165" s="13" t="str">
        <f ca="1"/>
        <v>Coffee</v>
      </c>
      <c r="I165" s="13">
        <f ca="1">IFERROR(__xludf.DUMMYFUNCTION("""COMPUTED_VALUE"""),6)</f>
        <v>6</v>
      </c>
      <c r="J165" s="13">
        <f ca="1">IFERROR(__xludf.DUMMYFUNCTION("""COMPUTED_VALUE"""),9)</f>
        <v>9</v>
      </c>
      <c r="K165" s="13">
        <f ca="1">IFERROR(__xludf.DUMMYFUNCTION("""COMPUTED_VALUE"""),2025)</f>
        <v>2025</v>
      </c>
      <c r="L165" s="15">
        <f ca="1"/>
        <v>45906</v>
      </c>
    </row>
    <row r="166" spans="1:12">
      <c r="A166" s="12" t="str">
        <f ca="1">IFERROR(__xludf.DUMMYFUNCTION("""COMPUTED_VALUE"""),"22-09-2025")</f>
        <v>22-09-2025</v>
      </c>
      <c r="B166" s="13" t="str">
        <f ca="1">IFERROR(__xludf.DUMMYFUNCTION("""COMPUTED_VALUE"""),"Semarang")</f>
        <v>Semarang</v>
      </c>
      <c r="C166" s="13" t="str">
        <f ca="1">IFERROR(__xludf.DUMMYFUNCTION("""COMPUTED_VALUE"""),"P05")</f>
        <v>P05</v>
      </c>
      <c r="D166" s="13">
        <f ca="1">IFERROR(__xludf.DUMMYFUNCTION("""COMPUTED_VALUE"""),4)</f>
        <v>4</v>
      </c>
      <c r="E166" s="14">
        <f ca="1">IFERROR(__xludf.DUMMYFUNCTION("""COMPUTED_VALUE"""),28000)</f>
        <v>28000</v>
      </c>
      <c r="F166" s="14">
        <f ca="1">IFERROR(__xludf.DUMMYFUNCTION("""COMPUTED_VALUE"""),112000)</f>
        <v>112000</v>
      </c>
      <c r="G166" s="13" t="str">
        <f ca="1"/>
        <v>Mocha</v>
      </c>
      <c r="H166" s="13" t="str">
        <f ca="1"/>
        <v>Chocolate</v>
      </c>
      <c r="I166" s="13">
        <f ca="1">IFERROR(__xludf.DUMMYFUNCTION("""COMPUTED_VALUE"""),22)</f>
        <v>22</v>
      </c>
      <c r="J166" s="13">
        <f ca="1">IFERROR(__xludf.DUMMYFUNCTION("""COMPUTED_VALUE"""),9)</f>
        <v>9</v>
      </c>
      <c r="K166" s="13">
        <f ca="1">IFERROR(__xludf.DUMMYFUNCTION("""COMPUTED_VALUE"""),2025)</f>
        <v>2025</v>
      </c>
      <c r="L166" s="15">
        <f ca="1"/>
        <v>45922</v>
      </c>
    </row>
    <row r="167" spans="1:12">
      <c r="A167" s="12" t="str">
        <f ca="1">IFERROR(__xludf.DUMMYFUNCTION("""COMPUTED_VALUE"""),"22-09-2025")</f>
        <v>22-09-2025</v>
      </c>
      <c r="B167" s="13" t="str">
        <f ca="1">IFERROR(__xludf.DUMMYFUNCTION("""COMPUTED_VALUE"""),"Semarang")</f>
        <v>Semarang</v>
      </c>
      <c r="C167" s="13" t="str">
        <f ca="1">IFERROR(__xludf.DUMMYFUNCTION("""COMPUTED_VALUE"""),"P05")</f>
        <v>P05</v>
      </c>
      <c r="D167" s="13">
        <f ca="1">IFERROR(__xludf.DUMMYFUNCTION("""COMPUTED_VALUE"""),5)</f>
        <v>5</v>
      </c>
      <c r="E167" s="14">
        <f ca="1">IFERROR(__xludf.DUMMYFUNCTION("""COMPUTED_VALUE"""),30000)</f>
        <v>30000</v>
      </c>
      <c r="F167" s="14">
        <f ca="1">IFERROR(__xludf.DUMMYFUNCTION("""COMPUTED_VALUE"""),150000)</f>
        <v>150000</v>
      </c>
      <c r="G167" s="13" t="str">
        <f ca="1"/>
        <v>Mocha</v>
      </c>
      <c r="H167" s="13" t="str">
        <f ca="1"/>
        <v>Chocolate</v>
      </c>
      <c r="I167" s="13">
        <f ca="1">IFERROR(__xludf.DUMMYFUNCTION("""COMPUTED_VALUE"""),22)</f>
        <v>22</v>
      </c>
      <c r="J167" s="13">
        <f ca="1">IFERROR(__xludf.DUMMYFUNCTION("""COMPUTED_VALUE"""),9)</f>
        <v>9</v>
      </c>
      <c r="K167" s="13">
        <f ca="1">IFERROR(__xludf.DUMMYFUNCTION("""COMPUTED_VALUE"""),2025)</f>
        <v>2025</v>
      </c>
      <c r="L167" s="15">
        <f ca="1"/>
        <v>45922</v>
      </c>
    </row>
    <row r="168" spans="1:12">
      <c r="A168" s="12" t="str">
        <f ca="1">IFERROR(__xludf.DUMMYFUNCTION("""COMPUTED_VALUE"""),"05-09-2025")</f>
        <v>05-09-2025</v>
      </c>
      <c r="B168" s="13" t="str">
        <f ca="1">IFERROR(__xludf.DUMMYFUNCTION("""COMPUTED_VALUE"""),"Semarang")</f>
        <v>Semarang</v>
      </c>
      <c r="C168" s="13" t="str">
        <f ca="1">IFERROR(__xludf.DUMMYFUNCTION("""COMPUTED_VALUE"""),"P04")</f>
        <v>P04</v>
      </c>
      <c r="D168" s="13">
        <f ca="1">IFERROR(__xludf.DUMMYFUNCTION("""COMPUTED_VALUE"""),5)</f>
        <v>5</v>
      </c>
      <c r="E168" s="14">
        <f ca="1">IFERROR(__xludf.DUMMYFUNCTION("""COMPUTED_VALUE"""),28000)</f>
        <v>28000</v>
      </c>
      <c r="F168" s="14">
        <f ca="1">IFERROR(__xludf.DUMMYFUNCTION("""COMPUTED_VALUE"""),140000)</f>
        <v>140000</v>
      </c>
      <c r="G168" s="13" t="str">
        <f ca="1"/>
        <v>Americano</v>
      </c>
      <c r="H168" s="13" t="str">
        <f ca="1"/>
        <v>Coffee</v>
      </c>
      <c r="I168" s="13">
        <f ca="1">IFERROR(__xludf.DUMMYFUNCTION("""COMPUTED_VALUE"""),5)</f>
        <v>5</v>
      </c>
      <c r="J168" s="13">
        <f ca="1">IFERROR(__xludf.DUMMYFUNCTION("""COMPUTED_VALUE"""),9)</f>
        <v>9</v>
      </c>
      <c r="K168" s="13">
        <f ca="1">IFERROR(__xludf.DUMMYFUNCTION("""COMPUTED_VALUE"""),2025)</f>
        <v>2025</v>
      </c>
      <c r="L168" s="15">
        <f ca="1"/>
        <v>45905</v>
      </c>
    </row>
    <row r="169" spans="1:12">
      <c r="A169" s="12" t="str">
        <f ca="1">IFERROR(__xludf.DUMMYFUNCTION("""COMPUTED_VALUE"""),"29-09-2025")</f>
        <v>29-09-2025</v>
      </c>
      <c r="B169" s="13" t="str">
        <f ca="1">IFERROR(__xludf.DUMMYFUNCTION("""COMPUTED_VALUE"""),"Semarang")</f>
        <v>Semarang</v>
      </c>
      <c r="C169" s="13" t="str">
        <f ca="1">IFERROR(__xludf.DUMMYFUNCTION("""COMPUTED_VALUE"""),"P03")</f>
        <v>P03</v>
      </c>
      <c r="D169" s="13">
        <f ca="1">IFERROR(__xludf.DUMMYFUNCTION("""COMPUTED_VALUE"""),1)</f>
        <v>1</v>
      </c>
      <c r="E169" s="14">
        <f ca="1">IFERROR(__xludf.DUMMYFUNCTION("""COMPUTED_VALUE"""),30000)</f>
        <v>30000</v>
      </c>
      <c r="F169" s="14">
        <f ca="1">IFERROR(__xludf.DUMMYFUNCTION("""COMPUTED_VALUE"""),30000)</f>
        <v>30000</v>
      </c>
      <c r="G169" s="13" t="str">
        <f ca="1"/>
        <v>Espresso</v>
      </c>
      <c r="H169" s="13" t="str">
        <f ca="1"/>
        <v>Coffee</v>
      </c>
      <c r="I169" s="13">
        <f ca="1">IFERROR(__xludf.DUMMYFUNCTION("""COMPUTED_VALUE"""),29)</f>
        <v>29</v>
      </c>
      <c r="J169" s="13">
        <f ca="1">IFERROR(__xludf.DUMMYFUNCTION("""COMPUTED_VALUE"""),9)</f>
        <v>9</v>
      </c>
      <c r="K169" s="13">
        <f ca="1">IFERROR(__xludf.DUMMYFUNCTION("""COMPUTED_VALUE"""),2025)</f>
        <v>2025</v>
      </c>
      <c r="L169" s="15">
        <f ca="1"/>
        <v>45929</v>
      </c>
    </row>
    <row r="170" spans="1:12">
      <c r="A170" s="12" t="str">
        <f ca="1">IFERROR(__xludf.DUMMYFUNCTION("""COMPUTED_VALUE"""),"04-09-2025")</f>
        <v>04-09-2025</v>
      </c>
      <c r="B170" s="13" t="str">
        <f ca="1">IFERROR(__xludf.DUMMYFUNCTION("""COMPUTED_VALUE"""),"Semarang")</f>
        <v>Semarang</v>
      </c>
      <c r="C170" s="13" t="str">
        <f ca="1">IFERROR(__xludf.DUMMYFUNCTION("""COMPUTED_VALUE"""),"P02")</f>
        <v>P02</v>
      </c>
      <c r="D170" s="13">
        <f ca="1">IFERROR(__xludf.DUMMYFUNCTION("""COMPUTED_VALUE"""),1)</f>
        <v>1</v>
      </c>
      <c r="E170" s="14">
        <f ca="1">IFERROR(__xludf.DUMMYFUNCTION("""COMPUTED_VALUE"""),25000)</f>
        <v>25000</v>
      </c>
      <c r="F170" s="14">
        <f ca="1">IFERROR(__xludf.DUMMYFUNCTION("""COMPUTED_VALUE"""),25000)</f>
        <v>25000</v>
      </c>
      <c r="G170" s="13" t="str">
        <f ca="1"/>
        <v>Latte</v>
      </c>
      <c r="H170" s="13" t="str">
        <f ca="1"/>
        <v>Coffee</v>
      </c>
      <c r="I170" s="13">
        <f ca="1">IFERROR(__xludf.DUMMYFUNCTION("""COMPUTED_VALUE"""),4)</f>
        <v>4</v>
      </c>
      <c r="J170" s="13">
        <f ca="1">IFERROR(__xludf.DUMMYFUNCTION("""COMPUTED_VALUE"""),9)</f>
        <v>9</v>
      </c>
      <c r="K170" s="13">
        <f ca="1">IFERROR(__xludf.DUMMYFUNCTION("""COMPUTED_VALUE"""),2025)</f>
        <v>2025</v>
      </c>
      <c r="L170" s="15">
        <f ca="1"/>
        <v>45904</v>
      </c>
    </row>
    <row r="171" spans="1:12">
      <c r="A171" s="12" t="str">
        <f ca="1">IFERROR(__xludf.DUMMYFUNCTION("""COMPUTED_VALUE"""),"28-09-2025")</f>
        <v>28-09-2025</v>
      </c>
      <c r="B171" s="13" t="str">
        <f ca="1">IFERROR(__xludf.DUMMYFUNCTION("""COMPUTED_VALUE"""),"Semarang")</f>
        <v>Semarang</v>
      </c>
      <c r="C171" s="13" t="str">
        <f ca="1">IFERROR(__xludf.DUMMYFUNCTION("""COMPUTED_VALUE"""),"P01")</f>
        <v>P01</v>
      </c>
      <c r="D171" s="13">
        <f ca="1">IFERROR(__xludf.DUMMYFUNCTION("""COMPUTED_VALUE"""),5)</f>
        <v>5</v>
      </c>
      <c r="E171" s="14">
        <f ca="1">IFERROR(__xludf.DUMMYFUNCTION("""COMPUTED_VALUE"""),35000)</f>
        <v>35000</v>
      </c>
      <c r="F171" s="14">
        <f ca="1">IFERROR(__xludf.DUMMYFUNCTION("""COMPUTED_VALUE"""),175000)</f>
        <v>175000</v>
      </c>
      <c r="G171" s="13" t="str">
        <f ca="1"/>
        <v>Cappuccino</v>
      </c>
      <c r="H171" s="13" t="str">
        <f ca="1"/>
        <v>Coffee</v>
      </c>
      <c r="I171" s="13">
        <f ca="1">IFERROR(__xludf.DUMMYFUNCTION("""COMPUTED_VALUE"""),28)</f>
        <v>28</v>
      </c>
      <c r="J171" s="13">
        <f ca="1">IFERROR(__xludf.DUMMYFUNCTION("""COMPUTED_VALUE"""),9)</f>
        <v>9</v>
      </c>
      <c r="K171" s="13">
        <f ca="1">IFERROR(__xludf.DUMMYFUNCTION("""COMPUTED_VALUE"""),2025)</f>
        <v>2025</v>
      </c>
      <c r="L171" s="15">
        <f ca="1"/>
        <v>45928</v>
      </c>
    </row>
    <row r="172" spans="1:12">
      <c r="A172" s="12" t="str">
        <f ca="1">IFERROR(__xludf.DUMMYFUNCTION("""COMPUTED_VALUE"""),"20-09-2025")</f>
        <v>20-09-2025</v>
      </c>
      <c r="B172" s="13" t="str">
        <f ca="1">IFERROR(__xludf.DUMMYFUNCTION("""COMPUTED_VALUE"""),"Semarang")</f>
        <v>Semarang</v>
      </c>
      <c r="C172" s="13" t="str">
        <f ca="1">IFERROR(__xludf.DUMMYFUNCTION("""COMPUTED_VALUE"""),"P01")</f>
        <v>P01</v>
      </c>
      <c r="D172" s="13">
        <f ca="1">IFERROR(__xludf.DUMMYFUNCTION("""COMPUTED_VALUE"""),5)</f>
        <v>5</v>
      </c>
      <c r="E172" s="14">
        <f ca="1">IFERROR(__xludf.DUMMYFUNCTION("""COMPUTED_VALUE"""),35000)</f>
        <v>35000</v>
      </c>
      <c r="F172" s="14">
        <f ca="1">IFERROR(__xludf.DUMMYFUNCTION("""COMPUTED_VALUE"""),175000)</f>
        <v>175000</v>
      </c>
      <c r="G172" s="13" t="str">
        <f ca="1"/>
        <v>Cappuccino</v>
      </c>
      <c r="H172" s="13" t="str">
        <f ca="1"/>
        <v>Coffee</v>
      </c>
      <c r="I172" s="13">
        <f ca="1">IFERROR(__xludf.DUMMYFUNCTION("""COMPUTED_VALUE"""),20)</f>
        <v>20</v>
      </c>
      <c r="J172" s="13">
        <f ca="1">IFERROR(__xludf.DUMMYFUNCTION("""COMPUTED_VALUE"""),9)</f>
        <v>9</v>
      </c>
      <c r="K172" s="13">
        <f ca="1">IFERROR(__xludf.DUMMYFUNCTION("""COMPUTED_VALUE"""),2025)</f>
        <v>2025</v>
      </c>
      <c r="L172" s="15">
        <f ca="1"/>
        <v>45920</v>
      </c>
    </row>
    <row r="173" spans="1:12">
      <c r="A173" s="12" t="str">
        <f ca="1">IFERROR(__xludf.DUMMYFUNCTION("""COMPUTED_VALUE"""),"08-09-2025")</f>
        <v>08-09-2025</v>
      </c>
      <c r="B173" s="13" t="str">
        <f ca="1">IFERROR(__xludf.DUMMYFUNCTION("""COMPUTED_VALUE"""),"Semarang")</f>
        <v>Semarang</v>
      </c>
      <c r="C173" s="13" t="str">
        <f ca="1">IFERROR(__xludf.DUMMYFUNCTION("""COMPUTED_VALUE"""),"P02")</f>
        <v>P02</v>
      </c>
      <c r="D173" s="13">
        <f ca="1">IFERROR(__xludf.DUMMYFUNCTION("""COMPUTED_VALUE"""),1)</f>
        <v>1</v>
      </c>
      <c r="E173" s="14">
        <f ca="1">IFERROR(__xludf.DUMMYFUNCTION("""COMPUTED_VALUE"""),25000)</f>
        <v>25000</v>
      </c>
      <c r="F173" s="14">
        <f ca="1">IFERROR(__xludf.DUMMYFUNCTION("""COMPUTED_VALUE"""),25000)</f>
        <v>25000</v>
      </c>
      <c r="G173" s="13" t="str">
        <f ca="1"/>
        <v>Latte</v>
      </c>
      <c r="H173" s="13" t="str">
        <f ca="1"/>
        <v>Coffee</v>
      </c>
      <c r="I173" s="13">
        <f ca="1">IFERROR(__xludf.DUMMYFUNCTION("""COMPUTED_VALUE"""),8)</f>
        <v>8</v>
      </c>
      <c r="J173" s="13">
        <f ca="1">IFERROR(__xludf.DUMMYFUNCTION("""COMPUTED_VALUE"""),9)</f>
        <v>9</v>
      </c>
      <c r="K173" s="13">
        <f ca="1">IFERROR(__xludf.DUMMYFUNCTION("""COMPUTED_VALUE"""),2025)</f>
        <v>2025</v>
      </c>
      <c r="L173" s="15">
        <f ca="1"/>
        <v>45908</v>
      </c>
    </row>
    <row r="174" spans="1:12">
      <c r="A174" s="12" t="str">
        <f ca="1">IFERROR(__xludf.DUMMYFUNCTION("""COMPUTED_VALUE"""),"11-09-2025")</f>
        <v>11-09-2025</v>
      </c>
      <c r="B174" s="13" t="str">
        <f ca="1">IFERROR(__xludf.DUMMYFUNCTION("""COMPUTED_VALUE"""),"Semarang")</f>
        <v>Semarang</v>
      </c>
      <c r="C174" s="13" t="str">
        <f ca="1">IFERROR(__xludf.DUMMYFUNCTION("""COMPUTED_VALUE"""),"P03")</f>
        <v>P03</v>
      </c>
      <c r="D174" s="13">
        <f ca="1">IFERROR(__xludf.DUMMYFUNCTION("""COMPUTED_VALUE"""),3)</f>
        <v>3</v>
      </c>
      <c r="E174" s="14">
        <f ca="1">IFERROR(__xludf.DUMMYFUNCTION("""COMPUTED_VALUE"""),25000)</f>
        <v>25000</v>
      </c>
      <c r="F174" s="14">
        <f ca="1">IFERROR(__xludf.DUMMYFUNCTION("""COMPUTED_VALUE"""),75000)</f>
        <v>75000</v>
      </c>
      <c r="G174" s="13" t="str">
        <f ca="1"/>
        <v>Espresso</v>
      </c>
      <c r="H174" s="13" t="str">
        <f ca="1"/>
        <v>Coffee</v>
      </c>
      <c r="I174" s="13">
        <f ca="1">IFERROR(__xludf.DUMMYFUNCTION("""COMPUTED_VALUE"""),11)</f>
        <v>11</v>
      </c>
      <c r="J174" s="13">
        <f ca="1">IFERROR(__xludf.DUMMYFUNCTION("""COMPUTED_VALUE"""),9)</f>
        <v>9</v>
      </c>
      <c r="K174" s="13">
        <f ca="1">IFERROR(__xludf.DUMMYFUNCTION("""COMPUTED_VALUE"""),2025)</f>
        <v>2025</v>
      </c>
      <c r="L174" s="15">
        <f ca="1"/>
        <v>45911</v>
      </c>
    </row>
    <row r="175" spans="1:12">
      <c r="A175" s="12" t="str">
        <f ca="1">IFERROR(__xludf.DUMMYFUNCTION("""COMPUTED_VALUE"""),"02-09-2025")</f>
        <v>02-09-2025</v>
      </c>
      <c r="B175" s="13" t="str">
        <f ca="1">IFERROR(__xludf.DUMMYFUNCTION("""COMPUTED_VALUE"""),"Semarang")</f>
        <v>Semarang</v>
      </c>
      <c r="C175" s="13" t="str">
        <f ca="1">IFERROR(__xludf.DUMMYFUNCTION("""COMPUTED_VALUE"""),"P04")</f>
        <v>P04</v>
      </c>
      <c r="D175" s="13">
        <f ca="1">IFERROR(__xludf.DUMMYFUNCTION("""COMPUTED_VALUE"""),1)</f>
        <v>1</v>
      </c>
      <c r="E175" s="14">
        <f ca="1">IFERROR(__xludf.DUMMYFUNCTION("""COMPUTED_VALUE"""),35000)</f>
        <v>35000</v>
      </c>
      <c r="F175" s="14">
        <f ca="1">IFERROR(__xludf.DUMMYFUNCTION("""COMPUTED_VALUE"""),35000)</f>
        <v>35000</v>
      </c>
      <c r="G175" s="13" t="str">
        <f ca="1"/>
        <v>Americano</v>
      </c>
      <c r="H175" s="13" t="str">
        <f ca="1"/>
        <v>Coffee</v>
      </c>
      <c r="I175" s="13">
        <f ca="1">IFERROR(__xludf.DUMMYFUNCTION("""COMPUTED_VALUE"""),2)</f>
        <v>2</v>
      </c>
      <c r="J175" s="13">
        <f ca="1">IFERROR(__xludf.DUMMYFUNCTION("""COMPUTED_VALUE"""),9)</f>
        <v>9</v>
      </c>
      <c r="K175" s="13">
        <f ca="1">IFERROR(__xludf.DUMMYFUNCTION("""COMPUTED_VALUE"""),2025)</f>
        <v>2025</v>
      </c>
      <c r="L175" s="15">
        <f ca="1"/>
        <v>45902</v>
      </c>
    </row>
    <row r="176" spans="1:12">
      <c r="A176" s="12" t="str">
        <f ca="1">IFERROR(__xludf.DUMMYFUNCTION("""COMPUTED_VALUE"""),"28-09-2025")</f>
        <v>28-09-2025</v>
      </c>
      <c r="B176" s="13" t="str">
        <f ca="1">IFERROR(__xludf.DUMMYFUNCTION("""COMPUTED_VALUE"""),"Semarang")</f>
        <v>Semarang</v>
      </c>
      <c r="C176" s="13" t="str">
        <f ca="1">IFERROR(__xludf.DUMMYFUNCTION("""COMPUTED_VALUE"""),"P05")</f>
        <v>P05</v>
      </c>
      <c r="D176" s="13">
        <f ca="1">IFERROR(__xludf.DUMMYFUNCTION("""COMPUTED_VALUE"""),1)</f>
        <v>1</v>
      </c>
      <c r="E176" s="14">
        <f ca="1">IFERROR(__xludf.DUMMYFUNCTION("""COMPUTED_VALUE"""),28000)</f>
        <v>28000</v>
      </c>
      <c r="F176" s="14">
        <f ca="1">IFERROR(__xludf.DUMMYFUNCTION("""COMPUTED_VALUE"""),28000)</f>
        <v>28000</v>
      </c>
      <c r="G176" s="13" t="str">
        <f ca="1"/>
        <v>Mocha</v>
      </c>
      <c r="H176" s="13" t="str">
        <f ca="1"/>
        <v>Chocolate</v>
      </c>
      <c r="I176" s="13">
        <f ca="1">IFERROR(__xludf.DUMMYFUNCTION("""COMPUTED_VALUE"""),28)</f>
        <v>28</v>
      </c>
      <c r="J176" s="13">
        <f ca="1">IFERROR(__xludf.DUMMYFUNCTION("""COMPUTED_VALUE"""),9)</f>
        <v>9</v>
      </c>
      <c r="K176" s="13">
        <f ca="1">IFERROR(__xludf.DUMMYFUNCTION("""COMPUTED_VALUE"""),2025)</f>
        <v>2025</v>
      </c>
      <c r="L176" s="15">
        <f ca="1"/>
        <v>45928</v>
      </c>
    </row>
    <row r="177" spans="1:12">
      <c r="A177" s="12" t="str">
        <f ca="1">IFERROR(__xludf.DUMMYFUNCTION("""COMPUTED_VALUE"""),"12-09-2025")</f>
        <v>12-09-2025</v>
      </c>
      <c r="B177" s="13" t="str">
        <f ca="1">IFERROR(__xludf.DUMMYFUNCTION("""COMPUTED_VALUE"""),"Semarang")</f>
        <v>Semarang</v>
      </c>
      <c r="C177" s="13" t="str">
        <f ca="1">IFERROR(__xludf.DUMMYFUNCTION("""COMPUTED_VALUE"""),"P05")</f>
        <v>P05</v>
      </c>
      <c r="D177" s="13">
        <f ca="1">IFERROR(__xludf.DUMMYFUNCTION("""COMPUTED_VALUE"""),1)</f>
        <v>1</v>
      </c>
      <c r="E177" s="14">
        <f ca="1">IFERROR(__xludf.DUMMYFUNCTION("""COMPUTED_VALUE"""),35000)</f>
        <v>35000</v>
      </c>
      <c r="F177" s="14">
        <f ca="1">IFERROR(__xludf.DUMMYFUNCTION("""COMPUTED_VALUE"""),35000)</f>
        <v>35000</v>
      </c>
      <c r="G177" s="13" t="str">
        <f ca="1"/>
        <v>Mocha</v>
      </c>
      <c r="H177" s="13" t="str">
        <f ca="1"/>
        <v>Chocolate</v>
      </c>
      <c r="I177" s="13">
        <f ca="1">IFERROR(__xludf.DUMMYFUNCTION("""COMPUTED_VALUE"""),12)</f>
        <v>12</v>
      </c>
      <c r="J177" s="13">
        <f ca="1">IFERROR(__xludf.DUMMYFUNCTION("""COMPUTED_VALUE"""),9)</f>
        <v>9</v>
      </c>
      <c r="K177" s="13">
        <f ca="1">IFERROR(__xludf.DUMMYFUNCTION("""COMPUTED_VALUE"""),2025)</f>
        <v>2025</v>
      </c>
      <c r="L177" s="15">
        <f ca="1"/>
        <v>45912</v>
      </c>
    </row>
    <row r="178" spans="1:12">
      <c r="A178" s="12" t="str">
        <f ca="1">IFERROR(__xludf.DUMMYFUNCTION("""COMPUTED_VALUE"""),"02-09-2025")</f>
        <v>02-09-2025</v>
      </c>
      <c r="B178" s="13" t="str">
        <f ca="1">IFERROR(__xludf.DUMMYFUNCTION("""COMPUTED_VALUE"""),"Semarang")</f>
        <v>Semarang</v>
      </c>
      <c r="C178" s="13" t="str">
        <f ca="1">IFERROR(__xludf.DUMMYFUNCTION("""COMPUTED_VALUE"""),"P04")</f>
        <v>P04</v>
      </c>
      <c r="D178" s="13">
        <f ca="1">IFERROR(__xludf.DUMMYFUNCTION("""COMPUTED_VALUE"""),5)</f>
        <v>5</v>
      </c>
      <c r="E178" s="14">
        <f ca="1">IFERROR(__xludf.DUMMYFUNCTION("""COMPUTED_VALUE"""),30000)</f>
        <v>30000</v>
      </c>
      <c r="F178" s="14">
        <f ca="1">IFERROR(__xludf.DUMMYFUNCTION("""COMPUTED_VALUE"""),150000)</f>
        <v>150000</v>
      </c>
      <c r="G178" s="13" t="str">
        <f ca="1"/>
        <v>Americano</v>
      </c>
      <c r="H178" s="13" t="str">
        <f ca="1"/>
        <v>Coffee</v>
      </c>
      <c r="I178" s="13">
        <f ca="1">IFERROR(__xludf.DUMMYFUNCTION("""COMPUTED_VALUE"""),2)</f>
        <v>2</v>
      </c>
      <c r="J178" s="13">
        <f ca="1">IFERROR(__xludf.DUMMYFUNCTION("""COMPUTED_VALUE"""),9)</f>
        <v>9</v>
      </c>
      <c r="K178" s="13">
        <f ca="1">IFERROR(__xludf.DUMMYFUNCTION("""COMPUTED_VALUE"""),2025)</f>
        <v>2025</v>
      </c>
      <c r="L178" s="15">
        <f ca="1"/>
        <v>45902</v>
      </c>
    </row>
    <row r="179" spans="1:12">
      <c r="A179" s="12" t="str">
        <f ca="1">IFERROR(__xludf.DUMMYFUNCTION("""COMPUTED_VALUE"""),"23-09-2025")</f>
        <v>23-09-2025</v>
      </c>
      <c r="B179" s="13" t="str">
        <f ca="1">IFERROR(__xludf.DUMMYFUNCTION("""COMPUTED_VALUE"""),"Semarang")</f>
        <v>Semarang</v>
      </c>
      <c r="C179" s="13" t="str">
        <f ca="1">IFERROR(__xludf.DUMMYFUNCTION("""COMPUTED_VALUE"""),"P03")</f>
        <v>P03</v>
      </c>
      <c r="D179" s="13">
        <f ca="1">IFERROR(__xludf.DUMMYFUNCTION("""COMPUTED_VALUE"""),4)</f>
        <v>4</v>
      </c>
      <c r="E179" s="14">
        <f ca="1">IFERROR(__xludf.DUMMYFUNCTION("""COMPUTED_VALUE"""),28000)</f>
        <v>28000</v>
      </c>
      <c r="F179" s="14">
        <f ca="1">IFERROR(__xludf.DUMMYFUNCTION("""COMPUTED_VALUE"""),112000)</f>
        <v>112000</v>
      </c>
      <c r="G179" s="13" t="str">
        <f ca="1"/>
        <v>Espresso</v>
      </c>
      <c r="H179" s="13" t="str">
        <f ca="1"/>
        <v>Coffee</v>
      </c>
      <c r="I179" s="13">
        <f ca="1">IFERROR(__xludf.DUMMYFUNCTION("""COMPUTED_VALUE"""),23)</f>
        <v>23</v>
      </c>
      <c r="J179" s="13">
        <f ca="1">IFERROR(__xludf.DUMMYFUNCTION("""COMPUTED_VALUE"""),9)</f>
        <v>9</v>
      </c>
      <c r="K179" s="13">
        <f ca="1">IFERROR(__xludf.DUMMYFUNCTION("""COMPUTED_VALUE"""),2025)</f>
        <v>2025</v>
      </c>
      <c r="L179" s="15">
        <f ca="1"/>
        <v>45923</v>
      </c>
    </row>
    <row r="180" spans="1:12">
      <c r="A180" s="12" t="str">
        <f ca="1">IFERROR(__xludf.DUMMYFUNCTION("""COMPUTED_VALUE"""),"17-09-2025")</f>
        <v>17-09-2025</v>
      </c>
      <c r="B180" s="13" t="str">
        <f ca="1">IFERROR(__xludf.DUMMYFUNCTION("""COMPUTED_VALUE"""),"Semarang")</f>
        <v>Semarang</v>
      </c>
      <c r="C180" s="13" t="str">
        <f ca="1">IFERROR(__xludf.DUMMYFUNCTION("""COMPUTED_VALUE"""),"P02")</f>
        <v>P02</v>
      </c>
      <c r="D180" s="13">
        <f ca="1">IFERROR(__xludf.DUMMYFUNCTION("""COMPUTED_VALUE"""),1)</f>
        <v>1</v>
      </c>
      <c r="E180" s="14">
        <f ca="1">IFERROR(__xludf.DUMMYFUNCTION("""COMPUTED_VALUE"""),28000)</f>
        <v>28000</v>
      </c>
      <c r="F180" s="14">
        <f ca="1">IFERROR(__xludf.DUMMYFUNCTION("""COMPUTED_VALUE"""),28000)</f>
        <v>28000</v>
      </c>
      <c r="G180" s="13" t="str">
        <f ca="1"/>
        <v>Latte</v>
      </c>
      <c r="H180" s="13" t="str">
        <f ca="1"/>
        <v>Coffee</v>
      </c>
      <c r="I180" s="13">
        <f ca="1">IFERROR(__xludf.DUMMYFUNCTION("""COMPUTED_VALUE"""),17)</f>
        <v>17</v>
      </c>
      <c r="J180" s="13">
        <f ca="1">IFERROR(__xludf.DUMMYFUNCTION("""COMPUTED_VALUE"""),9)</f>
        <v>9</v>
      </c>
      <c r="K180" s="13">
        <f ca="1">IFERROR(__xludf.DUMMYFUNCTION("""COMPUTED_VALUE"""),2025)</f>
        <v>2025</v>
      </c>
      <c r="L180" s="15">
        <f ca="1"/>
        <v>45917</v>
      </c>
    </row>
    <row r="181" spans="1:12">
      <c r="A181" s="12" t="str">
        <f ca="1">IFERROR(__xludf.DUMMYFUNCTION("""COMPUTED_VALUE"""),"12-09-2025")</f>
        <v>12-09-2025</v>
      </c>
      <c r="B181" s="13" t="str">
        <f ca="1">IFERROR(__xludf.DUMMYFUNCTION("""COMPUTED_VALUE"""),"Semarang")</f>
        <v>Semarang</v>
      </c>
      <c r="C181" s="13" t="str">
        <f ca="1">IFERROR(__xludf.DUMMYFUNCTION("""COMPUTED_VALUE"""),"P01")</f>
        <v>P01</v>
      </c>
      <c r="D181" s="13">
        <f ca="1">IFERROR(__xludf.DUMMYFUNCTION("""COMPUTED_VALUE"""),3)</f>
        <v>3</v>
      </c>
      <c r="E181" s="14">
        <f ca="1">IFERROR(__xludf.DUMMYFUNCTION("""COMPUTED_VALUE"""),30000)</f>
        <v>30000</v>
      </c>
      <c r="F181" s="14">
        <f ca="1">IFERROR(__xludf.DUMMYFUNCTION("""COMPUTED_VALUE"""),90000)</f>
        <v>90000</v>
      </c>
      <c r="G181" s="13" t="str">
        <f ca="1"/>
        <v>Cappuccino</v>
      </c>
      <c r="H181" s="13" t="str">
        <f ca="1"/>
        <v>Coffee</v>
      </c>
      <c r="I181" s="13">
        <f ca="1">IFERROR(__xludf.DUMMYFUNCTION("""COMPUTED_VALUE"""),12)</f>
        <v>12</v>
      </c>
      <c r="J181" s="13">
        <f ca="1">IFERROR(__xludf.DUMMYFUNCTION("""COMPUTED_VALUE"""),9)</f>
        <v>9</v>
      </c>
      <c r="K181" s="13">
        <f ca="1">IFERROR(__xludf.DUMMYFUNCTION("""COMPUTED_VALUE"""),2025)</f>
        <v>2025</v>
      </c>
      <c r="L181" s="15">
        <f ca="1"/>
        <v>45912</v>
      </c>
    </row>
    <row r="182" spans="1:12">
      <c r="A182" s="12" t="str">
        <f ca="1">IFERROR(__xludf.DUMMYFUNCTION("""COMPUTED_VALUE"""),"16-09-2025")</f>
        <v>16-09-2025</v>
      </c>
      <c r="B182" s="13" t="str">
        <f ca="1">IFERROR(__xludf.DUMMYFUNCTION("""COMPUTED_VALUE"""),"Semarang")</f>
        <v>Semarang</v>
      </c>
      <c r="C182" s="13" t="str">
        <f ca="1">IFERROR(__xludf.DUMMYFUNCTION("""COMPUTED_VALUE"""),"P01")</f>
        <v>P01</v>
      </c>
      <c r="D182" s="13">
        <f ca="1">IFERROR(__xludf.DUMMYFUNCTION("""COMPUTED_VALUE"""),5)</f>
        <v>5</v>
      </c>
      <c r="E182" s="14">
        <f ca="1">IFERROR(__xludf.DUMMYFUNCTION("""COMPUTED_VALUE"""),20000)</f>
        <v>20000</v>
      </c>
      <c r="F182" s="14">
        <f ca="1">IFERROR(__xludf.DUMMYFUNCTION("""COMPUTED_VALUE"""),100000)</f>
        <v>100000</v>
      </c>
      <c r="G182" s="13" t="str">
        <f ca="1"/>
        <v>Cappuccino</v>
      </c>
      <c r="H182" s="13" t="str">
        <f ca="1"/>
        <v>Coffee</v>
      </c>
      <c r="I182" s="13">
        <f ca="1">IFERROR(__xludf.DUMMYFUNCTION("""COMPUTED_VALUE"""),16)</f>
        <v>16</v>
      </c>
      <c r="J182" s="13">
        <f ca="1">IFERROR(__xludf.DUMMYFUNCTION("""COMPUTED_VALUE"""),9)</f>
        <v>9</v>
      </c>
      <c r="K182" s="13">
        <f ca="1">IFERROR(__xludf.DUMMYFUNCTION("""COMPUTED_VALUE"""),2025)</f>
        <v>2025</v>
      </c>
      <c r="L182" s="15">
        <f ca="1"/>
        <v>45916</v>
      </c>
    </row>
    <row r="183" spans="1:12">
      <c r="A183" s="12" t="str">
        <f ca="1">IFERROR(__xludf.DUMMYFUNCTION("""COMPUTED_VALUE"""),"18-09-2025")</f>
        <v>18-09-2025</v>
      </c>
      <c r="B183" s="13" t="str">
        <f ca="1">IFERROR(__xludf.DUMMYFUNCTION("""COMPUTED_VALUE"""),"Semarang")</f>
        <v>Semarang</v>
      </c>
      <c r="C183" s="13" t="str">
        <f ca="1">IFERROR(__xludf.DUMMYFUNCTION("""COMPUTED_VALUE"""),"P02")</f>
        <v>P02</v>
      </c>
      <c r="D183" s="13">
        <f ca="1">IFERROR(__xludf.DUMMYFUNCTION("""COMPUTED_VALUE"""),2)</f>
        <v>2</v>
      </c>
      <c r="E183" s="14">
        <f ca="1">IFERROR(__xludf.DUMMYFUNCTION("""COMPUTED_VALUE"""),28000)</f>
        <v>28000</v>
      </c>
      <c r="F183" s="14">
        <f ca="1">IFERROR(__xludf.DUMMYFUNCTION("""COMPUTED_VALUE"""),56000)</f>
        <v>56000</v>
      </c>
      <c r="G183" s="13" t="str">
        <f ca="1"/>
        <v>Latte</v>
      </c>
      <c r="H183" s="13" t="str">
        <f ca="1"/>
        <v>Coffee</v>
      </c>
      <c r="I183" s="13">
        <f ca="1">IFERROR(__xludf.DUMMYFUNCTION("""COMPUTED_VALUE"""),18)</f>
        <v>18</v>
      </c>
      <c r="J183" s="13">
        <f ca="1">IFERROR(__xludf.DUMMYFUNCTION("""COMPUTED_VALUE"""),9)</f>
        <v>9</v>
      </c>
      <c r="K183" s="13">
        <f ca="1">IFERROR(__xludf.DUMMYFUNCTION("""COMPUTED_VALUE"""),2025)</f>
        <v>2025</v>
      </c>
      <c r="L183" s="15">
        <f ca="1"/>
        <v>45918</v>
      </c>
    </row>
    <row r="184" spans="1:12">
      <c r="A184" s="12" t="str">
        <f ca="1">IFERROR(__xludf.DUMMYFUNCTION("""COMPUTED_VALUE"""),"28-09-2025")</f>
        <v>28-09-2025</v>
      </c>
      <c r="B184" s="13" t="str">
        <f ca="1">IFERROR(__xludf.DUMMYFUNCTION("""COMPUTED_VALUE"""),"Semarang")</f>
        <v>Semarang</v>
      </c>
      <c r="C184" s="13" t="str">
        <f ca="1">IFERROR(__xludf.DUMMYFUNCTION("""COMPUTED_VALUE"""),"P03")</f>
        <v>P03</v>
      </c>
      <c r="D184" s="13">
        <f ca="1">IFERROR(__xludf.DUMMYFUNCTION("""COMPUTED_VALUE"""),4)</f>
        <v>4</v>
      </c>
      <c r="E184" s="14">
        <f ca="1">IFERROR(__xludf.DUMMYFUNCTION("""COMPUTED_VALUE"""),28000)</f>
        <v>28000</v>
      </c>
      <c r="F184" s="14">
        <f ca="1">IFERROR(__xludf.DUMMYFUNCTION("""COMPUTED_VALUE"""),112000)</f>
        <v>112000</v>
      </c>
      <c r="G184" s="13" t="str">
        <f ca="1"/>
        <v>Espresso</v>
      </c>
      <c r="H184" s="13" t="str">
        <f ca="1"/>
        <v>Coffee</v>
      </c>
      <c r="I184" s="13">
        <f ca="1">IFERROR(__xludf.DUMMYFUNCTION("""COMPUTED_VALUE"""),28)</f>
        <v>28</v>
      </c>
      <c r="J184" s="13">
        <f ca="1">IFERROR(__xludf.DUMMYFUNCTION("""COMPUTED_VALUE"""),9)</f>
        <v>9</v>
      </c>
      <c r="K184" s="13">
        <f ca="1">IFERROR(__xludf.DUMMYFUNCTION("""COMPUTED_VALUE"""),2025)</f>
        <v>2025</v>
      </c>
      <c r="L184" s="15">
        <f ca="1"/>
        <v>45928</v>
      </c>
    </row>
    <row r="185" spans="1:12">
      <c r="A185" s="12" t="str">
        <f ca="1">IFERROR(__xludf.DUMMYFUNCTION("""COMPUTED_VALUE"""),"23-09-2025")</f>
        <v>23-09-2025</v>
      </c>
      <c r="B185" s="13" t="str">
        <f ca="1">IFERROR(__xludf.DUMMYFUNCTION("""COMPUTED_VALUE"""),"Semarang")</f>
        <v>Semarang</v>
      </c>
      <c r="C185" s="13" t="str">
        <f ca="1">IFERROR(__xludf.DUMMYFUNCTION("""COMPUTED_VALUE"""),"P04")</f>
        <v>P04</v>
      </c>
      <c r="D185" s="13">
        <f ca="1">IFERROR(__xludf.DUMMYFUNCTION("""COMPUTED_VALUE"""),4)</f>
        <v>4</v>
      </c>
      <c r="E185" s="14">
        <f ca="1">IFERROR(__xludf.DUMMYFUNCTION("""COMPUTED_VALUE"""),25000)</f>
        <v>25000</v>
      </c>
      <c r="F185" s="14">
        <f ca="1">IFERROR(__xludf.DUMMYFUNCTION("""COMPUTED_VALUE"""),100000)</f>
        <v>100000</v>
      </c>
      <c r="G185" s="13" t="str">
        <f ca="1"/>
        <v>Americano</v>
      </c>
      <c r="H185" s="13" t="str">
        <f ca="1"/>
        <v>Coffee</v>
      </c>
      <c r="I185" s="13">
        <f ca="1">IFERROR(__xludf.DUMMYFUNCTION("""COMPUTED_VALUE"""),23)</f>
        <v>23</v>
      </c>
      <c r="J185" s="13">
        <f ca="1">IFERROR(__xludf.DUMMYFUNCTION("""COMPUTED_VALUE"""),9)</f>
        <v>9</v>
      </c>
      <c r="K185" s="13">
        <f ca="1">IFERROR(__xludf.DUMMYFUNCTION("""COMPUTED_VALUE"""),2025)</f>
        <v>2025</v>
      </c>
      <c r="L185" s="15">
        <f ca="1"/>
        <v>45923</v>
      </c>
    </row>
    <row r="186" spans="1:12">
      <c r="A186" s="12" t="str">
        <f ca="1">IFERROR(__xludf.DUMMYFUNCTION("""COMPUTED_VALUE"""),"05-09-2025")</f>
        <v>05-09-2025</v>
      </c>
      <c r="B186" s="13" t="str">
        <f ca="1">IFERROR(__xludf.DUMMYFUNCTION("""COMPUTED_VALUE"""),"Semarang")</f>
        <v>Semarang</v>
      </c>
      <c r="C186" s="13" t="str">
        <f ca="1">IFERROR(__xludf.DUMMYFUNCTION("""COMPUTED_VALUE"""),"P05")</f>
        <v>P05</v>
      </c>
      <c r="D186" s="13">
        <f ca="1">IFERROR(__xludf.DUMMYFUNCTION("""COMPUTED_VALUE"""),4)</f>
        <v>4</v>
      </c>
      <c r="E186" s="14">
        <f ca="1">IFERROR(__xludf.DUMMYFUNCTION("""COMPUTED_VALUE"""),28000)</f>
        <v>28000</v>
      </c>
      <c r="F186" s="14">
        <f ca="1">IFERROR(__xludf.DUMMYFUNCTION("""COMPUTED_VALUE"""),112000)</f>
        <v>112000</v>
      </c>
      <c r="G186" s="13" t="str">
        <f ca="1"/>
        <v>Mocha</v>
      </c>
      <c r="H186" s="13" t="str">
        <f ca="1"/>
        <v>Chocolate</v>
      </c>
      <c r="I186" s="13">
        <f ca="1">IFERROR(__xludf.DUMMYFUNCTION("""COMPUTED_VALUE"""),5)</f>
        <v>5</v>
      </c>
      <c r="J186" s="13">
        <f ca="1">IFERROR(__xludf.DUMMYFUNCTION("""COMPUTED_VALUE"""),9)</f>
        <v>9</v>
      </c>
      <c r="K186" s="13">
        <f ca="1">IFERROR(__xludf.DUMMYFUNCTION("""COMPUTED_VALUE"""),2025)</f>
        <v>2025</v>
      </c>
      <c r="L186" s="15">
        <f ca="1"/>
        <v>45905</v>
      </c>
    </row>
    <row r="187" spans="1:12">
      <c r="A187" s="12" t="str">
        <f ca="1">IFERROR(__xludf.DUMMYFUNCTION("""COMPUTED_VALUE"""),"23-09-2025")</f>
        <v>23-09-2025</v>
      </c>
      <c r="B187" s="13" t="str">
        <f ca="1">IFERROR(__xludf.DUMMYFUNCTION("""COMPUTED_VALUE"""),"Semarang")</f>
        <v>Semarang</v>
      </c>
      <c r="C187" s="13" t="str">
        <f ca="1">IFERROR(__xludf.DUMMYFUNCTION("""COMPUTED_VALUE"""),"P01")</f>
        <v>P01</v>
      </c>
      <c r="D187" s="13">
        <f ca="1">IFERROR(__xludf.DUMMYFUNCTION("""COMPUTED_VALUE"""),4)</f>
        <v>4</v>
      </c>
      <c r="E187" s="14">
        <f ca="1">IFERROR(__xludf.DUMMYFUNCTION("""COMPUTED_VALUE"""),28000)</f>
        <v>28000</v>
      </c>
      <c r="F187" s="14">
        <f ca="1">IFERROR(__xludf.DUMMYFUNCTION("""COMPUTED_VALUE"""),112000)</f>
        <v>112000</v>
      </c>
      <c r="G187" s="13" t="str">
        <f ca="1"/>
        <v>Cappuccino</v>
      </c>
      <c r="H187" s="13" t="str">
        <f ca="1"/>
        <v>Coffee</v>
      </c>
      <c r="I187" s="13">
        <f ca="1">IFERROR(__xludf.DUMMYFUNCTION("""COMPUTED_VALUE"""),23)</f>
        <v>23</v>
      </c>
      <c r="J187" s="13">
        <f ca="1">IFERROR(__xludf.DUMMYFUNCTION("""COMPUTED_VALUE"""),9)</f>
        <v>9</v>
      </c>
      <c r="K187" s="13">
        <f ca="1">IFERROR(__xludf.DUMMYFUNCTION("""COMPUTED_VALUE"""),2025)</f>
        <v>2025</v>
      </c>
      <c r="L187" s="15">
        <f ca="1"/>
        <v>45923</v>
      </c>
    </row>
    <row r="188" spans="1:12">
      <c r="A188" s="12" t="str">
        <f ca="1">IFERROR(__xludf.DUMMYFUNCTION("""COMPUTED_VALUE"""),"22-09-2025")</f>
        <v>22-09-2025</v>
      </c>
      <c r="B188" s="13" t="str">
        <f ca="1">IFERROR(__xludf.DUMMYFUNCTION("""COMPUTED_VALUE"""),"Semarang")</f>
        <v>Semarang</v>
      </c>
      <c r="C188" s="13" t="str">
        <f ca="1">IFERROR(__xludf.DUMMYFUNCTION("""COMPUTED_VALUE"""),"P02")</f>
        <v>P02</v>
      </c>
      <c r="D188" s="13">
        <f ca="1">IFERROR(__xludf.DUMMYFUNCTION("""COMPUTED_VALUE"""),1)</f>
        <v>1</v>
      </c>
      <c r="E188" s="14">
        <f ca="1">IFERROR(__xludf.DUMMYFUNCTION("""COMPUTED_VALUE"""),25000)</f>
        <v>25000</v>
      </c>
      <c r="F188" s="14">
        <f ca="1">IFERROR(__xludf.DUMMYFUNCTION("""COMPUTED_VALUE"""),25000)</f>
        <v>25000</v>
      </c>
      <c r="G188" s="13" t="str">
        <f ca="1"/>
        <v>Latte</v>
      </c>
      <c r="H188" s="13" t="str">
        <f ca="1"/>
        <v>Coffee</v>
      </c>
      <c r="I188" s="13">
        <f ca="1">IFERROR(__xludf.DUMMYFUNCTION("""COMPUTED_VALUE"""),22)</f>
        <v>22</v>
      </c>
      <c r="J188" s="13">
        <f ca="1">IFERROR(__xludf.DUMMYFUNCTION("""COMPUTED_VALUE"""),9)</f>
        <v>9</v>
      </c>
      <c r="K188" s="13">
        <f ca="1">IFERROR(__xludf.DUMMYFUNCTION("""COMPUTED_VALUE"""),2025)</f>
        <v>2025</v>
      </c>
      <c r="L188" s="15">
        <f ca="1"/>
        <v>45922</v>
      </c>
    </row>
    <row r="189" spans="1:12">
      <c r="A189" s="12" t="str">
        <f ca="1">IFERROR(__xludf.DUMMYFUNCTION("""COMPUTED_VALUE"""),"14-09-2025")</f>
        <v>14-09-2025</v>
      </c>
      <c r="B189" s="13" t="str">
        <f ca="1">IFERROR(__xludf.DUMMYFUNCTION("""COMPUTED_VALUE"""),"Semarang")</f>
        <v>Semarang</v>
      </c>
      <c r="C189" s="13" t="str">
        <f ca="1">IFERROR(__xludf.DUMMYFUNCTION("""COMPUTED_VALUE"""),"P03")</f>
        <v>P03</v>
      </c>
      <c r="D189" s="13">
        <f ca="1">IFERROR(__xludf.DUMMYFUNCTION("""COMPUTED_VALUE"""),1)</f>
        <v>1</v>
      </c>
      <c r="E189" s="14">
        <f ca="1">IFERROR(__xludf.DUMMYFUNCTION("""COMPUTED_VALUE"""),35000)</f>
        <v>35000</v>
      </c>
      <c r="F189" s="14">
        <f ca="1">IFERROR(__xludf.DUMMYFUNCTION("""COMPUTED_VALUE"""),35000)</f>
        <v>35000</v>
      </c>
      <c r="G189" s="13" t="str">
        <f ca="1"/>
        <v>Espresso</v>
      </c>
      <c r="H189" s="13" t="str">
        <f ca="1"/>
        <v>Coffee</v>
      </c>
      <c r="I189" s="13">
        <f ca="1">IFERROR(__xludf.DUMMYFUNCTION("""COMPUTED_VALUE"""),14)</f>
        <v>14</v>
      </c>
      <c r="J189" s="13">
        <f ca="1">IFERROR(__xludf.DUMMYFUNCTION("""COMPUTED_VALUE"""),9)</f>
        <v>9</v>
      </c>
      <c r="K189" s="13">
        <f ca="1">IFERROR(__xludf.DUMMYFUNCTION("""COMPUTED_VALUE"""),2025)</f>
        <v>2025</v>
      </c>
      <c r="L189" s="15">
        <f ca="1"/>
        <v>45914</v>
      </c>
    </row>
    <row r="190" spans="1:12">
      <c r="A190" s="12" t="str">
        <f ca="1">IFERROR(__xludf.DUMMYFUNCTION("""COMPUTED_VALUE"""),"09-09-2025")</f>
        <v>09-09-2025</v>
      </c>
      <c r="B190" s="13" t="str">
        <f ca="1">IFERROR(__xludf.DUMMYFUNCTION("""COMPUTED_VALUE"""),"Semarang")</f>
        <v>Semarang</v>
      </c>
      <c r="C190" s="13" t="str">
        <f ca="1">IFERROR(__xludf.DUMMYFUNCTION("""COMPUTED_VALUE"""),"P04")</f>
        <v>P04</v>
      </c>
      <c r="D190" s="13">
        <f ca="1">IFERROR(__xludf.DUMMYFUNCTION("""COMPUTED_VALUE"""),3)</f>
        <v>3</v>
      </c>
      <c r="E190" s="14">
        <f ca="1">IFERROR(__xludf.DUMMYFUNCTION("""COMPUTED_VALUE"""),25000)</f>
        <v>25000</v>
      </c>
      <c r="F190" s="14">
        <f ca="1">IFERROR(__xludf.DUMMYFUNCTION("""COMPUTED_VALUE"""),75000)</f>
        <v>75000</v>
      </c>
      <c r="G190" s="13" t="str">
        <f ca="1"/>
        <v>Americano</v>
      </c>
      <c r="H190" s="13" t="str">
        <f ca="1"/>
        <v>Coffee</v>
      </c>
      <c r="I190" s="13">
        <f ca="1">IFERROR(__xludf.DUMMYFUNCTION("""COMPUTED_VALUE"""),9)</f>
        <v>9</v>
      </c>
      <c r="J190" s="13">
        <f ca="1">IFERROR(__xludf.DUMMYFUNCTION("""COMPUTED_VALUE"""),9)</f>
        <v>9</v>
      </c>
      <c r="K190" s="13">
        <f ca="1">IFERROR(__xludf.DUMMYFUNCTION("""COMPUTED_VALUE"""),2025)</f>
        <v>2025</v>
      </c>
      <c r="L190" s="15">
        <f ca="1"/>
        <v>45909</v>
      </c>
    </row>
    <row r="191" spans="1:12">
      <c r="A191" s="12" t="str">
        <f ca="1">IFERROR(__xludf.DUMMYFUNCTION("""COMPUTED_VALUE"""),"26-09-2025")</f>
        <v>26-09-2025</v>
      </c>
      <c r="B191" s="13" t="str">
        <f ca="1">IFERROR(__xludf.DUMMYFUNCTION("""COMPUTED_VALUE"""),"Semarang")</f>
        <v>Semarang</v>
      </c>
      <c r="C191" s="13" t="str">
        <f ca="1">IFERROR(__xludf.DUMMYFUNCTION("""COMPUTED_VALUE"""),"P05")</f>
        <v>P05</v>
      </c>
      <c r="D191" s="13">
        <f ca="1">IFERROR(__xludf.DUMMYFUNCTION("""COMPUTED_VALUE"""),1)</f>
        <v>1</v>
      </c>
      <c r="E191" s="14">
        <f ca="1">IFERROR(__xludf.DUMMYFUNCTION("""COMPUTED_VALUE"""),28000)</f>
        <v>28000</v>
      </c>
      <c r="F191" s="14">
        <f ca="1">IFERROR(__xludf.DUMMYFUNCTION("""COMPUTED_VALUE"""),28000)</f>
        <v>28000</v>
      </c>
      <c r="G191" s="13" t="str">
        <f ca="1"/>
        <v>Mocha</v>
      </c>
      <c r="H191" s="13" t="str">
        <f ca="1"/>
        <v>Chocolate</v>
      </c>
      <c r="I191" s="13">
        <f ca="1">IFERROR(__xludf.DUMMYFUNCTION("""COMPUTED_VALUE"""),26)</f>
        <v>26</v>
      </c>
      <c r="J191" s="13">
        <f ca="1">IFERROR(__xludf.DUMMYFUNCTION("""COMPUTED_VALUE"""),9)</f>
        <v>9</v>
      </c>
      <c r="K191" s="13">
        <f ca="1">IFERROR(__xludf.DUMMYFUNCTION("""COMPUTED_VALUE"""),2025)</f>
        <v>2025</v>
      </c>
      <c r="L191" s="15">
        <f ca="1"/>
        <v>45926</v>
      </c>
    </row>
    <row r="192" spans="1:12">
      <c r="A192" s="12" t="str">
        <f ca="1">IFERROR(__xludf.DUMMYFUNCTION("""COMPUTED_VALUE"""),"26-09-2025")</f>
        <v>26-09-2025</v>
      </c>
      <c r="B192" s="13" t="str">
        <f ca="1">IFERROR(__xludf.DUMMYFUNCTION("""COMPUTED_VALUE"""),"Semarang")</f>
        <v>Semarang</v>
      </c>
      <c r="C192" s="13" t="str">
        <f ca="1">IFERROR(__xludf.DUMMYFUNCTION("""COMPUTED_VALUE"""),"P01")</f>
        <v>P01</v>
      </c>
      <c r="D192" s="13">
        <f ca="1">IFERROR(__xludf.DUMMYFUNCTION("""COMPUTED_VALUE"""),3)</f>
        <v>3</v>
      </c>
      <c r="E192" s="14">
        <f ca="1">IFERROR(__xludf.DUMMYFUNCTION("""COMPUTED_VALUE"""),30000)</f>
        <v>30000</v>
      </c>
      <c r="F192" s="14">
        <f ca="1">IFERROR(__xludf.DUMMYFUNCTION("""COMPUTED_VALUE"""),90000)</f>
        <v>90000</v>
      </c>
      <c r="G192" s="13" t="str">
        <f ca="1"/>
        <v>Cappuccino</v>
      </c>
      <c r="H192" s="13" t="str">
        <f ca="1"/>
        <v>Coffee</v>
      </c>
      <c r="I192" s="13">
        <f ca="1">IFERROR(__xludf.DUMMYFUNCTION("""COMPUTED_VALUE"""),26)</f>
        <v>26</v>
      </c>
      <c r="J192" s="13">
        <f ca="1">IFERROR(__xludf.DUMMYFUNCTION("""COMPUTED_VALUE"""),9)</f>
        <v>9</v>
      </c>
      <c r="K192" s="13">
        <f ca="1">IFERROR(__xludf.DUMMYFUNCTION("""COMPUTED_VALUE"""),2025)</f>
        <v>2025</v>
      </c>
      <c r="L192" s="15">
        <f ca="1"/>
        <v>45926</v>
      </c>
    </row>
    <row r="193" spans="1:12">
      <c r="A193" s="12" t="str">
        <f ca="1">IFERROR(__xludf.DUMMYFUNCTION("""COMPUTED_VALUE"""),"26-09-2025")</f>
        <v>26-09-2025</v>
      </c>
      <c r="B193" s="13" t="str">
        <f ca="1">IFERROR(__xludf.DUMMYFUNCTION("""COMPUTED_VALUE"""),"Semarang")</f>
        <v>Semarang</v>
      </c>
      <c r="C193" s="13" t="str">
        <f ca="1">IFERROR(__xludf.DUMMYFUNCTION("""COMPUTED_VALUE"""),"P02")</f>
        <v>P02</v>
      </c>
      <c r="D193" s="13">
        <f ca="1">IFERROR(__xludf.DUMMYFUNCTION("""COMPUTED_VALUE"""),1)</f>
        <v>1</v>
      </c>
      <c r="E193" s="14">
        <f ca="1">IFERROR(__xludf.DUMMYFUNCTION("""COMPUTED_VALUE"""),20000)</f>
        <v>20000</v>
      </c>
      <c r="F193" s="14">
        <f ca="1">IFERROR(__xludf.DUMMYFUNCTION("""COMPUTED_VALUE"""),20000)</f>
        <v>20000</v>
      </c>
      <c r="G193" s="13" t="str">
        <f ca="1"/>
        <v>Latte</v>
      </c>
      <c r="H193" s="13" t="str">
        <f ca="1"/>
        <v>Coffee</v>
      </c>
      <c r="I193" s="13">
        <f ca="1">IFERROR(__xludf.DUMMYFUNCTION("""COMPUTED_VALUE"""),26)</f>
        <v>26</v>
      </c>
      <c r="J193" s="13">
        <f ca="1">IFERROR(__xludf.DUMMYFUNCTION("""COMPUTED_VALUE"""),9)</f>
        <v>9</v>
      </c>
      <c r="K193" s="13">
        <f ca="1">IFERROR(__xludf.DUMMYFUNCTION("""COMPUTED_VALUE"""),2025)</f>
        <v>2025</v>
      </c>
      <c r="L193" s="15">
        <f ca="1"/>
        <v>45926</v>
      </c>
    </row>
    <row r="194" spans="1:12">
      <c r="A194" s="12" t="str">
        <f ca="1">IFERROR(__xludf.DUMMYFUNCTION("""COMPUTED_VALUE"""),"07-09-2025")</f>
        <v>07-09-2025</v>
      </c>
      <c r="B194" s="13" t="str">
        <f ca="1">IFERROR(__xludf.DUMMYFUNCTION("""COMPUTED_VALUE"""),"Semarang")</f>
        <v>Semarang</v>
      </c>
      <c r="C194" s="13" t="str">
        <f ca="1">IFERROR(__xludf.DUMMYFUNCTION("""COMPUTED_VALUE"""),"P03")</f>
        <v>P03</v>
      </c>
      <c r="D194" s="13">
        <f ca="1">IFERROR(__xludf.DUMMYFUNCTION("""COMPUTED_VALUE"""),5)</f>
        <v>5</v>
      </c>
      <c r="E194" s="14">
        <f ca="1">IFERROR(__xludf.DUMMYFUNCTION("""COMPUTED_VALUE"""),20000)</f>
        <v>20000</v>
      </c>
      <c r="F194" s="14">
        <f ca="1">IFERROR(__xludf.DUMMYFUNCTION("""COMPUTED_VALUE"""),100000)</f>
        <v>100000</v>
      </c>
      <c r="G194" s="13" t="str">
        <f ca="1"/>
        <v>Espresso</v>
      </c>
      <c r="H194" s="13" t="str">
        <f ca="1"/>
        <v>Coffee</v>
      </c>
      <c r="I194" s="13">
        <f ca="1">IFERROR(__xludf.DUMMYFUNCTION("""COMPUTED_VALUE"""),7)</f>
        <v>7</v>
      </c>
      <c r="J194" s="13">
        <f ca="1">IFERROR(__xludf.DUMMYFUNCTION("""COMPUTED_VALUE"""),9)</f>
        <v>9</v>
      </c>
      <c r="K194" s="13">
        <f ca="1">IFERROR(__xludf.DUMMYFUNCTION("""COMPUTED_VALUE"""),2025)</f>
        <v>2025</v>
      </c>
      <c r="L194" s="15">
        <f ca="1"/>
        <v>45907</v>
      </c>
    </row>
    <row r="195" spans="1:12">
      <c r="A195" s="12" t="str">
        <f ca="1">IFERROR(__xludf.DUMMYFUNCTION("""COMPUTED_VALUE"""),"28-09-2025")</f>
        <v>28-09-2025</v>
      </c>
      <c r="B195" s="13" t="str">
        <f ca="1">IFERROR(__xludf.DUMMYFUNCTION("""COMPUTED_VALUE"""),"Semarang")</f>
        <v>Semarang</v>
      </c>
      <c r="C195" s="13" t="str">
        <f ca="1">IFERROR(__xludf.DUMMYFUNCTION("""COMPUTED_VALUE"""),"P04")</f>
        <v>P04</v>
      </c>
      <c r="D195" s="13">
        <f ca="1">IFERROR(__xludf.DUMMYFUNCTION("""COMPUTED_VALUE"""),4)</f>
        <v>4</v>
      </c>
      <c r="E195" s="14">
        <f ca="1">IFERROR(__xludf.DUMMYFUNCTION("""COMPUTED_VALUE"""),25000)</f>
        <v>25000</v>
      </c>
      <c r="F195" s="14">
        <f ca="1">IFERROR(__xludf.DUMMYFUNCTION("""COMPUTED_VALUE"""),100000)</f>
        <v>100000</v>
      </c>
      <c r="G195" s="13" t="str">
        <f ca="1"/>
        <v>Americano</v>
      </c>
      <c r="H195" s="13" t="str">
        <f ca="1"/>
        <v>Coffee</v>
      </c>
      <c r="I195" s="13">
        <f ca="1">IFERROR(__xludf.DUMMYFUNCTION("""COMPUTED_VALUE"""),28)</f>
        <v>28</v>
      </c>
      <c r="J195" s="13">
        <f ca="1">IFERROR(__xludf.DUMMYFUNCTION("""COMPUTED_VALUE"""),9)</f>
        <v>9</v>
      </c>
      <c r="K195" s="13">
        <f ca="1">IFERROR(__xludf.DUMMYFUNCTION("""COMPUTED_VALUE"""),2025)</f>
        <v>2025</v>
      </c>
      <c r="L195" s="15">
        <f ca="1"/>
        <v>45928</v>
      </c>
    </row>
    <row r="196" spans="1:12">
      <c r="A196" s="12" t="str">
        <f ca="1">IFERROR(__xludf.DUMMYFUNCTION("""COMPUTED_VALUE"""),"06-09-2025")</f>
        <v>06-09-2025</v>
      </c>
      <c r="B196" s="13" t="str">
        <f ca="1">IFERROR(__xludf.DUMMYFUNCTION("""COMPUTED_VALUE"""),"Semarang")</f>
        <v>Semarang</v>
      </c>
      <c r="C196" s="13" t="str">
        <f ca="1">IFERROR(__xludf.DUMMYFUNCTION("""COMPUTED_VALUE"""),"P05")</f>
        <v>P05</v>
      </c>
      <c r="D196" s="13">
        <f ca="1">IFERROR(__xludf.DUMMYFUNCTION("""COMPUTED_VALUE"""),1)</f>
        <v>1</v>
      </c>
      <c r="E196" s="14">
        <f ca="1">IFERROR(__xludf.DUMMYFUNCTION("""COMPUTED_VALUE"""),20000)</f>
        <v>20000</v>
      </c>
      <c r="F196" s="14">
        <f ca="1">IFERROR(__xludf.DUMMYFUNCTION("""COMPUTED_VALUE"""),20000)</f>
        <v>20000</v>
      </c>
      <c r="G196" s="13" t="str">
        <f ca="1"/>
        <v>Mocha</v>
      </c>
      <c r="H196" s="13" t="str">
        <f ca="1"/>
        <v>Chocolate</v>
      </c>
      <c r="I196" s="13">
        <f ca="1">IFERROR(__xludf.DUMMYFUNCTION("""COMPUTED_VALUE"""),6)</f>
        <v>6</v>
      </c>
      <c r="J196" s="13">
        <f ca="1">IFERROR(__xludf.DUMMYFUNCTION("""COMPUTED_VALUE"""),9)</f>
        <v>9</v>
      </c>
      <c r="K196" s="13">
        <f ca="1">IFERROR(__xludf.DUMMYFUNCTION("""COMPUTED_VALUE"""),2025)</f>
        <v>2025</v>
      </c>
      <c r="L196" s="15">
        <f ca="1"/>
        <v>45906</v>
      </c>
    </row>
    <row r="197" spans="1:12">
      <c r="A197" s="12" t="str">
        <f ca="1">IFERROR(__xludf.DUMMYFUNCTION("""COMPUTED_VALUE"""),"03-09-2025")</f>
        <v>03-09-2025</v>
      </c>
      <c r="B197" s="13" t="str">
        <f ca="1">IFERROR(__xludf.DUMMYFUNCTION("""COMPUTED_VALUE"""),"Semarang")</f>
        <v>Semarang</v>
      </c>
      <c r="C197" s="13" t="str">
        <f ca="1">IFERROR(__xludf.DUMMYFUNCTION("""COMPUTED_VALUE"""),"P01")</f>
        <v>P01</v>
      </c>
      <c r="D197" s="13">
        <f ca="1">IFERROR(__xludf.DUMMYFUNCTION("""COMPUTED_VALUE"""),4)</f>
        <v>4</v>
      </c>
      <c r="E197" s="14">
        <f ca="1">IFERROR(__xludf.DUMMYFUNCTION("""COMPUTED_VALUE"""),25000)</f>
        <v>25000</v>
      </c>
      <c r="F197" s="14">
        <f ca="1">IFERROR(__xludf.DUMMYFUNCTION("""COMPUTED_VALUE"""),100000)</f>
        <v>100000</v>
      </c>
      <c r="G197" s="13" t="str">
        <f ca="1"/>
        <v>Cappuccino</v>
      </c>
      <c r="H197" s="13" t="str">
        <f ca="1"/>
        <v>Coffee</v>
      </c>
      <c r="I197" s="13">
        <f ca="1">IFERROR(__xludf.DUMMYFUNCTION("""COMPUTED_VALUE"""),3)</f>
        <v>3</v>
      </c>
      <c r="J197" s="13">
        <f ca="1">IFERROR(__xludf.DUMMYFUNCTION("""COMPUTED_VALUE"""),9)</f>
        <v>9</v>
      </c>
      <c r="K197" s="13">
        <f ca="1">IFERROR(__xludf.DUMMYFUNCTION("""COMPUTED_VALUE"""),2025)</f>
        <v>2025</v>
      </c>
      <c r="L197" s="15">
        <f ca="1"/>
        <v>45903</v>
      </c>
    </row>
    <row r="198" spans="1:12">
      <c r="A198" s="12" t="str">
        <f ca="1">IFERROR(__xludf.DUMMYFUNCTION("""COMPUTED_VALUE"""),"24-09-2025")</f>
        <v>24-09-2025</v>
      </c>
      <c r="B198" s="13" t="str">
        <f ca="1">IFERROR(__xludf.DUMMYFUNCTION("""COMPUTED_VALUE"""),"Semarang")</f>
        <v>Semarang</v>
      </c>
      <c r="C198" s="13" t="str">
        <f ca="1">IFERROR(__xludf.DUMMYFUNCTION("""COMPUTED_VALUE"""),"P02")</f>
        <v>P02</v>
      </c>
      <c r="D198" s="13">
        <f ca="1">IFERROR(__xludf.DUMMYFUNCTION("""COMPUTED_VALUE"""),1)</f>
        <v>1</v>
      </c>
      <c r="E198" s="14">
        <f ca="1">IFERROR(__xludf.DUMMYFUNCTION("""COMPUTED_VALUE"""),30000)</f>
        <v>30000</v>
      </c>
      <c r="F198" s="14">
        <f ca="1">IFERROR(__xludf.DUMMYFUNCTION("""COMPUTED_VALUE"""),30000)</f>
        <v>30000</v>
      </c>
      <c r="G198" s="13" t="str">
        <f ca="1"/>
        <v>Latte</v>
      </c>
      <c r="H198" s="13" t="str">
        <f ca="1"/>
        <v>Coffee</v>
      </c>
      <c r="I198" s="13">
        <f ca="1">IFERROR(__xludf.DUMMYFUNCTION("""COMPUTED_VALUE"""),24)</f>
        <v>24</v>
      </c>
      <c r="J198" s="13">
        <f ca="1">IFERROR(__xludf.DUMMYFUNCTION("""COMPUTED_VALUE"""),9)</f>
        <v>9</v>
      </c>
      <c r="K198" s="13">
        <f ca="1">IFERROR(__xludf.DUMMYFUNCTION("""COMPUTED_VALUE"""),2025)</f>
        <v>2025</v>
      </c>
      <c r="L198" s="15">
        <f ca="1"/>
        <v>45924</v>
      </c>
    </row>
    <row r="199" spans="1:12">
      <c r="A199" s="12" t="str">
        <f ca="1">IFERROR(__xludf.DUMMYFUNCTION("""COMPUTED_VALUE"""),"26-09-2025")</f>
        <v>26-09-2025</v>
      </c>
      <c r="B199" s="13" t="str">
        <f ca="1">IFERROR(__xludf.DUMMYFUNCTION("""COMPUTED_VALUE"""),"Semarang")</f>
        <v>Semarang</v>
      </c>
      <c r="C199" s="13" t="str">
        <f ca="1">IFERROR(__xludf.DUMMYFUNCTION("""COMPUTED_VALUE"""),"P03")</f>
        <v>P03</v>
      </c>
      <c r="D199" s="13">
        <f ca="1">IFERROR(__xludf.DUMMYFUNCTION("""COMPUTED_VALUE"""),1)</f>
        <v>1</v>
      </c>
      <c r="E199" s="14">
        <f ca="1">IFERROR(__xludf.DUMMYFUNCTION("""COMPUTED_VALUE"""),35000)</f>
        <v>35000</v>
      </c>
      <c r="F199" s="14">
        <f ca="1">IFERROR(__xludf.DUMMYFUNCTION("""COMPUTED_VALUE"""),35000)</f>
        <v>35000</v>
      </c>
      <c r="G199" s="13" t="str">
        <f ca="1"/>
        <v>Espresso</v>
      </c>
      <c r="H199" s="13" t="str">
        <f ca="1"/>
        <v>Coffee</v>
      </c>
      <c r="I199" s="13">
        <f ca="1">IFERROR(__xludf.DUMMYFUNCTION("""COMPUTED_VALUE"""),26)</f>
        <v>26</v>
      </c>
      <c r="J199" s="13">
        <f ca="1">IFERROR(__xludf.DUMMYFUNCTION("""COMPUTED_VALUE"""),9)</f>
        <v>9</v>
      </c>
      <c r="K199" s="13">
        <f ca="1">IFERROR(__xludf.DUMMYFUNCTION("""COMPUTED_VALUE"""),2025)</f>
        <v>2025</v>
      </c>
      <c r="L199" s="15">
        <f ca="1"/>
        <v>45926</v>
      </c>
    </row>
    <row r="200" spans="1:12">
      <c r="A200" s="12" t="str">
        <f ca="1">IFERROR(__xludf.DUMMYFUNCTION("""COMPUTED_VALUE"""),"01-09-2025")</f>
        <v>01-09-2025</v>
      </c>
      <c r="B200" s="13" t="str">
        <f ca="1">IFERROR(__xludf.DUMMYFUNCTION("""COMPUTED_VALUE"""),"Semarang")</f>
        <v>Semarang</v>
      </c>
      <c r="C200" s="13" t="str">
        <f ca="1">IFERROR(__xludf.DUMMYFUNCTION("""COMPUTED_VALUE"""),"P04")</f>
        <v>P04</v>
      </c>
      <c r="D200" s="13">
        <f ca="1">IFERROR(__xludf.DUMMYFUNCTION("""COMPUTED_VALUE"""),5)</f>
        <v>5</v>
      </c>
      <c r="E200" s="14">
        <f ca="1">IFERROR(__xludf.DUMMYFUNCTION("""COMPUTED_VALUE"""),20000)</f>
        <v>20000</v>
      </c>
      <c r="F200" s="14">
        <f ca="1">IFERROR(__xludf.DUMMYFUNCTION("""COMPUTED_VALUE"""),100000)</f>
        <v>100000</v>
      </c>
      <c r="G200" s="13" t="str">
        <f ca="1"/>
        <v>Americano</v>
      </c>
      <c r="H200" s="13" t="str">
        <f ca="1"/>
        <v>Coffee</v>
      </c>
      <c r="I200" s="13">
        <f ca="1">IFERROR(__xludf.DUMMYFUNCTION("""COMPUTED_VALUE"""),1)</f>
        <v>1</v>
      </c>
      <c r="J200" s="13">
        <f ca="1">IFERROR(__xludf.DUMMYFUNCTION("""COMPUTED_VALUE"""),9)</f>
        <v>9</v>
      </c>
      <c r="K200" s="13">
        <f ca="1">IFERROR(__xludf.DUMMYFUNCTION("""COMPUTED_VALUE"""),2025)</f>
        <v>2025</v>
      </c>
      <c r="L200" s="15">
        <f ca="1"/>
        <v>45901</v>
      </c>
    </row>
    <row r="201" spans="1:12">
      <c r="A201" s="12" t="str">
        <f ca="1">IFERROR(__xludf.DUMMYFUNCTION("""COMPUTED_VALUE"""),"05-09-2025")</f>
        <v>05-09-2025</v>
      </c>
      <c r="B201" s="13" t="str">
        <f ca="1">IFERROR(__xludf.DUMMYFUNCTION("""COMPUTED_VALUE"""),"Semarang")</f>
        <v>Semarang</v>
      </c>
      <c r="C201" s="13" t="str">
        <f ca="1">IFERROR(__xludf.DUMMYFUNCTION("""COMPUTED_VALUE"""),"P05")</f>
        <v>P05</v>
      </c>
      <c r="D201" s="13">
        <f ca="1">IFERROR(__xludf.DUMMYFUNCTION("""COMPUTED_VALUE"""),5)</f>
        <v>5</v>
      </c>
      <c r="E201" s="14">
        <f ca="1">IFERROR(__xludf.DUMMYFUNCTION("""COMPUTED_VALUE"""),30000)</f>
        <v>30000</v>
      </c>
      <c r="F201" s="14">
        <f ca="1">IFERROR(__xludf.DUMMYFUNCTION("""COMPUTED_VALUE"""),150000)</f>
        <v>150000</v>
      </c>
      <c r="G201" s="13" t="str">
        <f ca="1"/>
        <v>Mocha</v>
      </c>
      <c r="H201" s="13" t="str">
        <f ca="1"/>
        <v>Chocolate</v>
      </c>
      <c r="I201" s="13">
        <f ca="1">IFERROR(__xludf.DUMMYFUNCTION("""COMPUTED_VALUE"""),5)</f>
        <v>5</v>
      </c>
      <c r="J201" s="13">
        <f ca="1">IFERROR(__xludf.DUMMYFUNCTION("""COMPUTED_VALUE"""),9)</f>
        <v>9</v>
      </c>
      <c r="K201" s="13">
        <f ca="1">IFERROR(__xludf.DUMMYFUNCTION("""COMPUTED_VALUE"""),2025)</f>
        <v>2025</v>
      </c>
      <c r="L201" s="15">
        <f ca="1"/>
        <v>45905</v>
      </c>
    </row>
    <row r="202" spans="1:12">
      <c r="A202" s="12" t="str">
        <f ca="1">IFERROR(__xludf.DUMMYFUNCTION("""COMPUTED_VALUE"""),"23-09-2025")</f>
        <v>23-09-2025</v>
      </c>
      <c r="B202" s="13" t="str">
        <f ca="1">IFERROR(__xludf.DUMMYFUNCTION("""COMPUTED_VALUE"""),"Semarang")</f>
        <v>Semarang</v>
      </c>
      <c r="C202" s="13" t="str">
        <f ca="1">IFERROR(__xludf.DUMMYFUNCTION("""COMPUTED_VALUE"""),"P03")</f>
        <v>P03</v>
      </c>
      <c r="D202" s="13">
        <f ca="1">IFERROR(__xludf.DUMMYFUNCTION("""COMPUTED_VALUE"""),2)</f>
        <v>2</v>
      </c>
      <c r="E202" s="14">
        <f ca="1">IFERROR(__xludf.DUMMYFUNCTION("""COMPUTED_VALUE"""),35000)</f>
        <v>35000</v>
      </c>
      <c r="F202" s="14">
        <f ca="1">IFERROR(__xludf.DUMMYFUNCTION("""COMPUTED_VALUE"""),70000)</f>
        <v>70000</v>
      </c>
      <c r="G202" s="13" t="str">
        <f ca="1"/>
        <v>Espresso</v>
      </c>
      <c r="H202" s="13" t="str">
        <f ca="1"/>
        <v>Coffee</v>
      </c>
      <c r="I202" s="13">
        <f ca="1">IFERROR(__xludf.DUMMYFUNCTION("""COMPUTED_VALUE"""),23)</f>
        <v>23</v>
      </c>
      <c r="J202" s="13">
        <f ca="1">IFERROR(__xludf.DUMMYFUNCTION("""COMPUTED_VALUE"""),9)</f>
        <v>9</v>
      </c>
      <c r="K202" s="13">
        <f ca="1">IFERROR(__xludf.DUMMYFUNCTION("""COMPUTED_VALUE"""),2025)</f>
        <v>2025</v>
      </c>
      <c r="L202" s="15">
        <f ca="1"/>
        <v>45923</v>
      </c>
    </row>
    <row r="203" spans="1:12">
      <c r="A203" s="12" t="str">
        <f ca="1">IFERROR(__xludf.DUMMYFUNCTION("""COMPUTED_VALUE"""),"07-09-2025")</f>
        <v>07-09-2025</v>
      </c>
      <c r="B203" s="13" t="str">
        <f ca="1">IFERROR(__xludf.DUMMYFUNCTION("""COMPUTED_VALUE"""),"Semarang")</f>
        <v>Semarang</v>
      </c>
      <c r="C203" s="13" t="str">
        <f ca="1">IFERROR(__xludf.DUMMYFUNCTION("""COMPUTED_VALUE"""),"P04")</f>
        <v>P04</v>
      </c>
      <c r="D203" s="13">
        <f ca="1">IFERROR(__xludf.DUMMYFUNCTION("""COMPUTED_VALUE"""),2)</f>
        <v>2</v>
      </c>
      <c r="E203" s="14">
        <f ca="1">IFERROR(__xludf.DUMMYFUNCTION("""COMPUTED_VALUE"""),28000)</f>
        <v>28000</v>
      </c>
      <c r="F203" s="14">
        <f ca="1">IFERROR(__xludf.DUMMYFUNCTION("""COMPUTED_VALUE"""),56000)</f>
        <v>56000</v>
      </c>
      <c r="G203" s="13" t="str">
        <f ca="1"/>
        <v>Americano</v>
      </c>
      <c r="H203" s="13" t="str">
        <f ca="1"/>
        <v>Coffee</v>
      </c>
      <c r="I203" s="13">
        <f ca="1">IFERROR(__xludf.DUMMYFUNCTION("""COMPUTED_VALUE"""),7)</f>
        <v>7</v>
      </c>
      <c r="J203" s="13">
        <f ca="1">IFERROR(__xludf.DUMMYFUNCTION("""COMPUTED_VALUE"""),9)</f>
        <v>9</v>
      </c>
      <c r="K203" s="13">
        <f ca="1">IFERROR(__xludf.DUMMYFUNCTION("""COMPUTED_VALUE"""),2025)</f>
        <v>2025</v>
      </c>
      <c r="L203" s="15">
        <f ca="1"/>
        <v>45907</v>
      </c>
    </row>
    <row r="204" spans="1:12">
      <c r="A204" s="12" t="str">
        <f ca="1">IFERROR(__xludf.DUMMYFUNCTION("""COMPUTED_VALUE"""),"30-09-2025")</f>
        <v>30-09-2025</v>
      </c>
      <c r="B204" s="13" t="str">
        <f ca="1">IFERROR(__xludf.DUMMYFUNCTION("""COMPUTED_VALUE"""),"Semarang")</f>
        <v>Semarang</v>
      </c>
      <c r="C204" s="13" t="str">
        <f ca="1">IFERROR(__xludf.DUMMYFUNCTION("""COMPUTED_VALUE"""),"P05")</f>
        <v>P05</v>
      </c>
      <c r="D204" s="13">
        <f ca="1">IFERROR(__xludf.DUMMYFUNCTION("""COMPUTED_VALUE"""),3)</f>
        <v>3</v>
      </c>
      <c r="E204" s="14">
        <f ca="1">IFERROR(__xludf.DUMMYFUNCTION("""COMPUTED_VALUE"""),28000)</f>
        <v>28000</v>
      </c>
      <c r="F204" s="14">
        <f ca="1">IFERROR(__xludf.DUMMYFUNCTION("""COMPUTED_VALUE"""),84000)</f>
        <v>84000</v>
      </c>
      <c r="G204" s="13" t="str">
        <f ca="1"/>
        <v>Mocha</v>
      </c>
      <c r="H204" s="13" t="str">
        <f ca="1"/>
        <v>Chocolate</v>
      </c>
      <c r="I204" s="13">
        <f ca="1">IFERROR(__xludf.DUMMYFUNCTION("""COMPUTED_VALUE"""),30)</f>
        <v>30</v>
      </c>
      <c r="J204" s="13">
        <f ca="1">IFERROR(__xludf.DUMMYFUNCTION("""COMPUTED_VALUE"""),9)</f>
        <v>9</v>
      </c>
      <c r="K204" s="13">
        <f ca="1">IFERROR(__xludf.DUMMYFUNCTION("""COMPUTED_VALUE"""),2025)</f>
        <v>2025</v>
      </c>
      <c r="L204" s="15">
        <f ca="1"/>
        <v>45930</v>
      </c>
    </row>
    <row r="205" spans="1:12">
      <c r="A205" s="12" t="str">
        <f ca="1">IFERROR(__xludf.DUMMYFUNCTION("""COMPUTED_VALUE"""),"30-09-2025")</f>
        <v>30-09-2025</v>
      </c>
      <c r="B205" s="13" t="str">
        <f ca="1">IFERROR(__xludf.DUMMYFUNCTION("""COMPUTED_VALUE"""),"Semarang")</f>
        <v>Semarang</v>
      </c>
      <c r="C205" s="13" t="str">
        <f ca="1">IFERROR(__xludf.DUMMYFUNCTION("""COMPUTED_VALUE"""),"P01")</f>
        <v>P01</v>
      </c>
      <c r="D205" s="13">
        <f ca="1">IFERROR(__xludf.DUMMYFUNCTION("""COMPUTED_VALUE"""),2)</f>
        <v>2</v>
      </c>
      <c r="E205" s="14">
        <f ca="1">IFERROR(__xludf.DUMMYFUNCTION("""COMPUTED_VALUE"""),30000)</f>
        <v>30000</v>
      </c>
      <c r="F205" s="14">
        <f ca="1">IFERROR(__xludf.DUMMYFUNCTION("""COMPUTED_VALUE"""),60000)</f>
        <v>60000</v>
      </c>
      <c r="G205" s="13" t="str">
        <f ca="1"/>
        <v>Cappuccino</v>
      </c>
      <c r="H205" s="13" t="str">
        <f ca="1"/>
        <v>Coffee</v>
      </c>
      <c r="I205" s="13">
        <f ca="1">IFERROR(__xludf.DUMMYFUNCTION("""COMPUTED_VALUE"""),30)</f>
        <v>30</v>
      </c>
      <c r="J205" s="13">
        <f ca="1">IFERROR(__xludf.DUMMYFUNCTION("""COMPUTED_VALUE"""),9)</f>
        <v>9</v>
      </c>
      <c r="K205" s="13">
        <f ca="1">IFERROR(__xludf.DUMMYFUNCTION("""COMPUTED_VALUE"""),2025)</f>
        <v>2025</v>
      </c>
      <c r="L205" s="15">
        <f ca="1"/>
        <v>45930</v>
      </c>
    </row>
    <row r="206" spans="1:12">
      <c r="A206" s="12" t="str">
        <f ca="1">IFERROR(__xludf.DUMMYFUNCTION("""COMPUTED_VALUE"""),"30-09-2025")</f>
        <v>30-09-2025</v>
      </c>
      <c r="B206" s="13" t="str">
        <f ca="1">IFERROR(__xludf.DUMMYFUNCTION("""COMPUTED_VALUE"""),"Semarang")</f>
        <v>Semarang</v>
      </c>
      <c r="C206" s="13" t="str">
        <f ca="1">IFERROR(__xludf.DUMMYFUNCTION("""COMPUTED_VALUE"""),"P02")</f>
        <v>P02</v>
      </c>
      <c r="D206" s="13">
        <f ca="1">IFERROR(__xludf.DUMMYFUNCTION("""COMPUTED_VALUE"""),4)</f>
        <v>4</v>
      </c>
      <c r="E206" s="14">
        <f ca="1">IFERROR(__xludf.DUMMYFUNCTION("""COMPUTED_VALUE"""),28000)</f>
        <v>28000</v>
      </c>
      <c r="F206" s="14">
        <f ca="1">IFERROR(__xludf.DUMMYFUNCTION("""COMPUTED_VALUE"""),112000)</f>
        <v>112000</v>
      </c>
      <c r="G206" s="13" t="str">
        <f ca="1"/>
        <v>Latte</v>
      </c>
      <c r="H206" s="13" t="str">
        <f ca="1"/>
        <v>Coffee</v>
      </c>
      <c r="I206" s="13">
        <f ca="1">IFERROR(__xludf.DUMMYFUNCTION("""COMPUTED_VALUE"""),30)</f>
        <v>30</v>
      </c>
      <c r="J206" s="13">
        <f ca="1">IFERROR(__xludf.DUMMYFUNCTION("""COMPUTED_VALUE"""),9)</f>
        <v>9</v>
      </c>
      <c r="K206" s="13">
        <f ca="1">IFERROR(__xludf.DUMMYFUNCTION("""COMPUTED_VALUE"""),2025)</f>
        <v>2025</v>
      </c>
      <c r="L206" s="15">
        <f ca="1"/>
        <v>45930</v>
      </c>
    </row>
    <row r="207" spans="1:12">
      <c r="A207" s="12" t="str">
        <f ca="1">IFERROR(__xludf.DUMMYFUNCTION("""COMPUTED_VALUE"""),"04-09-2025")</f>
        <v>04-09-2025</v>
      </c>
      <c r="B207" s="13" t="str">
        <f ca="1">IFERROR(__xludf.DUMMYFUNCTION("""COMPUTED_VALUE"""),"Semarang")</f>
        <v>Semarang</v>
      </c>
      <c r="C207" s="13" t="str">
        <f ca="1">IFERROR(__xludf.DUMMYFUNCTION("""COMPUTED_VALUE"""),"P03")</f>
        <v>P03</v>
      </c>
      <c r="D207" s="13">
        <f ca="1">IFERROR(__xludf.DUMMYFUNCTION("""COMPUTED_VALUE"""),1)</f>
        <v>1</v>
      </c>
      <c r="E207" s="14">
        <f ca="1">IFERROR(__xludf.DUMMYFUNCTION("""COMPUTED_VALUE"""),25000)</f>
        <v>25000</v>
      </c>
      <c r="F207" s="14">
        <f ca="1">IFERROR(__xludf.DUMMYFUNCTION("""COMPUTED_VALUE"""),25000)</f>
        <v>25000</v>
      </c>
      <c r="G207" s="13" t="str">
        <f ca="1"/>
        <v>Espresso</v>
      </c>
      <c r="H207" s="13" t="str">
        <f ca="1"/>
        <v>Coffee</v>
      </c>
      <c r="I207" s="13">
        <f ca="1">IFERROR(__xludf.DUMMYFUNCTION("""COMPUTED_VALUE"""),4)</f>
        <v>4</v>
      </c>
      <c r="J207" s="13">
        <f ca="1">IFERROR(__xludf.DUMMYFUNCTION("""COMPUTED_VALUE"""),9)</f>
        <v>9</v>
      </c>
      <c r="K207" s="13">
        <f ca="1">IFERROR(__xludf.DUMMYFUNCTION("""COMPUTED_VALUE"""),2025)</f>
        <v>2025</v>
      </c>
      <c r="L207" s="15">
        <f ca="1"/>
        <v>45904</v>
      </c>
    </row>
    <row r="208" spans="1:12">
      <c r="A208" s="12" t="str">
        <f ca="1">IFERROR(__xludf.DUMMYFUNCTION("""COMPUTED_VALUE"""),"16-09-2025")</f>
        <v>16-09-2025</v>
      </c>
      <c r="B208" s="13" t="str">
        <f ca="1">IFERROR(__xludf.DUMMYFUNCTION("""COMPUTED_VALUE"""),"Semarang")</f>
        <v>Semarang</v>
      </c>
      <c r="C208" s="13" t="str">
        <f ca="1">IFERROR(__xludf.DUMMYFUNCTION("""COMPUTED_VALUE"""),"P04")</f>
        <v>P04</v>
      </c>
      <c r="D208" s="13">
        <f ca="1">IFERROR(__xludf.DUMMYFUNCTION("""COMPUTED_VALUE"""),3)</f>
        <v>3</v>
      </c>
      <c r="E208" s="14">
        <f ca="1">IFERROR(__xludf.DUMMYFUNCTION("""COMPUTED_VALUE"""),20000)</f>
        <v>20000</v>
      </c>
      <c r="F208" s="14">
        <f ca="1">IFERROR(__xludf.DUMMYFUNCTION("""COMPUTED_VALUE"""),60000)</f>
        <v>60000</v>
      </c>
      <c r="G208" s="13" t="str">
        <f ca="1"/>
        <v>Americano</v>
      </c>
      <c r="H208" s="13" t="str">
        <f ca="1"/>
        <v>Coffee</v>
      </c>
      <c r="I208" s="13">
        <f ca="1">IFERROR(__xludf.DUMMYFUNCTION("""COMPUTED_VALUE"""),16)</f>
        <v>16</v>
      </c>
      <c r="J208" s="13">
        <f ca="1">IFERROR(__xludf.DUMMYFUNCTION("""COMPUTED_VALUE"""),9)</f>
        <v>9</v>
      </c>
      <c r="K208" s="13">
        <f ca="1">IFERROR(__xludf.DUMMYFUNCTION("""COMPUTED_VALUE"""),2025)</f>
        <v>2025</v>
      </c>
      <c r="L208" s="15">
        <f ca="1"/>
        <v>45916</v>
      </c>
    </row>
    <row r="209" spans="1:12">
      <c r="A209" s="12" t="str">
        <f ca="1">IFERROR(__xludf.DUMMYFUNCTION("""COMPUTED_VALUE"""),"26-09-2025")</f>
        <v>26-09-2025</v>
      </c>
      <c r="B209" s="13" t="str">
        <f ca="1">IFERROR(__xludf.DUMMYFUNCTION("""COMPUTED_VALUE"""),"Semarang")</f>
        <v>Semarang</v>
      </c>
      <c r="C209" s="13" t="str">
        <f ca="1">IFERROR(__xludf.DUMMYFUNCTION("""COMPUTED_VALUE"""),"P05")</f>
        <v>P05</v>
      </c>
      <c r="D209" s="13">
        <f ca="1">IFERROR(__xludf.DUMMYFUNCTION("""COMPUTED_VALUE"""),2)</f>
        <v>2</v>
      </c>
      <c r="E209" s="14">
        <f ca="1">IFERROR(__xludf.DUMMYFUNCTION("""COMPUTED_VALUE"""),20000)</f>
        <v>20000</v>
      </c>
      <c r="F209" s="14">
        <f ca="1">IFERROR(__xludf.DUMMYFUNCTION("""COMPUTED_VALUE"""),40000)</f>
        <v>40000</v>
      </c>
      <c r="G209" s="13" t="str">
        <f ca="1"/>
        <v>Mocha</v>
      </c>
      <c r="H209" s="13" t="str">
        <f ca="1"/>
        <v>Chocolate</v>
      </c>
      <c r="I209" s="13">
        <f ca="1">IFERROR(__xludf.DUMMYFUNCTION("""COMPUTED_VALUE"""),26)</f>
        <v>26</v>
      </c>
      <c r="J209" s="13">
        <f ca="1">IFERROR(__xludf.DUMMYFUNCTION("""COMPUTED_VALUE"""),9)</f>
        <v>9</v>
      </c>
      <c r="K209" s="13">
        <f ca="1">IFERROR(__xludf.DUMMYFUNCTION("""COMPUTED_VALUE"""),2025)</f>
        <v>2025</v>
      </c>
      <c r="L209" s="15">
        <f ca="1"/>
        <v>45926</v>
      </c>
    </row>
    <row r="210" spans="1:12">
      <c r="A210" s="12" t="str">
        <f ca="1">IFERROR(__xludf.DUMMYFUNCTION("""COMPUTED_VALUE"""),"19-09-2025")</f>
        <v>19-09-2025</v>
      </c>
      <c r="B210" s="13" t="str">
        <f ca="1">IFERROR(__xludf.DUMMYFUNCTION("""COMPUTED_VALUE"""),"Semarang")</f>
        <v>Semarang</v>
      </c>
      <c r="C210" s="13" t="str">
        <f ca="1">IFERROR(__xludf.DUMMYFUNCTION("""COMPUTED_VALUE"""),"P01")</f>
        <v>P01</v>
      </c>
      <c r="D210" s="13">
        <f ca="1">IFERROR(__xludf.DUMMYFUNCTION("""COMPUTED_VALUE"""),4)</f>
        <v>4</v>
      </c>
      <c r="E210" s="14">
        <f ca="1">IFERROR(__xludf.DUMMYFUNCTION("""COMPUTED_VALUE"""),35000)</f>
        <v>35000</v>
      </c>
      <c r="F210" s="14">
        <f ca="1">IFERROR(__xludf.DUMMYFUNCTION("""COMPUTED_VALUE"""),140000)</f>
        <v>140000</v>
      </c>
      <c r="G210" s="13" t="str">
        <f ca="1"/>
        <v>Cappuccino</v>
      </c>
      <c r="H210" s="13" t="str">
        <f ca="1"/>
        <v>Coffee</v>
      </c>
      <c r="I210" s="13">
        <f ca="1">IFERROR(__xludf.DUMMYFUNCTION("""COMPUTED_VALUE"""),19)</f>
        <v>19</v>
      </c>
      <c r="J210" s="13">
        <f ca="1">IFERROR(__xludf.DUMMYFUNCTION("""COMPUTED_VALUE"""),9)</f>
        <v>9</v>
      </c>
      <c r="K210" s="13">
        <f ca="1">IFERROR(__xludf.DUMMYFUNCTION("""COMPUTED_VALUE"""),2025)</f>
        <v>2025</v>
      </c>
      <c r="L210" s="15">
        <f ca="1"/>
        <v>45919</v>
      </c>
    </row>
    <row r="211" spans="1:12">
      <c r="A211" s="12" t="str">
        <f ca="1">IFERROR(__xludf.DUMMYFUNCTION("""COMPUTED_VALUE"""),"07-09-2025")</f>
        <v>07-09-2025</v>
      </c>
      <c r="B211" s="13" t="str">
        <f ca="1">IFERROR(__xludf.DUMMYFUNCTION("""COMPUTED_VALUE"""),"Semarang")</f>
        <v>Semarang</v>
      </c>
      <c r="C211" s="13" t="str">
        <f ca="1">IFERROR(__xludf.DUMMYFUNCTION("""COMPUTED_VALUE"""),"P02")</f>
        <v>P02</v>
      </c>
      <c r="D211" s="13">
        <f ca="1">IFERROR(__xludf.DUMMYFUNCTION("""COMPUTED_VALUE"""),1)</f>
        <v>1</v>
      </c>
      <c r="E211" s="14">
        <f ca="1">IFERROR(__xludf.DUMMYFUNCTION("""COMPUTED_VALUE"""),35000)</f>
        <v>35000</v>
      </c>
      <c r="F211" s="14">
        <f ca="1">IFERROR(__xludf.DUMMYFUNCTION("""COMPUTED_VALUE"""),35000)</f>
        <v>35000</v>
      </c>
      <c r="G211" s="13" t="str">
        <f ca="1"/>
        <v>Latte</v>
      </c>
      <c r="H211" s="13" t="str">
        <f ca="1"/>
        <v>Coffee</v>
      </c>
      <c r="I211" s="13">
        <f ca="1">IFERROR(__xludf.DUMMYFUNCTION("""COMPUTED_VALUE"""),7)</f>
        <v>7</v>
      </c>
      <c r="J211" s="13">
        <f ca="1">IFERROR(__xludf.DUMMYFUNCTION("""COMPUTED_VALUE"""),9)</f>
        <v>9</v>
      </c>
      <c r="K211" s="13">
        <f ca="1">IFERROR(__xludf.DUMMYFUNCTION("""COMPUTED_VALUE"""),2025)</f>
        <v>2025</v>
      </c>
      <c r="L211" s="15">
        <f ca="1"/>
        <v>45907</v>
      </c>
    </row>
    <row r="212" spans="1:12">
      <c r="A212" s="12" t="str">
        <f ca="1">IFERROR(__xludf.DUMMYFUNCTION("""COMPUTED_VALUE"""),"29-09-2025")</f>
        <v>29-09-2025</v>
      </c>
      <c r="B212" s="13" t="str">
        <f ca="1">IFERROR(__xludf.DUMMYFUNCTION("""COMPUTED_VALUE"""),"Semarang")</f>
        <v>Semarang</v>
      </c>
      <c r="C212" s="13" t="str">
        <f ca="1">IFERROR(__xludf.DUMMYFUNCTION("""COMPUTED_VALUE"""),"P03")</f>
        <v>P03</v>
      </c>
      <c r="D212" s="13">
        <f ca="1">IFERROR(__xludf.DUMMYFUNCTION("""COMPUTED_VALUE"""),5)</f>
        <v>5</v>
      </c>
      <c r="E212" s="14">
        <f ca="1">IFERROR(__xludf.DUMMYFUNCTION("""COMPUTED_VALUE"""),20000)</f>
        <v>20000</v>
      </c>
      <c r="F212" s="14">
        <f ca="1">IFERROR(__xludf.DUMMYFUNCTION("""COMPUTED_VALUE"""),100000)</f>
        <v>100000</v>
      </c>
      <c r="G212" s="13" t="str">
        <f ca="1"/>
        <v>Espresso</v>
      </c>
      <c r="H212" s="13" t="str">
        <f ca="1"/>
        <v>Coffee</v>
      </c>
      <c r="I212" s="13">
        <f ca="1">IFERROR(__xludf.DUMMYFUNCTION("""COMPUTED_VALUE"""),29)</f>
        <v>29</v>
      </c>
      <c r="J212" s="13">
        <f ca="1">IFERROR(__xludf.DUMMYFUNCTION("""COMPUTED_VALUE"""),9)</f>
        <v>9</v>
      </c>
      <c r="K212" s="13">
        <f ca="1">IFERROR(__xludf.DUMMYFUNCTION("""COMPUTED_VALUE"""),2025)</f>
        <v>2025</v>
      </c>
      <c r="L212" s="15">
        <f ca="1"/>
        <v>45929</v>
      </c>
    </row>
    <row r="213" spans="1:12">
      <c r="A213" s="12" t="str">
        <f ca="1">IFERROR(__xludf.DUMMYFUNCTION("""COMPUTED_VALUE"""),"02-09-2025")</f>
        <v>02-09-2025</v>
      </c>
      <c r="B213" s="13" t="str">
        <f ca="1">IFERROR(__xludf.DUMMYFUNCTION("""COMPUTED_VALUE"""),"Semarang")</f>
        <v>Semarang</v>
      </c>
      <c r="C213" s="13" t="str">
        <f ca="1">IFERROR(__xludf.DUMMYFUNCTION("""COMPUTED_VALUE"""),"P04")</f>
        <v>P04</v>
      </c>
      <c r="D213" s="13">
        <f ca="1">IFERROR(__xludf.DUMMYFUNCTION("""COMPUTED_VALUE"""),1)</f>
        <v>1</v>
      </c>
      <c r="E213" s="14">
        <f ca="1">IFERROR(__xludf.DUMMYFUNCTION("""COMPUTED_VALUE"""),28000)</f>
        <v>28000</v>
      </c>
      <c r="F213" s="14">
        <f ca="1">IFERROR(__xludf.DUMMYFUNCTION("""COMPUTED_VALUE"""),28000)</f>
        <v>28000</v>
      </c>
      <c r="G213" s="13" t="str">
        <f ca="1"/>
        <v>Americano</v>
      </c>
      <c r="H213" s="13" t="str">
        <f ca="1"/>
        <v>Coffee</v>
      </c>
      <c r="I213" s="13">
        <f ca="1">IFERROR(__xludf.DUMMYFUNCTION("""COMPUTED_VALUE"""),2)</f>
        <v>2</v>
      </c>
      <c r="J213" s="13">
        <f ca="1">IFERROR(__xludf.DUMMYFUNCTION("""COMPUTED_VALUE"""),9)</f>
        <v>9</v>
      </c>
      <c r="K213" s="13">
        <f ca="1">IFERROR(__xludf.DUMMYFUNCTION("""COMPUTED_VALUE"""),2025)</f>
        <v>2025</v>
      </c>
      <c r="L213" s="15">
        <f ca="1"/>
        <v>45902</v>
      </c>
    </row>
    <row r="214" spans="1:12">
      <c r="A214" s="12" t="str">
        <f ca="1">IFERROR(__xludf.DUMMYFUNCTION("""COMPUTED_VALUE"""),"11-09-2025")</f>
        <v>11-09-2025</v>
      </c>
      <c r="B214" s="13" t="str">
        <f ca="1">IFERROR(__xludf.DUMMYFUNCTION("""COMPUTED_VALUE"""),"Semarang")</f>
        <v>Semarang</v>
      </c>
      <c r="C214" s="13" t="str">
        <f ca="1">IFERROR(__xludf.DUMMYFUNCTION("""COMPUTED_VALUE"""),"P05")</f>
        <v>P05</v>
      </c>
      <c r="D214" s="13">
        <f ca="1">IFERROR(__xludf.DUMMYFUNCTION("""COMPUTED_VALUE"""),3)</f>
        <v>3</v>
      </c>
      <c r="E214" s="14">
        <f ca="1">IFERROR(__xludf.DUMMYFUNCTION("""COMPUTED_VALUE"""),30000)</f>
        <v>30000</v>
      </c>
      <c r="F214" s="14">
        <f ca="1">IFERROR(__xludf.DUMMYFUNCTION("""COMPUTED_VALUE"""),90000)</f>
        <v>90000</v>
      </c>
      <c r="G214" s="13" t="str">
        <f ca="1"/>
        <v>Mocha</v>
      </c>
      <c r="H214" s="13" t="str">
        <f ca="1"/>
        <v>Chocolate</v>
      </c>
      <c r="I214" s="13">
        <f ca="1">IFERROR(__xludf.DUMMYFUNCTION("""COMPUTED_VALUE"""),11)</f>
        <v>11</v>
      </c>
      <c r="J214" s="13">
        <f ca="1">IFERROR(__xludf.DUMMYFUNCTION("""COMPUTED_VALUE"""),9)</f>
        <v>9</v>
      </c>
      <c r="K214" s="13">
        <f ca="1">IFERROR(__xludf.DUMMYFUNCTION("""COMPUTED_VALUE"""),2025)</f>
        <v>2025</v>
      </c>
      <c r="L214" s="15">
        <f ca="1"/>
        <v>45911</v>
      </c>
    </row>
    <row r="215" spans="1:12">
      <c r="A215" s="12" t="str">
        <f ca="1">IFERROR(__xludf.DUMMYFUNCTION("""COMPUTED_VALUE"""),"07-09-2025")</f>
        <v>07-09-2025</v>
      </c>
      <c r="B215" s="13" t="str">
        <f ca="1">IFERROR(__xludf.DUMMYFUNCTION("""COMPUTED_VALUE"""),"Semarang")</f>
        <v>Semarang</v>
      </c>
      <c r="C215" s="13" t="str">
        <f ca="1">IFERROR(__xludf.DUMMYFUNCTION("""COMPUTED_VALUE"""),"P04")</f>
        <v>P04</v>
      </c>
      <c r="D215" s="13">
        <f ca="1">IFERROR(__xludf.DUMMYFUNCTION("""COMPUTED_VALUE"""),3)</f>
        <v>3</v>
      </c>
      <c r="E215" s="14">
        <f ca="1">IFERROR(__xludf.DUMMYFUNCTION("""COMPUTED_VALUE"""),28000)</f>
        <v>28000</v>
      </c>
      <c r="F215" s="14">
        <f ca="1">IFERROR(__xludf.DUMMYFUNCTION("""COMPUTED_VALUE"""),84000)</f>
        <v>84000</v>
      </c>
      <c r="G215" s="13" t="str">
        <f ca="1"/>
        <v>Americano</v>
      </c>
      <c r="H215" s="13" t="str">
        <f ca="1"/>
        <v>Coffee</v>
      </c>
      <c r="I215" s="13">
        <f ca="1">IFERROR(__xludf.DUMMYFUNCTION("""COMPUTED_VALUE"""),7)</f>
        <v>7</v>
      </c>
      <c r="J215" s="13">
        <f ca="1">IFERROR(__xludf.DUMMYFUNCTION("""COMPUTED_VALUE"""),9)</f>
        <v>9</v>
      </c>
      <c r="K215" s="13">
        <f ca="1">IFERROR(__xludf.DUMMYFUNCTION("""COMPUTED_VALUE"""),2025)</f>
        <v>2025</v>
      </c>
      <c r="L215" s="15">
        <f ca="1"/>
        <v>45907</v>
      </c>
    </row>
    <row r="216" spans="1:12">
      <c r="A216" s="12" t="str">
        <f ca="1">IFERROR(__xludf.DUMMYFUNCTION("""COMPUTED_VALUE"""),"08-09-2025")</f>
        <v>08-09-2025</v>
      </c>
      <c r="B216" s="13" t="str">
        <f ca="1">IFERROR(__xludf.DUMMYFUNCTION("""COMPUTED_VALUE"""),"Semarang")</f>
        <v>Semarang</v>
      </c>
      <c r="C216" s="13" t="str">
        <f ca="1">IFERROR(__xludf.DUMMYFUNCTION("""COMPUTED_VALUE"""),"P05")</f>
        <v>P05</v>
      </c>
      <c r="D216" s="13">
        <f ca="1">IFERROR(__xludf.DUMMYFUNCTION("""COMPUTED_VALUE"""),4)</f>
        <v>4</v>
      </c>
      <c r="E216" s="14">
        <f ca="1">IFERROR(__xludf.DUMMYFUNCTION("""COMPUTED_VALUE"""),28000)</f>
        <v>28000</v>
      </c>
      <c r="F216" s="14">
        <f ca="1">IFERROR(__xludf.DUMMYFUNCTION("""COMPUTED_VALUE"""),112000)</f>
        <v>112000</v>
      </c>
      <c r="G216" s="13" t="str">
        <f ca="1"/>
        <v>Mocha</v>
      </c>
      <c r="H216" s="13" t="str">
        <f ca="1"/>
        <v>Chocolate</v>
      </c>
      <c r="I216" s="13">
        <f ca="1">IFERROR(__xludf.DUMMYFUNCTION("""COMPUTED_VALUE"""),8)</f>
        <v>8</v>
      </c>
      <c r="J216" s="13">
        <f ca="1">IFERROR(__xludf.DUMMYFUNCTION("""COMPUTED_VALUE"""),9)</f>
        <v>9</v>
      </c>
      <c r="K216" s="13">
        <f ca="1">IFERROR(__xludf.DUMMYFUNCTION("""COMPUTED_VALUE"""),2025)</f>
        <v>2025</v>
      </c>
      <c r="L216" s="15">
        <f ca="1"/>
        <v>45908</v>
      </c>
    </row>
    <row r="217" spans="1:12">
      <c r="A217" s="12" t="str">
        <f ca="1">IFERROR(__xludf.DUMMYFUNCTION("""COMPUTED_VALUE"""),"25-09-2025")</f>
        <v>25-09-2025</v>
      </c>
      <c r="B217" s="13" t="str">
        <f ca="1">IFERROR(__xludf.DUMMYFUNCTION("""COMPUTED_VALUE"""),"Semarang")</f>
        <v>Semarang</v>
      </c>
      <c r="C217" s="13" t="str">
        <f ca="1">IFERROR(__xludf.DUMMYFUNCTION("""COMPUTED_VALUE"""),"P01")</f>
        <v>P01</v>
      </c>
      <c r="D217" s="13">
        <f ca="1">IFERROR(__xludf.DUMMYFUNCTION("""COMPUTED_VALUE"""),1)</f>
        <v>1</v>
      </c>
      <c r="E217" s="14">
        <f ca="1">IFERROR(__xludf.DUMMYFUNCTION("""COMPUTED_VALUE"""),35000)</f>
        <v>35000</v>
      </c>
      <c r="F217" s="14">
        <f ca="1">IFERROR(__xludf.DUMMYFUNCTION("""COMPUTED_VALUE"""),35000)</f>
        <v>35000</v>
      </c>
      <c r="G217" s="13" t="str">
        <f ca="1"/>
        <v>Cappuccino</v>
      </c>
      <c r="H217" s="13" t="str">
        <f ca="1"/>
        <v>Coffee</v>
      </c>
      <c r="I217" s="13">
        <f ca="1">IFERROR(__xludf.DUMMYFUNCTION("""COMPUTED_VALUE"""),25)</f>
        <v>25</v>
      </c>
      <c r="J217" s="13">
        <f ca="1">IFERROR(__xludf.DUMMYFUNCTION("""COMPUTED_VALUE"""),9)</f>
        <v>9</v>
      </c>
      <c r="K217" s="13">
        <f ca="1">IFERROR(__xludf.DUMMYFUNCTION("""COMPUTED_VALUE"""),2025)</f>
        <v>2025</v>
      </c>
      <c r="L217" s="15">
        <f ca="1"/>
        <v>45925</v>
      </c>
    </row>
    <row r="218" spans="1:12">
      <c r="A218" s="12" t="str">
        <f ca="1">IFERROR(__xludf.DUMMYFUNCTION("""COMPUTED_VALUE"""),"11-09-2025")</f>
        <v>11-09-2025</v>
      </c>
      <c r="B218" s="13" t="str">
        <f ca="1">IFERROR(__xludf.DUMMYFUNCTION("""COMPUTED_VALUE"""),"Semarang")</f>
        <v>Semarang</v>
      </c>
      <c r="C218" s="13" t="str">
        <f ca="1">IFERROR(__xludf.DUMMYFUNCTION("""COMPUTED_VALUE"""),"P02")</f>
        <v>P02</v>
      </c>
      <c r="D218" s="13">
        <f ca="1">IFERROR(__xludf.DUMMYFUNCTION("""COMPUTED_VALUE"""),1)</f>
        <v>1</v>
      </c>
      <c r="E218" s="14">
        <f ca="1">IFERROR(__xludf.DUMMYFUNCTION("""COMPUTED_VALUE"""),20000)</f>
        <v>20000</v>
      </c>
      <c r="F218" s="14">
        <f ca="1">IFERROR(__xludf.DUMMYFUNCTION("""COMPUTED_VALUE"""),20000)</f>
        <v>20000</v>
      </c>
      <c r="G218" s="13" t="str">
        <f ca="1"/>
        <v>Latte</v>
      </c>
      <c r="H218" s="13" t="str">
        <f ca="1"/>
        <v>Coffee</v>
      </c>
      <c r="I218" s="13">
        <f ca="1">IFERROR(__xludf.DUMMYFUNCTION("""COMPUTED_VALUE"""),11)</f>
        <v>11</v>
      </c>
      <c r="J218" s="13">
        <f ca="1">IFERROR(__xludf.DUMMYFUNCTION("""COMPUTED_VALUE"""),9)</f>
        <v>9</v>
      </c>
      <c r="K218" s="13">
        <f ca="1">IFERROR(__xludf.DUMMYFUNCTION("""COMPUTED_VALUE"""),2025)</f>
        <v>2025</v>
      </c>
      <c r="L218" s="15">
        <f ca="1"/>
        <v>45911</v>
      </c>
    </row>
    <row r="219" spans="1:12">
      <c r="A219" s="12" t="str">
        <f ca="1">IFERROR(__xludf.DUMMYFUNCTION("""COMPUTED_VALUE"""),"25-09-2025")</f>
        <v>25-09-2025</v>
      </c>
      <c r="B219" s="13" t="str">
        <f ca="1">IFERROR(__xludf.DUMMYFUNCTION("""COMPUTED_VALUE"""),"Semarang")</f>
        <v>Semarang</v>
      </c>
      <c r="C219" s="13" t="str">
        <f ca="1">IFERROR(__xludf.DUMMYFUNCTION("""COMPUTED_VALUE"""),"P03")</f>
        <v>P03</v>
      </c>
      <c r="D219" s="13">
        <f ca="1">IFERROR(__xludf.DUMMYFUNCTION("""COMPUTED_VALUE"""),4)</f>
        <v>4</v>
      </c>
      <c r="E219" s="14">
        <f ca="1">IFERROR(__xludf.DUMMYFUNCTION("""COMPUTED_VALUE"""),30000)</f>
        <v>30000</v>
      </c>
      <c r="F219" s="14">
        <f ca="1">IFERROR(__xludf.DUMMYFUNCTION("""COMPUTED_VALUE"""),120000)</f>
        <v>120000</v>
      </c>
      <c r="G219" s="13" t="str">
        <f ca="1"/>
        <v>Espresso</v>
      </c>
      <c r="H219" s="13" t="str">
        <f ca="1"/>
        <v>Coffee</v>
      </c>
      <c r="I219" s="13">
        <f ca="1">IFERROR(__xludf.DUMMYFUNCTION("""COMPUTED_VALUE"""),25)</f>
        <v>25</v>
      </c>
      <c r="J219" s="13">
        <f ca="1">IFERROR(__xludf.DUMMYFUNCTION("""COMPUTED_VALUE"""),9)</f>
        <v>9</v>
      </c>
      <c r="K219" s="13">
        <f ca="1">IFERROR(__xludf.DUMMYFUNCTION("""COMPUTED_VALUE"""),2025)</f>
        <v>2025</v>
      </c>
      <c r="L219" s="15">
        <f ca="1"/>
        <v>45925</v>
      </c>
    </row>
    <row r="220" spans="1:12">
      <c r="A220" s="12" t="str">
        <f ca="1">IFERROR(__xludf.DUMMYFUNCTION("""COMPUTED_VALUE"""),"29-09-2025")</f>
        <v>29-09-2025</v>
      </c>
      <c r="B220" s="13" t="str">
        <f ca="1">IFERROR(__xludf.DUMMYFUNCTION("""COMPUTED_VALUE"""),"Semarang")</f>
        <v>Semarang</v>
      </c>
      <c r="C220" s="13" t="str">
        <f ca="1">IFERROR(__xludf.DUMMYFUNCTION("""COMPUTED_VALUE"""),"P04")</f>
        <v>P04</v>
      </c>
      <c r="D220" s="13">
        <f ca="1">IFERROR(__xludf.DUMMYFUNCTION("""COMPUTED_VALUE"""),2)</f>
        <v>2</v>
      </c>
      <c r="E220" s="14">
        <f ca="1">IFERROR(__xludf.DUMMYFUNCTION("""COMPUTED_VALUE"""),20000)</f>
        <v>20000</v>
      </c>
      <c r="F220" s="14">
        <f ca="1">IFERROR(__xludf.DUMMYFUNCTION("""COMPUTED_VALUE"""),40000)</f>
        <v>40000</v>
      </c>
      <c r="G220" s="13" t="str">
        <f ca="1"/>
        <v>Americano</v>
      </c>
      <c r="H220" s="13" t="str">
        <f ca="1"/>
        <v>Coffee</v>
      </c>
      <c r="I220" s="13">
        <f ca="1">IFERROR(__xludf.DUMMYFUNCTION("""COMPUTED_VALUE"""),29)</f>
        <v>29</v>
      </c>
      <c r="J220" s="13">
        <f ca="1">IFERROR(__xludf.DUMMYFUNCTION("""COMPUTED_VALUE"""),9)</f>
        <v>9</v>
      </c>
      <c r="K220" s="13">
        <f ca="1">IFERROR(__xludf.DUMMYFUNCTION("""COMPUTED_VALUE"""),2025)</f>
        <v>2025</v>
      </c>
      <c r="L220" s="15">
        <f ca="1"/>
        <v>45929</v>
      </c>
    </row>
    <row r="221" spans="1:12">
      <c r="A221" s="12" t="str">
        <f ca="1">IFERROR(__xludf.DUMMYFUNCTION("""COMPUTED_VALUE"""),"22-09-2025")</f>
        <v>22-09-2025</v>
      </c>
      <c r="B221" s="13" t="str">
        <f ca="1">IFERROR(__xludf.DUMMYFUNCTION("""COMPUTED_VALUE"""),"Semarang")</f>
        <v>Semarang</v>
      </c>
      <c r="C221" s="13" t="str">
        <f ca="1">IFERROR(__xludf.DUMMYFUNCTION("""COMPUTED_VALUE"""),"P05")</f>
        <v>P05</v>
      </c>
      <c r="D221" s="13">
        <f ca="1">IFERROR(__xludf.DUMMYFUNCTION("""COMPUTED_VALUE"""),1)</f>
        <v>1</v>
      </c>
      <c r="E221" s="14">
        <f ca="1">IFERROR(__xludf.DUMMYFUNCTION("""COMPUTED_VALUE"""),30000)</f>
        <v>30000</v>
      </c>
      <c r="F221" s="14">
        <f ca="1">IFERROR(__xludf.DUMMYFUNCTION("""COMPUTED_VALUE"""),30000)</f>
        <v>30000</v>
      </c>
      <c r="G221" s="13" t="str">
        <f ca="1"/>
        <v>Mocha</v>
      </c>
      <c r="H221" s="13" t="str">
        <f ca="1"/>
        <v>Chocolate</v>
      </c>
      <c r="I221" s="13">
        <f ca="1">IFERROR(__xludf.DUMMYFUNCTION("""COMPUTED_VALUE"""),22)</f>
        <v>22</v>
      </c>
      <c r="J221" s="13">
        <f ca="1">IFERROR(__xludf.DUMMYFUNCTION("""COMPUTED_VALUE"""),9)</f>
        <v>9</v>
      </c>
      <c r="K221" s="13">
        <f ca="1">IFERROR(__xludf.DUMMYFUNCTION("""COMPUTED_VALUE"""),2025)</f>
        <v>2025</v>
      </c>
      <c r="L221" s="15">
        <f ca="1"/>
        <v>45922</v>
      </c>
    </row>
    <row r="222" spans="1:12">
      <c r="A222" s="12" t="str">
        <f ca="1">IFERROR(__xludf.DUMMYFUNCTION("""COMPUTED_VALUE"""),"16-09-2025")</f>
        <v>16-09-2025</v>
      </c>
      <c r="B222" s="13" t="str">
        <f ca="1">IFERROR(__xludf.DUMMYFUNCTION("""COMPUTED_VALUE"""),"Semarang")</f>
        <v>Semarang</v>
      </c>
      <c r="C222" s="13" t="str">
        <f ca="1">IFERROR(__xludf.DUMMYFUNCTION("""COMPUTED_VALUE"""),"P03")</f>
        <v>P03</v>
      </c>
      <c r="D222" s="13">
        <f ca="1">IFERROR(__xludf.DUMMYFUNCTION("""COMPUTED_VALUE"""),1)</f>
        <v>1</v>
      </c>
      <c r="E222" s="14">
        <f ca="1">IFERROR(__xludf.DUMMYFUNCTION("""COMPUTED_VALUE"""),30000)</f>
        <v>30000</v>
      </c>
      <c r="F222" s="14">
        <f ca="1">IFERROR(__xludf.DUMMYFUNCTION("""COMPUTED_VALUE"""),30000)</f>
        <v>30000</v>
      </c>
      <c r="G222" s="13" t="str">
        <f ca="1"/>
        <v>Espresso</v>
      </c>
      <c r="H222" s="13" t="str">
        <f ca="1"/>
        <v>Coffee</v>
      </c>
      <c r="I222" s="13">
        <f ca="1">IFERROR(__xludf.DUMMYFUNCTION("""COMPUTED_VALUE"""),16)</f>
        <v>16</v>
      </c>
      <c r="J222" s="13">
        <f ca="1">IFERROR(__xludf.DUMMYFUNCTION("""COMPUTED_VALUE"""),9)</f>
        <v>9</v>
      </c>
      <c r="K222" s="13">
        <f ca="1">IFERROR(__xludf.DUMMYFUNCTION("""COMPUTED_VALUE"""),2025)</f>
        <v>2025</v>
      </c>
      <c r="L222" s="15">
        <f ca="1"/>
        <v>45916</v>
      </c>
    </row>
    <row r="223" spans="1:12">
      <c r="A223" s="12" t="str">
        <f ca="1">IFERROR(__xludf.DUMMYFUNCTION("""COMPUTED_VALUE"""),"19-09-2025")</f>
        <v>19-09-2025</v>
      </c>
      <c r="B223" s="13" t="str">
        <f ca="1">IFERROR(__xludf.DUMMYFUNCTION("""COMPUTED_VALUE"""),"Semarang")</f>
        <v>Semarang</v>
      </c>
      <c r="C223" s="13" t="str">
        <f ca="1">IFERROR(__xludf.DUMMYFUNCTION("""COMPUTED_VALUE"""),"P04")</f>
        <v>P04</v>
      </c>
      <c r="D223" s="13">
        <f ca="1">IFERROR(__xludf.DUMMYFUNCTION("""COMPUTED_VALUE"""),3)</f>
        <v>3</v>
      </c>
      <c r="E223" s="14">
        <f ca="1">IFERROR(__xludf.DUMMYFUNCTION("""COMPUTED_VALUE"""),35000)</f>
        <v>35000</v>
      </c>
      <c r="F223" s="14">
        <f ca="1">IFERROR(__xludf.DUMMYFUNCTION("""COMPUTED_VALUE"""),105000)</f>
        <v>105000</v>
      </c>
      <c r="G223" s="13" t="str">
        <f ca="1"/>
        <v>Americano</v>
      </c>
      <c r="H223" s="13" t="str">
        <f ca="1"/>
        <v>Coffee</v>
      </c>
      <c r="I223" s="13">
        <f ca="1">IFERROR(__xludf.DUMMYFUNCTION("""COMPUTED_VALUE"""),19)</f>
        <v>19</v>
      </c>
      <c r="J223" s="13">
        <f ca="1">IFERROR(__xludf.DUMMYFUNCTION("""COMPUTED_VALUE"""),9)</f>
        <v>9</v>
      </c>
      <c r="K223" s="13">
        <f ca="1">IFERROR(__xludf.DUMMYFUNCTION("""COMPUTED_VALUE"""),2025)</f>
        <v>2025</v>
      </c>
      <c r="L223" s="15">
        <f ca="1"/>
        <v>45919</v>
      </c>
    </row>
    <row r="224" spans="1:12">
      <c r="A224" s="12" t="str">
        <f ca="1">IFERROR(__xludf.DUMMYFUNCTION("""COMPUTED_VALUE"""),"04-09-2025")</f>
        <v>04-09-2025</v>
      </c>
      <c r="B224" s="13" t="str">
        <f ca="1">IFERROR(__xludf.DUMMYFUNCTION("""COMPUTED_VALUE"""),"Semarang")</f>
        <v>Semarang</v>
      </c>
      <c r="C224" s="13" t="str">
        <f ca="1">IFERROR(__xludf.DUMMYFUNCTION("""COMPUTED_VALUE"""),"P05")</f>
        <v>P05</v>
      </c>
      <c r="D224" s="13">
        <f ca="1">IFERROR(__xludf.DUMMYFUNCTION("""COMPUTED_VALUE"""),5)</f>
        <v>5</v>
      </c>
      <c r="E224" s="14">
        <f ca="1">IFERROR(__xludf.DUMMYFUNCTION("""COMPUTED_VALUE"""),35000)</f>
        <v>35000</v>
      </c>
      <c r="F224" s="14">
        <f ca="1">IFERROR(__xludf.DUMMYFUNCTION("""COMPUTED_VALUE"""),175000)</f>
        <v>175000</v>
      </c>
      <c r="G224" s="13" t="str">
        <f ca="1"/>
        <v>Mocha</v>
      </c>
      <c r="H224" s="13" t="str">
        <f ca="1"/>
        <v>Chocolate</v>
      </c>
      <c r="I224" s="13">
        <f ca="1">IFERROR(__xludf.DUMMYFUNCTION("""COMPUTED_VALUE"""),4)</f>
        <v>4</v>
      </c>
      <c r="J224" s="13">
        <f ca="1">IFERROR(__xludf.DUMMYFUNCTION("""COMPUTED_VALUE"""),9)</f>
        <v>9</v>
      </c>
      <c r="K224" s="13">
        <f ca="1">IFERROR(__xludf.DUMMYFUNCTION("""COMPUTED_VALUE"""),2025)</f>
        <v>2025</v>
      </c>
      <c r="L224" s="15">
        <f ca="1"/>
        <v>45904</v>
      </c>
    </row>
    <row r="225" spans="1:12">
      <c r="A225" s="12" t="str">
        <f ca="1">IFERROR(__xludf.DUMMYFUNCTION("""COMPUTED_VALUE"""),"23-09-2025")</f>
        <v>23-09-2025</v>
      </c>
      <c r="B225" s="13" t="str">
        <f ca="1">IFERROR(__xludf.DUMMYFUNCTION("""COMPUTED_VALUE"""),"Semarang")</f>
        <v>Semarang</v>
      </c>
      <c r="C225" s="13" t="str">
        <f ca="1">IFERROR(__xludf.DUMMYFUNCTION("""COMPUTED_VALUE"""),"P01")</f>
        <v>P01</v>
      </c>
      <c r="D225" s="13">
        <f ca="1">IFERROR(__xludf.DUMMYFUNCTION("""COMPUTED_VALUE"""),5)</f>
        <v>5</v>
      </c>
      <c r="E225" s="14">
        <f ca="1">IFERROR(__xludf.DUMMYFUNCTION("""COMPUTED_VALUE"""),35000)</f>
        <v>35000</v>
      </c>
      <c r="F225" s="14">
        <f ca="1">IFERROR(__xludf.DUMMYFUNCTION("""COMPUTED_VALUE"""),175000)</f>
        <v>175000</v>
      </c>
      <c r="G225" s="13" t="str">
        <f ca="1"/>
        <v>Cappuccino</v>
      </c>
      <c r="H225" s="13" t="str">
        <f ca="1"/>
        <v>Coffee</v>
      </c>
      <c r="I225" s="13">
        <f ca="1">IFERROR(__xludf.DUMMYFUNCTION("""COMPUTED_VALUE"""),23)</f>
        <v>23</v>
      </c>
      <c r="J225" s="13">
        <f ca="1">IFERROR(__xludf.DUMMYFUNCTION("""COMPUTED_VALUE"""),9)</f>
        <v>9</v>
      </c>
      <c r="K225" s="13">
        <f ca="1">IFERROR(__xludf.DUMMYFUNCTION("""COMPUTED_VALUE"""),2025)</f>
        <v>2025</v>
      </c>
      <c r="L225" s="15">
        <f ca="1"/>
        <v>45923</v>
      </c>
    </row>
    <row r="226" spans="1:12">
      <c r="A226" s="12" t="str">
        <f ca="1">IFERROR(__xludf.DUMMYFUNCTION("""COMPUTED_VALUE"""),"08-09-2025")</f>
        <v>08-09-2025</v>
      </c>
      <c r="B226" s="13" t="str">
        <f ca="1">IFERROR(__xludf.DUMMYFUNCTION("""COMPUTED_VALUE"""),"Semarang")</f>
        <v>Semarang</v>
      </c>
      <c r="C226" s="13" t="str">
        <f ca="1">IFERROR(__xludf.DUMMYFUNCTION("""COMPUTED_VALUE"""),"P02")</f>
        <v>P02</v>
      </c>
      <c r="D226" s="13">
        <f ca="1">IFERROR(__xludf.DUMMYFUNCTION("""COMPUTED_VALUE"""),3)</f>
        <v>3</v>
      </c>
      <c r="E226" s="14">
        <f ca="1">IFERROR(__xludf.DUMMYFUNCTION("""COMPUTED_VALUE"""),35000)</f>
        <v>35000</v>
      </c>
      <c r="F226" s="14">
        <f ca="1">IFERROR(__xludf.DUMMYFUNCTION("""COMPUTED_VALUE"""),105000)</f>
        <v>105000</v>
      </c>
      <c r="G226" s="13" t="str">
        <f ca="1"/>
        <v>Latte</v>
      </c>
      <c r="H226" s="13" t="str">
        <f ca="1"/>
        <v>Coffee</v>
      </c>
      <c r="I226" s="13">
        <f ca="1">IFERROR(__xludf.DUMMYFUNCTION("""COMPUTED_VALUE"""),8)</f>
        <v>8</v>
      </c>
      <c r="J226" s="13">
        <f ca="1">IFERROR(__xludf.DUMMYFUNCTION("""COMPUTED_VALUE"""),9)</f>
        <v>9</v>
      </c>
      <c r="K226" s="13">
        <f ca="1">IFERROR(__xludf.DUMMYFUNCTION("""COMPUTED_VALUE"""),2025)</f>
        <v>2025</v>
      </c>
      <c r="L226" s="15">
        <f ca="1"/>
        <v>45908</v>
      </c>
    </row>
    <row r="227" spans="1:12">
      <c r="A227" s="12" t="str">
        <f ca="1">IFERROR(__xludf.DUMMYFUNCTION("""COMPUTED_VALUE"""),"27-09-2025")</f>
        <v>27-09-2025</v>
      </c>
      <c r="B227" s="13" t="str">
        <f ca="1">IFERROR(__xludf.DUMMYFUNCTION("""COMPUTED_VALUE"""),"Semarang")</f>
        <v>Semarang</v>
      </c>
      <c r="C227" s="13" t="str">
        <f ca="1">IFERROR(__xludf.DUMMYFUNCTION("""COMPUTED_VALUE"""),"P03")</f>
        <v>P03</v>
      </c>
      <c r="D227" s="13">
        <f ca="1">IFERROR(__xludf.DUMMYFUNCTION("""COMPUTED_VALUE"""),5)</f>
        <v>5</v>
      </c>
      <c r="E227" s="14">
        <f ca="1">IFERROR(__xludf.DUMMYFUNCTION("""COMPUTED_VALUE"""),35000)</f>
        <v>35000</v>
      </c>
      <c r="F227" s="14">
        <f ca="1">IFERROR(__xludf.DUMMYFUNCTION("""COMPUTED_VALUE"""),175000)</f>
        <v>175000</v>
      </c>
      <c r="G227" s="13" t="str">
        <f ca="1"/>
        <v>Espresso</v>
      </c>
      <c r="H227" s="13" t="str">
        <f ca="1"/>
        <v>Coffee</v>
      </c>
      <c r="I227" s="13">
        <f ca="1">IFERROR(__xludf.DUMMYFUNCTION("""COMPUTED_VALUE"""),27)</f>
        <v>27</v>
      </c>
      <c r="J227" s="13">
        <f ca="1">IFERROR(__xludf.DUMMYFUNCTION("""COMPUTED_VALUE"""),9)</f>
        <v>9</v>
      </c>
      <c r="K227" s="13">
        <f ca="1">IFERROR(__xludf.DUMMYFUNCTION("""COMPUTED_VALUE"""),2025)</f>
        <v>2025</v>
      </c>
      <c r="L227" s="15">
        <f ca="1"/>
        <v>45927</v>
      </c>
    </row>
    <row r="228" spans="1:12">
      <c r="A228" s="12" t="str">
        <f ca="1">IFERROR(__xludf.DUMMYFUNCTION("""COMPUTED_VALUE"""),"10-09-2025")</f>
        <v>10-09-2025</v>
      </c>
      <c r="B228" s="13" t="str">
        <f ca="1">IFERROR(__xludf.DUMMYFUNCTION("""COMPUTED_VALUE"""),"Semarang")</f>
        <v>Semarang</v>
      </c>
      <c r="C228" s="13" t="str">
        <f ca="1">IFERROR(__xludf.DUMMYFUNCTION("""COMPUTED_VALUE"""),"P04")</f>
        <v>P04</v>
      </c>
      <c r="D228" s="13">
        <f ca="1">IFERROR(__xludf.DUMMYFUNCTION("""COMPUTED_VALUE"""),1)</f>
        <v>1</v>
      </c>
      <c r="E228" s="14">
        <f ca="1">IFERROR(__xludf.DUMMYFUNCTION("""COMPUTED_VALUE"""),30000)</f>
        <v>30000</v>
      </c>
      <c r="F228" s="14">
        <f ca="1">IFERROR(__xludf.DUMMYFUNCTION("""COMPUTED_VALUE"""),30000)</f>
        <v>30000</v>
      </c>
      <c r="G228" s="13" t="str">
        <f ca="1"/>
        <v>Americano</v>
      </c>
      <c r="H228" s="13" t="str">
        <f ca="1"/>
        <v>Coffee</v>
      </c>
      <c r="I228" s="13">
        <f ca="1">IFERROR(__xludf.DUMMYFUNCTION("""COMPUTED_VALUE"""),10)</f>
        <v>10</v>
      </c>
      <c r="J228" s="13">
        <f ca="1">IFERROR(__xludf.DUMMYFUNCTION("""COMPUTED_VALUE"""),9)</f>
        <v>9</v>
      </c>
      <c r="K228" s="13">
        <f ca="1">IFERROR(__xludf.DUMMYFUNCTION("""COMPUTED_VALUE"""),2025)</f>
        <v>2025</v>
      </c>
      <c r="L228" s="15">
        <f ca="1"/>
        <v>45910</v>
      </c>
    </row>
    <row r="229" spans="1:12">
      <c r="A229" s="12" t="str">
        <f ca="1">IFERROR(__xludf.DUMMYFUNCTION("""COMPUTED_VALUE"""),"29-09-2025")</f>
        <v>29-09-2025</v>
      </c>
      <c r="B229" s="13" t="str">
        <f ca="1">IFERROR(__xludf.DUMMYFUNCTION("""COMPUTED_VALUE"""),"Semarang")</f>
        <v>Semarang</v>
      </c>
      <c r="C229" s="13" t="str">
        <f ca="1">IFERROR(__xludf.DUMMYFUNCTION("""COMPUTED_VALUE"""),"P05")</f>
        <v>P05</v>
      </c>
      <c r="D229" s="13">
        <f ca="1">IFERROR(__xludf.DUMMYFUNCTION("""COMPUTED_VALUE"""),1)</f>
        <v>1</v>
      </c>
      <c r="E229" s="14">
        <f ca="1">IFERROR(__xludf.DUMMYFUNCTION("""COMPUTED_VALUE"""),35000)</f>
        <v>35000</v>
      </c>
      <c r="F229" s="14">
        <f ca="1">IFERROR(__xludf.DUMMYFUNCTION("""COMPUTED_VALUE"""),35000)</f>
        <v>35000</v>
      </c>
      <c r="G229" s="13" t="str">
        <f ca="1"/>
        <v>Mocha</v>
      </c>
      <c r="H229" s="13" t="str">
        <f ca="1"/>
        <v>Chocolate</v>
      </c>
      <c r="I229" s="13">
        <f ca="1">IFERROR(__xludf.DUMMYFUNCTION("""COMPUTED_VALUE"""),29)</f>
        <v>29</v>
      </c>
      <c r="J229" s="13">
        <f ca="1">IFERROR(__xludf.DUMMYFUNCTION("""COMPUTED_VALUE"""),9)</f>
        <v>9</v>
      </c>
      <c r="K229" s="13">
        <f ca="1">IFERROR(__xludf.DUMMYFUNCTION("""COMPUTED_VALUE"""),2025)</f>
        <v>2025</v>
      </c>
      <c r="L229" s="15">
        <f ca="1"/>
        <v>45929</v>
      </c>
    </row>
    <row r="230" spans="1:12">
      <c r="A230" s="12" t="str">
        <f ca="1">IFERROR(__xludf.DUMMYFUNCTION("""COMPUTED_VALUE"""),"08-09-2025")</f>
        <v>08-09-2025</v>
      </c>
      <c r="B230" s="13" t="str">
        <f ca="1">IFERROR(__xludf.DUMMYFUNCTION("""COMPUTED_VALUE"""),"Semarang")</f>
        <v>Semarang</v>
      </c>
      <c r="C230" s="13" t="str">
        <f ca="1">IFERROR(__xludf.DUMMYFUNCTION("""COMPUTED_VALUE"""),"P01")</f>
        <v>P01</v>
      </c>
      <c r="D230" s="13">
        <f ca="1">IFERROR(__xludf.DUMMYFUNCTION("""COMPUTED_VALUE"""),4)</f>
        <v>4</v>
      </c>
      <c r="E230" s="14">
        <f ca="1">IFERROR(__xludf.DUMMYFUNCTION("""COMPUTED_VALUE"""),30000)</f>
        <v>30000</v>
      </c>
      <c r="F230" s="14">
        <f ca="1">IFERROR(__xludf.DUMMYFUNCTION("""COMPUTED_VALUE"""),120000)</f>
        <v>120000</v>
      </c>
      <c r="G230" s="13" t="str">
        <f ca="1"/>
        <v>Cappuccino</v>
      </c>
      <c r="H230" s="13" t="str">
        <f ca="1"/>
        <v>Coffee</v>
      </c>
      <c r="I230" s="13">
        <f ca="1">IFERROR(__xludf.DUMMYFUNCTION("""COMPUTED_VALUE"""),8)</f>
        <v>8</v>
      </c>
      <c r="J230" s="13">
        <f ca="1">IFERROR(__xludf.DUMMYFUNCTION("""COMPUTED_VALUE"""),9)</f>
        <v>9</v>
      </c>
      <c r="K230" s="13">
        <f ca="1">IFERROR(__xludf.DUMMYFUNCTION("""COMPUTED_VALUE"""),2025)</f>
        <v>2025</v>
      </c>
      <c r="L230" s="15">
        <f ca="1"/>
        <v>45908</v>
      </c>
    </row>
    <row r="231" spans="1:12">
      <c r="A231" s="12" t="str">
        <f ca="1">IFERROR(__xludf.DUMMYFUNCTION("""COMPUTED_VALUE"""),"11-09-2025")</f>
        <v>11-09-2025</v>
      </c>
      <c r="B231" s="13" t="str">
        <f ca="1">IFERROR(__xludf.DUMMYFUNCTION("""COMPUTED_VALUE"""),"Semarang")</f>
        <v>Semarang</v>
      </c>
      <c r="C231" s="13" t="str">
        <f ca="1">IFERROR(__xludf.DUMMYFUNCTION("""COMPUTED_VALUE"""),"P02")</f>
        <v>P02</v>
      </c>
      <c r="D231" s="13">
        <f ca="1">IFERROR(__xludf.DUMMYFUNCTION("""COMPUTED_VALUE"""),3)</f>
        <v>3</v>
      </c>
      <c r="E231" s="14">
        <f ca="1">IFERROR(__xludf.DUMMYFUNCTION("""COMPUTED_VALUE"""),25000)</f>
        <v>25000</v>
      </c>
      <c r="F231" s="14">
        <f ca="1">IFERROR(__xludf.DUMMYFUNCTION("""COMPUTED_VALUE"""),75000)</f>
        <v>75000</v>
      </c>
      <c r="G231" s="13" t="str">
        <f ca="1"/>
        <v>Latte</v>
      </c>
      <c r="H231" s="13" t="str">
        <f ca="1"/>
        <v>Coffee</v>
      </c>
      <c r="I231" s="13">
        <f ca="1">IFERROR(__xludf.DUMMYFUNCTION("""COMPUTED_VALUE"""),11)</f>
        <v>11</v>
      </c>
      <c r="J231" s="13">
        <f ca="1">IFERROR(__xludf.DUMMYFUNCTION("""COMPUTED_VALUE"""),9)</f>
        <v>9</v>
      </c>
      <c r="K231" s="13">
        <f ca="1">IFERROR(__xludf.DUMMYFUNCTION("""COMPUTED_VALUE"""),2025)</f>
        <v>2025</v>
      </c>
      <c r="L231" s="15">
        <f ca="1"/>
        <v>45911</v>
      </c>
    </row>
    <row r="232" spans="1:12">
      <c r="A232" s="12" t="str">
        <f ca="1">IFERROR(__xludf.DUMMYFUNCTION("""COMPUTED_VALUE"""),"06-09-2025")</f>
        <v>06-09-2025</v>
      </c>
      <c r="B232" s="13" t="str">
        <f ca="1">IFERROR(__xludf.DUMMYFUNCTION("""COMPUTED_VALUE"""),"Semarang")</f>
        <v>Semarang</v>
      </c>
      <c r="C232" s="13" t="str">
        <f ca="1">IFERROR(__xludf.DUMMYFUNCTION("""COMPUTED_VALUE"""),"P03")</f>
        <v>P03</v>
      </c>
      <c r="D232" s="13">
        <f ca="1">IFERROR(__xludf.DUMMYFUNCTION("""COMPUTED_VALUE"""),4)</f>
        <v>4</v>
      </c>
      <c r="E232" s="14">
        <f ca="1">IFERROR(__xludf.DUMMYFUNCTION("""COMPUTED_VALUE"""),20000)</f>
        <v>20000</v>
      </c>
      <c r="F232" s="14">
        <f ca="1">IFERROR(__xludf.DUMMYFUNCTION("""COMPUTED_VALUE"""),80000)</f>
        <v>80000</v>
      </c>
      <c r="G232" s="13" t="str">
        <f ca="1"/>
        <v>Espresso</v>
      </c>
      <c r="H232" s="13" t="str">
        <f ca="1"/>
        <v>Coffee</v>
      </c>
      <c r="I232" s="13">
        <f ca="1">IFERROR(__xludf.DUMMYFUNCTION("""COMPUTED_VALUE"""),6)</f>
        <v>6</v>
      </c>
      <c r="J232" s="13">
        <f ca="1">IFERROR(__xludf.DUMMYFUNCTION("""COMPUTED_VALUE"""),9)</f>
        <v>9</v>
      </c>
      <c r="K232" s="13">
        <f ca="1">IFERROR(__xludf.DUMMYFUNCTION("""COMPUTED_VALUE"""),2025)</f>
        <v>2025</v>
      </c>
      <c r="L232" s="15">
        <f ca="1"/>
        <v>45906</v>
      </c>
    </row>
    <row r="233" spans="1:12">
      <c r="A233" s="12" t="str">
        <f ca="1">IFERROR(__xludf.DUMMYFUNCTION("""COMPUTED_VALUE"""),"17-09-2025")</f>
        <v>17-09-2025</v>
      </c>
      <c r="B233" s="13" t="str">
        <f ca="1">IFERROR(__xludf.DUMMYFUNCTION("""COMPUTED_VALUE"""),"Semarang")</f>
        <v>Semarang</v>
      </c>
      <c r="C233" s="13" t="str">
        <f ca="1">IFERROR(__xludf.DUMMYFUNCTION("""COMPUTED_VALUE"""),"P04")</f>
        <v>P04</v>
      </c>
      <c r="D233" s="13">
        <f ca="1">IFERROR(__xludf.DUMMYFUNCTION("""COMPUTED_VALUE"""),1)</f>
        <v>1</v>
      </c>
      <c r="E233" s="14">
        <f ca="1">IFERROR(__xludf.DUMMYFUNCTION("""COMPUTED_VALUE"""),28000)</f>
        <v>28000</v>
      </c>
      <c r="F233" s="14">
        <f ca="1">IFERROR(__xludf.DUMMYFUNCTION("""COMPUTED_VALUE"""),28000)</f>
        <v>28000</v>
      </c>
      <c r="G233" s="13" t="str">
        <f ca="1"/>
        <v>Americano</v>
      </c>
      <c r="H233" s="13" t="str">
        <f ca="1"/>
        <v>Coffee</v>
      </c>
      <c r="I233" s="13">
        <f ca="1">IFERROR(__xludf.DUMMYFUNCTION("""COMPUTED_VALUE"""),17)</f>
        <v>17</v>
      </c>
      <c r="J233" s="13">
        <f ca="1">IFERROR(__xludf.DUMMYFUNCTION("""COMPUTED_VALUE"""),9)</f>
        <v>9</v>
      </c>
      <c r="K233" s="13">
        <f ca="1">IFERROR(__xludf.DUMMYFUNCTION("""COMPUTED_VALUE"""),2025)</f>
        <v>2025</v>
      </c>
      <c r="L233" s="15">
        <f ca="1"/>
        <v>45917</v>
      </c>
    </row>
    <row r="234" spans="1:12">
      <c r="A234" s="12" t="str">
        <f ca="1">IFERROR(__xludf.DUMMYFUNCTION("""COMPUTED_VALUE"""),"05-09-2025")</f>
        <v>05-09-2025</v>
      </c>
      <c r="B234" s="13" t="str">
        <f ca="1">IFERROR(__xludf.DUMMYFUNCTION("""COMPUTED_VALUE"""),"Semarang")</f>
        <v>Semarang</v>
      </c>
      <c r="C234" s="13" t="str">
        <f ca="1">IFERROR(__xludf.DUMMYFUNCTION("""COMPUTED_VALUE"""),"P05")</f>
        <v>P05</v>
      </c>
      <c r="D234" s="13">
        <f ca="1">IFERROR(__xludf.DUMMYFUNCTION("""COMPUTED_VALUE"""),4)</f>
        <v>4</v>
      </c>
      <c r="E234" s="14">
        <f ca="1">IFERROR(__xludf.DUMMYFUNCTION("""COMPUTED_VALUE"""),30000)</f>
        <v>30000</v>
      </c>
      <c r="F234" s="14">
        <f ca="1">IFERROR(__xludf.DUMMYFUNCTION("""COMPUTED_VALUE"""),120000)</f>
        <v>120000</v>
      </c>
      <c r="G234" s="13" t="str">
        <f ca="1"/>
        <v>Mocha</v>
      </c>
      <c r="H234" s="13" t="str">
        <f ca="1"/>
        <v>Chocolate</v>
      </c>
      <c r="I234" s="13">
        <f ca="1">IFERROR(__xludf.DUMMYFUNCTION("""COMPUTED_VALUE"""),5)</f>
        <v>5</v>
      </c>
      <c r="J234" s="13">
        <f ca="1">IFERROR(__xludf.DUMMYFUNCTION("""COMPUTED_VALUE"""),9)</f>
        <v>9</v>
      </c>
      <c r="K234" s="13">
        <f ca="1">IFERROR(__xludf.DUMMYFUNCTION("""COMPUTED_VALUE"""),2025)</f>
        <v>2025</v>
      </c>
      <c r="L234" s="15">
        <f ca="1"/>
        <v>45905</v>
      </c>
    </row>
    <row r="235" spans="1:12">
      <c r="A235" s="12" t="str">
        <f ca="1">IFERROR(__xludf.DUMMYFUNCTION("""COMPUTED_VALUE"""),"22-09-2025")</f>
        <v>22-09-2025</v>
      </c>
      <c r="B235" s="13" t="str">
        <f ca="1">IFERROR(__xludf.DUMMYFUNCTION("""COMPUTED_VALUE"""),"Semarang")</f>
        <v>Semarang</v>
      </c>
      <c r="C235" s="13" t="str">
        <f ca="1">IFERROR(__xludf.DUMMYFUNCTION("""COMPUTED_VALUE"""),"P01")</f>
        <v>P01</v>
      </c>
      <c r="D235" s="13">
        <f ca="1">IFERROR(__xludf.DUMMYFUNCTION("""COMPUTED_VALUE"""),3)</f>
        <v>3</v>
      </c>
      <c r="E235" s="14">
        <f ca="1">IFERROR(__xludf.DUMMYFUNCTION("""COMPUTED_VALUE"""),28000)</f>
        <v>28000</v>
      </c>
      <c r="F235" s="14">
        <f ca="1">IFERROR(__xludf.DUMMYFUNCTION("""COMPUTED_VALUE"""),84000)</f>
        <v>84000</v>
      </c>
      <c r="G235" s="13" t="str">
        <f ca="1"/>
        <v>Cappuccino</v>
      </c>
      <c r="H235" s="13" t="str">
        <f ca="1"/>
        <v>Coffee</v>
      </c>
      <c r="I235" s="13">
        <f ca="1">IFERROR(__xludf.DUMMYFUNCTION("""COMPUTED_VALUE"""),22)</f>
        <v>22</v>
      </c>
      <c r="J235" s="13">
        <f ca="1">IFERROR(__xludf.DUMMYFUNCTION("""COMPUTED_VALUE"""),9)</f>
        <v>9</v>
      </c>
      <c r="K235" s="13">
        <f ca="1">IFERROR(__xludf.DUMMYFUNCTION("""COMPUTED_VALUE"""),2025)</f>
        <v>2025</v>
      </c>
      <c r="L235" s="15">
        <f ca="1"/>
        <v>45922</v>
      </c>
    </row>
    <row r="236" spans="1:12">
      <c r="A236" s="12" t="str">
        <f ca="1">IFERROR(__xludf.DUMMYFUNCTION("""COMPUTED_VALUE"""),"18-09-2025")</f>
        <v>18-09-2025</v>
      </c>
      <c r="B236" s="13" t="str">
        <f ca="1">IFERROR(__xludf.DUMMYFUNCTION("""COMPUTED_VALUE"""),"Semarang")</f>
        <v>Semarang</v>
      </c>
      <c r="C236" s="13" t="str">
        <f ca="1">IFERROR(__xludf.DUMMYFUNCTION("""COMPUTED_VALUE"""),"P02")</f>
        <v>P02</v>
      </c>
      <c r="D236" s="13">
        <f ca="1">IFERROR(__xludf.DUMMYFUNCTION("""COMPUTED_VALUE"""),1)</f>
        <v>1</v>
      </c>
      <c r="E236" s="14">
        <f ca="1">IFERROR(__xludf.DUMMYFUNCTION("""COMPUTED_VALUE"""),25000)</f>
        <v>25000</v>
      </c>
      <c r="F236" s="14">
        <f ca="1">IFERROR(__xludf.DUMMYFUNCTION("""COMPUTED_VALUE"""),25000)</f>
        <v>25000</v>
      </c>
      <c r="G236" s="13" t="str">
        <f ca="1"/>
        <v>Latte</v>
      </c>
      <c r="H236" s="13" t="str">
        <f ca="1"/>
        <v>Coffee</v>
      </c>
      <c r="I236" s="13">
        <f ca="1">IFERROR(__xludf.DUMMYFUNCTION("""COMPUTED_VALUE"""),18)</f>
        <v>18</v>
      </c>
      <c r="J236" s="13">
        <f ca="1">IFERROR(__xludf.DUMMYFUNCTION("""COMPUTED_VALUE"""),9)</f>
        <v>9</v>
      </c>
      <c r="K236" s="13">
        <f ca="1">IFERROR(__xludf.DUMMYFUNCTION("""COMPUTED_VALUE"""),2025)</f>
        <v>2025</v>
      </c>
      <c r="L236" s="15">
        <f ca="1"/>
        <v>45918</v>
      </c>
    </row>
    <row r="237" spans="1:12">
      <c r="A237" s="12" t="str">
        <f ca="1">IFERROR(__xludf.DUMMYFUNCTION("""COMPUTED_VALUE"""),"18-09-2025")</f>
        <v>18-09-2025</v>
      </c>
      <c r="B237" s="13" t="str">
        <f ca="1">IFERROR(__xludf.DUMMYFUNCTION("""COMPUTED_VALUE"""),"Semarang")</f>
        <v>Semarang</v>
      </c>
      <c r="C237" s="13" t="str">
        <f ca="1">IFERROR(__xludf.DUMMYFUNCTION("""COMPUTED_VALUE"""),"P03")</f>
        <v>P03</v>
      </c>
      <c r="D237" s="13">
        <f ca="1">IFERROR(__xludf.DUMMYFUNCTION("""COMPUTED_VALUE"""),4)</f>
        <v>4</v>
      </c>
      <c r="E237" s="14">
        <f ca="1">IFERROR(__xludf.DUMMYFUNCTION("""COMPUTED_VALUE"""),25000)</f>
        <v>25000</v>
      </c>
      <c r="F237" s="14">
        <f ca="1">IFERROR(__xludf.DUMMYFUNCTION("""COMPUTED_VALUE"""),100000)</f>
        <v>100000</v>
      </c>
      <c r="G237" s="13" t="str">
        <f ca="1"/>
        <v>Espresso</v>
      </c>
      <c r="H237" s="13" t="str">
        <f ca="1"/>
        <v>Coffee</v>
      </c>
      <c r="I237" s="13">
        <f ca="1">IFERROR(__xludf.DUMMYFUNCTION("""COMPUTED_VALUE"""),18)</f>
        <v>18</v>
      </c>
      <c r="J237" s="13">
        <f ca="1">IFERROR(__xludf.DUMMYFUNCTION("""COMPUTED_VALUE"""),9)</f>
        <v>9</v>
      </c>
      <c r="K237" s="13">
        <f ca="1">IFERROR(__xludf.DUMMYFUNCTION("""COMPUTED_VALUE"""),2025)</f>
        <v>2025</v>
      </c>
      <c r="L237" s="15">
        <f ca="1"/>
        <v>45918</v>
      </c>
    </row>
    <row r="238" spans="1:12">
      <c r="A238" s="12" t="str">
        <f ca="1">IFERROR(__xludf.DUMMYFUNCTION("""COMPUTED_VALUE"""),"25-09-2025")</f>
        <v>25-09-2025</v>
      </c>
      <c r="B238" s="13" t="str">
        <f ca="1">IFERROR(__xludf.DUMMYFUNCTION("""COMPUTED_VALUE"""),"Semarang")</f>
        <v>Semarang</v>
      </c>
      <c r="C238" s="13" t="str">
        <f ca="1">IFERROR(__xludf.DUMMYFUNCTION("""COMPUTED_VALUE"""),"P04")</f>
        <v>P04</v>
      </c>
      <c r="D238" s="13">
        <f ca="1">IFERROR(__xludf.DUMMYFUNCTION("""COMPUTED_VALUE"""),3)</f>
        <v>3</v>
      </c>
      <c r="E238" s="14">
        <f ca="1">IFERROR(__xludf.DUMMYFUNCTION("""COMPUTED_VALUE"""),35000)</f>
        <v>35000</v>
      </c>
      <c r="F238" s="14">
        <f ca="1">IFERROR(__xludf.DUMMYFUNCTION("""COMPUTED_VALUE"""),105000)</f>
        <v>105000</v>
      </c>
      <c r="G238" s="13" t="str">
        <f ca="1"/>
        <v>Americano</v>
      </c>
      <c r="H238" s="13" t="str">
        <f ca="1"/>
        <v>Coffee</v>
      </c>
      <c r="I238" s="13">
        <f ca="1">IFERROR(__xludf.DUMMYFUNCTION("""COMPUTED_VALUE"""),25)</f>
        <v>25</v>
      </c>
      <c r="J238" s="13">
        <f ca="1">IFERROR(__xludf.DUMMYFUNCTION("""COMPUTED_VALUE"""),9)</f>
        <v>9</v>
      </c>
      <c r="K238" s="13">
        <f ca="1">IFERROR(__xludf.DUMMYFUNCTION("""COMPUTED_VALUE"""),2025)</f>
        <v>2025</v>
      </c>
      <c r="L238" s="15">
        <f ca="1"/>
        <v>45925</v>
      </c>
    </row>
    <row r="239" spans="1:12">
      <c r="A239" s="12" t="str">
        <f ca="1">IFERROR(__xludf.DUMMYFUNCTION("""COMPUTED_VALUE"""),"19-09-2025")</f>
        <v>19-09-2025</v>
      </c>
      <c r="B239" s="13" t="str">
        <f ca="1">IFERROR(__xludf.DUMMYFUNCTION("""COMPUTED_VALUE"""),"Semarang")</f>
        <v>Semarang</v>
      </c>
      <c r="C239" s="13" t="str">
        <f ca="1">IFERROR(__xludf.DUMMYFUNCTION("""COMPUTED_VALUE"""),"P05")</f>
        <v>P05</v>
      </c>
      <c r="D239" s="13">
        <f ca="1">IFERROR(__xludf.DUMMYFUNCTION("""COMPUTED_VALUE"""),1)</f>
        <v>1</v>
      </c>
      <c r="E239" s="14">
        <f ca="1">IFERROR(__xludf.DUMMYFUNCTION("""COMPUTED_VALUE"""),20000)</f>
        <v>20000</v>
      </c>
      <c r="F239" s="14">
        <f ca="1">IFERROR(__xludf.DUMMYFUNCTION("""COMPUTED_VALUE"""),20000)</f>
        <v>20000</v>
      </c>
      <c r="G239" s="13" t="str">
        <f ca="1"/>
        <v>Mocha</v>
      </c>
      <c r="H239" s="13" t="str">
        <f ca="1"/>
        <v>Chocolate</v>
      </c>
      <c r="I239" s="13">
        <f ca="1">IFERROR(__xludf.DUMMYFUNCTION("""COMPUTED_VALUE"""),19)</f>
        <v>19</v>
      </c>
      <c r="J239" s="13">
        <f ca="1">IFERROR(__xludf.DUMMYFUNCTION("""COMPUTED_VALUE"""),9)</f>
        <v>9</v>
      </c>
      <c r="K239" s="13">
        <f ca="1">IFERROR(__xludf.DUMMYFUNCTION("""COMPUTED_VALUE"""),2025)</f>
        <v>2025</v>
      </c>
      <c r="L239" s="15">
        <f ca="1"/>
        <v>45919</v>
      </c>
    </row>
    <row r="240" spans="1:12">
      <c r="A240" s="12" t="str">
        <f ca="1">IFERROR(__xludf.DUMMYFUNCTION("""COMPUTED_VALUE"""),"21-09-2025")</f>
        <v>21-09-2025</v>
      </c>
      <c r="B240" s="13" t="str">
        <f ca="1">IFERROR(__xludf.DUMMYFUNCTION("""COMPUTED_VALUE"""),"Semarang")</f>
        <v>Semarang</v>
      </c>
      <c r="C240" s="13" t="str">
        <f ca="1">IFERROR(__xludf.DUMMYFUNCTION("""COMPUTED_VALUE"""),"P01")</f>
        <v>P01</v>
      </c>
      <c r="D240" s="13">
        <f ca="1">IFERROR(__xludf.DUMMYFUNCTION("""COMPUTED_VALUE"""),1)</f>
        <v>1</v>
      </c>
      <c r="E240" s="14">
        <f ca="1">IFERROR(__xludf.DUMMYFUNCTION("""COMPUTED_VALUE"""),30000)</f>
        <v>30000</v>
      </c>
      <c r="F240" s="14">
        <f ca="1">IFERROR(__xludf.DUMMYFUNCTION("""COMPUTED_VALUE"""),30000)</f>
        <v>30000</v>
      </c>
      <c r="G240" s="13" t="str">
        <f ca="1"/>
        <v>Cappuccino</v>
      </c>
      <c r="H240" s="13" t="str">
        <f ca="1"/>
        <v>Coffee</v>
      </c>
      <c r="I240" s="13">
        <f ca="1">IFERROR(__xludf.DUMMYFUNCTION("""COMPUTED_VALUE"""),21)</f>
        <v>21</v>
      </c>
      <c r="J240" s="13">
        <f ca="1">IFERROR(__xludf.DUMMYFUNCTION("""COMPUTED_VALUE"""),9)</f>
        <v>9</v>
      </c>
      <c r="K240" s="13">
        <f ca="1">IFERROR(__xludf.DUMMYFUNCTION("""COMPUTED_VALUE"""),2025)</f>
        <v>2025</v>
      </c>
      <c r="L240" s="15">
        <f ca="1"/>
        <v>45921</v>
      </c>
    </row>
    <row r="241" spans="1:12">
      <c r="A241" s="12" t="str">
        <f ca="1">IFERROR(__xludf.DUMMYFUNCTION("""COMPUTED_VALUE"""),"26-09-2025")</f>
        <v>26-09-2025</v>
      </c>
      <c r="B241" s="13" t="str">
        <f ca="1">IFERROR(__xludf.DUMMYFUNCTION("""COMPUTED_VALUE"""),"Semarang")</f>
        <v>Semarang</v>
      </c>
      <c r="C241" s="13" t="str">
        <f ca="1">IFERROR(__xludf.DUMMYFUNCTION("""COMPUTED_VALUE"""),"P02")</f>
        <v>P02</v>
      </c>
      <c r="D241" s="13">
        <f ca="1">IFERROR(__xludf.DUMMYFUNCTION("""COMPUTED_VALUE"""),1)</f>
        <v>1</v>
      </c>
      <c r="E241" s="14">
        <f ca="1">IFERROR(__xludf.DUMMYFUNCTION("""COMPUTED_VALUE"""),25000)</f>
        <v>25000</v>
      </c>
      <c r="F241" s="14">
        <f ca="1">IFERROR(__xludf.DUMMYFUNCTION("""COMPUTED_VALUE"""),25000)</f>
        <v>25000</v>
      </c>
      <c r="G241" s="13" t="str">
        <f ca="1"/>
        <v>Latte</v>
      </c>
      <c r="H241" s="13" t="str">
        <f ca="1"/>
        <v>Coffee</v>
      </c>
      <c r="I241" s="13">
        <f ca="1">IFERROR(__xludf.DUMMYFUNCTION("""COMPUTED_VALUE"""),26)</f>
        <v>26</v>
      </c>
      <c r="J241" s="13">
        <f ca="1">IFERROR(__xludf.DUMMYFUNCTION("""COMPUTED_VALUE"""),9)</f>
        <v>9</v>
      </c>
      <c r="K241" s="13">
        <f ca="1">IFERROR(__xludf.DUMMYFUNCTION("""COMPUTED_VALUE"""),2025)</f>
        <v>2025</v>
      </c>
      <c r="L241" s="15">
        <f ca="1"/>
        <v>45926</v>
      </c>
    </row>
    <row r="242" spans="1:12">
      <c r="A242" s="12" t="str">
        <f ca="1">IFERROR(__xludf.DUMMYFUNCTION("""COMPUTED_VALUE"""),"03-09-2025")</f>
        <v>03-09-2025</v>
      </c>
      <c r="B242" s="13" t="str">
        <f ca="1">IFERROR(__xludf.DUMMYFUNCTION("""COMPUTED_VALUE"""),"Medan")</f>
        <v>Medan</v>
      </c>
      <c r="C242" s="13" t="str">
        <f ca="1">IFERROR(__xludf.DUMMYFUNCTION("""COMPUTED_VALUE"""),"P05")</f>
        <v>P05</v>
      </c>
      <c r="D242" s="13">
        <f ca="1">IFERROR(__xludf.DUMMYFUNCTION("""COMPUTED_VALUE"""),5)</f>
        <v>5</v>
      </c>
      <c r="E242" s="14">
        <f ca="1">IFERROR(__xludf.DUMMYFUNCTION("""COMPUTED_VALUE"""),28000)</f>
        <v>28000</v>
      </c>
      <c r="F242" s="14">
        <f ca="1">IFERROR(__xludf.DUMMYFUNCTION("""COMPUTED_VALUE"""),140000)</f>
        <v>140000</v>
      </c>
      <c r="G242" s="13" t="str">
        <f ca="1"/>
        <v>Mocha</v>
      </c>
      <c r="H242" s="13" t="str">
        <f ca="1"/>
        <v>Chocolate</v>
      </c>
      <c r="I242" s="13">
        <f ca="1">IFERROR(__xludf.DUMMYFUNCTION("""COMPUTED_VALUE"""),3)</f>
        <v>3</v>
      </c>
      <c r="J242" s="13">
        <f ca="1">IFERROR(__xludf.DUMMYFUNCTION("""COMPUTED_VALUE"""),9)</f>
        <v>9</v>
      </c>
      <c r="K242" s="13">
        <f ca="1">IFERROR(__xludf.DUMMYFUNCTION("""COMPUTED_VALUE"""),2025)</f>
        <v>2025</v>
      </c>
      <c r="L242" s="15">
        <f ca="1"/>
        <v>45903</v>
      </c>
    </row>
    <row r="243" spans="1:12">
      <c r="A243" s="12" t="str">
        <f ca="1">IFERROR(__xludf.DUMMYFUNCTION("""COMPUTED_VALUE"""),"14-09-2025")</f>
        <v>14-09-2025</v>
      </c>
      <c r="B243" s="13" t="str">
        <f ca="1">IFERROR(__xludf.DUMMYFUNCTION("""COMPUTED_VALUE"""),"Medan")</f>
        <v>Medan</v>
      </c>
      <c r="C243" s="13" t="str">
        <f ca="1">IFERROR(__xludf.DUMMYFUNCTION("""COMPUTED_VALUE"""),"P05")</f>
        <v>P05</v>
      </c>
      <c r="D243" s="13">
        <f ca="1">IFERROR(__xludf.DUMMYFUNCTION("""COMPUTED_VALUE"""),3)</f>
        <v>3</v>
      </c>
      <c r="E243" s="14">
        <f ca="1">IFERROR(__xludf.DUMMYFUNCTION("""COMPUTED_VALUE"""),20000)</f>
        <v>20000</v>
      </c>
      <c r="F243" s="14">
        <f ca="1">IFERROR(__xludf.DUMMYFUNCTION("""COMPUTED_VALUE"""),60000)</f>
        <v>60000</v>
      </c>
      <c r="G243" s="13" t="str">
        <f ca="1"/>
        <v>Mocha</v>
      </c>
      <c r="H243" s="13" t="str">
        <f ca="1"/>
        <v>Chocolate</v>
      </c>
      <c r="I243" s="13">
        <f ca="1">IFERROR(__xludf.DUMMYFUNCTION("""COMPUTED_VALUE"""),14)</f>
        <v>14</v>
      </c>
      <c r="J243" s="13">
        <f ca="1">IFERROR(__xludf.DUMMYFUNCTION("""COMPUTED_VALUE"""),9)</f>
        <v>9</v>
      </c>
      <c r="K243" s="13">
        <f ca="1">IFERROR(__xludf.DUMMYFUNCTION("""COMPUTED_VALUE"""),2025)</f>
        <v>2025</v>
      </c>
      <c r="L243" s="15">
        <f ca="1"/>
        <v>45914</v>
      </c>
    </row>
    <row r="244" spans="1:12">
      <c r="A244" s="12" t="str">
        <f ca="1">IFERROR(__xludf.DUMMYFUNCTION("""COMPUTED_VALUE"""),"12-09-2025")</f>
        <v>12-09-2025</v>
      </c>
      <c r="B244" s="13" t="str">
        <f ca="1">IFERROR(__xludf.DUMMYFUNCTION("""COMPUTED_VALUE"""),"Medan")</f>
        <v>Medan</v>
      </c>
      <c r="C244" s="13" t="str">
        <f ca="1">IFERROR(__xludf.DUMMYFUNCTION("""COMPUTED_VALUE"""),"P01")</f>
        <v>P01</v>
      </c>
      <c r="D244" s="13">
        <f ca="1">IFERROR(__xludf.DUMMYFUNCTION("""COMPUTED_VALUE"""),2)</f>
        <v>2</v>
      </c>
      <c r="E244" s="14">
        <f ca="1">IFERROR(__xludf.DUMMYFUNCTION("""COMPUTED_VALUE"""),35000)</f>
        <v>35000</v>
      </c>
      <c r="F244" s="14">
        <f ca="1">IFERROR(__xludf.DUMMYFUNCTION("""COMPUTED_VALUE"""),70000)</f>
        <v>70000</v>
      </c>
      <c r="G244" s="13" t="str">
        <f ca="1"/>
        <v>Cappuccino</v>
      </c>
      <c r="H244" s="13" t="str">
        <f ca="1"/>
        <v>Coffee</v>
      </c>
      <c r="I244" s="13">
        <f ca="1">IFERROR(__xludf.DUMMYFUNCTION("""COMPUTED_VALUE"""),12)</f>
        <v>12</v>
      </c>
      <c r="J244" s="13">
        <f ca="1">IFERROR(__xludf.DUMMYFUNCTION("""COMPUTED_VALUE"""),9)</f>
        <v>9</v>
      </c>
      <c r="K244" s="13">
        <f ca="1">IFERROR(__xludf.DUMMYFUNCTION("""COMPUTED_VALUE"""),2025)</f>
        <v>2025</v>
      </c>
      <c r="L244" s="15">
        <f ca="1"/>
        <v>45912</v>
      </c>
    </row>
    <row r="245" spans="1:12">
      <c r="A245" s="12" t="str">
        <f ca="1">IFERROR(__xludf.DUMMYFUNCTION("""COMPUTED_VALUE"""),"04-09-2025")</f>
        <v>04-09-2025</v>
      </c>
      <c r="B245" s="13" t="str">
        <f ca="1">IFERROR(__xludf.DUMMYFUNCTION("""COMPUTED_VALUE"""),"Medan")</f>
        <v>Medan</v>
      </c>
      <c r="C245" s="13" t="str">
        <f ca="1">IFERROR(__xludf.DUMMYFUNCTION("""COMPUTED_VALUE"""),"P02")</f>
        <v>P02</v>
      </c>
      <c r="D245" s="13">
        <f ca="1">IFERROR(__xludf.DUMMYFUNCTION("""COMPUTED_VALUE"""),1)</f>
        <v>1</v>
      </c>
      <c r="E245" s="14">
        <f ca="1">IFERROR(__xludf.DUMMYFUNCTION("""COMPUTED_VALUE"""),25000)</f>
        <v>25000</v>
      </c>
      <c r="F245" s="14">
        <f ca="1">IFERROR(__xludf.DUMMYFUNCTION("""COMPUTED_VALUE"""),25000)</f>
        <v>25000</v>
      </c>
      <c r="G245" s="13" t="str">
        <f ca="1"/>
        <v>Latte</v>
      </c>
      <c r="H245" s="13" t="str">
        <f ca="1"/>
        <v>Coffee</v>
      </c>
      <c r="I245" s="13">
        <f ca="1">IFERROR(__xludf.DUMMYFUNCTION("""COMPUTED_VALUE"""),4)</f>
        <v>4</v>
      </c>
      <c r="J245" s="13">
        <f ca="1">IFERROR(__xludf.DUMMYFUNCTION("""COMPUTED_VALUE"""),9)</f>
        <v>9</v>
      </c>
      <c r="K245" s="13">
        <f ca="1">IFERROR(__xludf.DUMMYFUNCTION("""COMPUTED_VALUE"""),2025)</f>
        <v>2025</v>
      </c>
      <c r="L245" s="15">
        <f ca="1"/>
        <v>45904</v>
      </c>
    </row>
    <row r="246" spans="1:12">
      <c r="A246" s="12" t="str">
        <f ca="1">IFERROR(__xludf.DUMMYFUNCTION("""COMPUTED_VALUE"""),"20-09-2025")</f>
        <v>20-09-2025</v>
      </c>
      <c r="B246" s="13" t="str">
        <f ca="1">IFERROR(__xludf.DUMMYFUNCTION("""COMPUTED_VALUE"""),"Medan")</f>
        <v>Medan</v>
      </c>
      <c r="C246" s="13" t="str">
        <f ca="1">IFERROR(__xludf.DUMMYFUNCTION("""COMPUTED_VALUE"""),"P03")</f>
        <v>P03</v>
      </c>
      <c r="D246" s="13">
        <f ca="1">IFERROR(__xludf.DUMMYFUNCTION("""COMPUTED_VALUE"""),1)</f>
        <v>1</v>
      </c>
      <c r="E246" s="14">
        <f ca="1">IFERROR(__xludf.DUMMYFUNCTION("""COMPUTED_VALUE"""),28000)</f>
        <v>28000</v>
      </c>
      <c r="F246" s="14">
        <f ca="1">IFERROR(__xludf.DUMMYFUNCTION("""COMPUTED_VALUE"""),28000)</f>
        <v>28000</v>
      </c>
      <c r="G246" s="13" t="str">
        <f ca="1"/>
        <v>Espresso</v>
      </c>
      <c r="H246" s="13" t="str">
        <f ca="1"/>
        <v>Coffee</v>
      </c>
      <c r="I246" s="13">
        <f ca="1">IFERROR(__xludf.DUMMYFUNCTION("""COMPUTED_VALUE"""),20)</f>
        <v>20</v>
      </c>
      <c r="J246" s="13">
        <f ca="1">IFERROR(__xludf.DUMMYFUNCTION("""COMPUTED_VALUE"""),9)</f>
        <v>9</v>
      </c>
      <c r="K246" s="13">
        <f ca="1">IFERROR(__xludf.DUMMYFUNCTION("""COMPUTED_VALUE"""),2025)</f>
        <v>2025</v>
      </c>
      <c r="L246" s="15">
        <f ca="1"/>
        <v>45920</v>
      </c>
    </row>
    <row r="247" spans="1:12">
      <c r="A247" s="12" t="str">
        <f ca="1">IFERROR(__xludf.DUMMYFUNCTION("""COMPUTED_VALUE"""),"08-09-2025")</f>
        <v>08-09-2025</v>
      </c>
      <c r="B247" s="13" t="str">
        <f ca="1">IFERROR(__xludf.DUMMYFUNCTION("""COMPUTED_VALUE"""),"Medan")</f>
        <v>Medan</v>
      </c>
      <c r="C247" s="13" t="str">
        <f ca="1">IFERROR(__xludf.DUMMYFUNCTION("""COMPUTED_VALUE"""),"P04")</f>
        <v>P04</v>
      </c>
      <c r="D247" s="13">
        <f ca="1">IFERROR(__xludf.DUMMYFUNCTION("""COMPUTED_VALUE"""),2)</f>
        <v>2</v>
      </c>
      <c r="E247" s="14">
        <f ca="1">IFERROR(__xludf.DUMMYFUNCTION("""COMPUTED_VALUE"""),28000)</f>
        <v>28000</v>
      </c>
      <c r="F247" s="14">
        <f ca="1">IFERROR(__xludf.DUMMYFUNCTION("""COMPUTED_VALUE"""),56000)</f>
        <v>56000</v>
      </c>
      <c r="G247" s="13" t="str">
        <f ca="1"/>
        <v>Americano</v>
      </c>
      <c r="H247" s="13" t="str">
        <f ca="1"/>
        <v>Coffee</v>
      </c>
      <c r="I247" s="13">
        <f ca="1">IFERROR(__xludf.DUMMYFUNCTION("""COMPUTED_VALUE"""),8)</f>
        <v>8</v>
      </c>
      <c r="J247" s="13">
        <f ca="1">IFERROR(__xludf.DUMMYFUNCTION("""COMPUTED_VALUE"""),9)</f>
        <v>9</v>
      </c>
      <c r="K247" s="13">
        <f ca="1">IFERROR(__xludf.DUMMYFUNCTION("""COMPUTED_VALUE"""),2025)</f>
        <v>2025</v>
      </c>
      <c r="L247" s="15">
        <f ca="1"/>
        <v>45908</v>
      </c>
    </row>
    <row r="248" spans="1:12">
      <c r="A248" s="12" t="str">
        <f ca="1">IFERROR(__xludf.DUMMYFUNCTION("""COMPUTED_VALUE"""),"27-09-2025")</f>
        <v>27-09-2025</v>
      </c>
      <c r="B248" s="13" t="str">
        <f ca="1">IFERROR(__xludf.DUMMYFUNCTION("""COMPUTED_VALUE"""),"Medan")</f>
        <v>Medan</v>
      </c>
      <c r="C248" s="13" t="str">
        <f ca="1">IFERROR(__xludf.DUMMYFUNCTION("""COMPUTED_VALUE"""),"P05")</f>
        <v>P05</v>
      </c>
      <c r="D248" s="13">
        <f ca="1">IFERROR(__xludf.DUMMYFUNCTION("""COMPUTED_VALUE"""),2)</f>
        <v>2</v>
      </c>
      <c r="E248" s="14">
        <f ca="1">IFERROR(__xludf.DUMMYFUNCTION("""COMPUTED_VALUE"""),28000)</f>
        <v>28000</v>
      </c>
      <c r="F248" s="14">
        <f ca="1">IFERROR(__xludf.DUMMYFUNCTION("""COMPUTED_VALUE"""),56000)</f>
        <v>56000</v>
      </c>
      <c r="G248" s="13" t="str">
        <f ca="1"/>
        <v>Mocha</v>
      </c>
      <c r="H248" s="13" t="str">
        <f ca="1"/>
        <v>Chocolate</v>
      </c>
      <c r="I248" s="13">
        <f ca="1">IFERROR(__xludf.DUMMYFUNCTION("""COMPUTED_VALUE"""),27)</f>
        <v>27</v>
      </c>
      <c r="J248" s="13">
        <f ca="1">IFERROR(__xludf.DUMMYFUNCTION("""COMPUTED_VALUE"""),9)</f>
        <v>9</v>
      </c>
      <c r="K248" s="13">
        <f ca="1">IFERROR(__xludf.DUMMYFUNCTION("""COMPUTED_VALUE"""),2025)</f>
        <v>2025</v>
      </c>
      <c r="L248" s="15">
        <f ca="1"/>
        <v>45927</v>
      </c>
    </row>
    <row r="249" spans="1:12">
      <c r="A249" s="12" t="str">
        <f ca="1">IFERROR(__xludf.DUMMYFUNCTION("""COMPUTED_VALUE"""),"24-09-2025")</f>
        <v>24-09-2025</v>
      </c>
      <c r="B249" s="13" t="str">
        <f ca="1">IFERROR(__xludf.DUMMYFUNCTION("""COMPUTED_VALUE"""),"Medan")</f>
        <v>Medan</v>
      </c>
      <c r="C249" s="13" t="str">
        <f ca="1">IFERROR(__xludf.DUMMYFUNCTION("""COMPUTED_VALUE"""),"P05")</f>
        <v>P05</v>
      </c>
      <c r="D249" s="13">
        <f ca="1">IFERROR(__xludf.DUMMYFUNCTION("""COMPUTED_VALUE"""),2)</f>
        <v>2</v>
      </c>
      <c r="E249" s="14">
        <f ca="1">IFERROR(__xludf.DUMMYFUNCTION("""COMPUTED_VALUE"""),28000)</f>
        <v>28000</v>
      </c>
      <c r="F249" s="14">
        <f ca="1">IFERROR(__xludf.DUMMYFUNCTION("""COMPUTED_VALUE"""),56000)</f>
        <v>56000</v>
      </c>
      <c r="G249" s="13" t="str">
        <f ca="1"/>
        <v>Mocha</v>
      </c>
      <c r="H249" s="13" t="str">
        <f ca="1"/>
        <v>Chocolate</v>
      </c>
      <c r="I249" s="13">
        <f ca="1">IFERROR(__xludf.DUMMYFUNCTION("""COMPUTED_VALUE"""),24)</f>
        <v>24</v>
      </c>
      <c r="J249" s="13">
        <f ca="1">IFERROR(__xludf.DUMMYFUNCTION("""COMPUTED_VALUE"""),9)</f>
        <v>9</v>
      </c>
      <c r="K249" s="13">
        <f ca="1">IFERROR(__xludf.DUMMYFUNCTION("""COMPUTED_VALUE"""),2025)</f>
        <v>2025</v>
      </c>
      <c r="L249" s="15">
        <f ca="1"/>
        <v>45924</v>
      </c>
    </row>
    <row r="250" spans="1:12">
      <c r="A250" s="12" t="str">
        <f ca="1">IFERROR(__xludf.DUMMYFUNCTION("""COMPUTED_VALUE"""),"29-09-2025")</f>
        <v>29-09-2025</v>
      </c>
      <c r="B250" s="13" t="str">
        <f ca="1">IFERROR(__xludf.DUMMYFUNCTION("""COMPUTED_VALUE"""),"Medan")</f>
        <v>Medan</v>
      </c>
      <c r="C250" s="13" t="str">
        <f ca="1">IFERROR(__xludf.DUMMYFUNCTION("""COMPUTED_VALUE"""),"P05")</f>
        <v>P05</v>
      </c>
      <c r="D250" s="13">
        <f ca="1">IFERROR(__xludf.DUMMYFUNCTION("""COMPUTED_VALUE"""),5)</f>
        <v>5</v>
      </c>
      <c r="E250" s="14">
        <f ca="1">IFERROR(__xludf.DUMMYFUNCTION("""COMPUTED_VALUE"""),28000)</f>
        <v>28000</v>
      </c>
      <c r="F250" s="14">
        <f ca="1">IFERROR(__xludf.DUMMYFUNCTION("""COMPUTED_VALUE"""),140000)</f>
        <v>140000</v>
      </c>
      <c r="G250" s="13" t="str">
        <f ca="1"/>
        <v>Mocha</v>
      </c>
      <c r="H250" s="13" t="str">
        <f ca="1"/>
        <v>Chocolate</v>
      </c>
      <c r="I250" s="13">
        <f ca="1">IFERROR(__xludf.DUMMYFUNCTION("""COMPUTED_VALUE"""),29)</f>
        <v>29</v>
      </c>
      <c r="J250" s="13">
        <f ca="1">IFERROR(__xludf.DUMMYFUNCTION("""COMPUTED_VALUE"""),9)</f>
        <v>9</v>
      </c>
      <c r="K250" s="13">
        <f ca="1">IFERROR(__xludf.DUMMYFUNCTION("""COMPUTED_VALUE"""),2025)</f>
        <v>2025</v>
      </c>
      <c r="L250" s="15">
        <f ca="1"/>
        <v>45929</v>
      </c>
    </row>
    <row r="251" spans="1:12">
      <c r="A251" s="12" t="str">
        <f ca="1">IFERROR(__xludf.DUMMYFUNCTION("""COMPUTED_VALUE"""),"15-09-2025")</f>
        <v>15-09-2025</v>
      </c>
      <c r="B251" s="13" t="str">
        <f ca="1">IFERROR(__xludf.DUMMYFUNCTION("""COMPUTED_VALUE"""),"Medan")</f>
        <v>Medan</v>
      </c>
      <c r="C251" s="13" t="str">
        <f ca="1">IFERROR(__xludf.DUMMYFUNCTION("""COMPUTED_VALUE"""),"P05")</f>
        <v>P05</v>
      </c>
      <c r="D251" s="13">
        <f ca="1">IFERROR(__xludf.DUMMYFUNCTION("""COMPUTED_VALUE"""),2)</f>
        <v>2</v>
      </c>
      <c r="E251" s="14">
        <f ca="1">IFERROR(__xludf.DUMMYFUNCTION("""COMPUTED_VALUE"""),20000)</f>
        <v>20000</v>
      </c>
      <c r="F251" s="14">
        <f ca="1">IFERROR(__xludf.DUMMYFUNCTION("""COMPUTED_VALUE"""),40000)</f>
        <v>40000</v>
      </c>
      <c r="G251" s="13" t="str">
        <f ca="1"/>
        <v>Mocha</v>
      </c>
      <c r="H251" s="13" t="str">
        <f ca="1"/>
        <v>Chocolate</v>
      </c>
      <c r="I251" s="13">
        <f ca="1">IFERROR(__xludf.DUMMYFUNCTION("""COMPUTED_VALUE"""),15)</f>
        <v>15</v>
      </c>
      <c r="J251" s="13">
        <f ca="1">IFERROR(__xludf.DUMMYFUNCTION("""COMPUTED_VALUE"""),9)</f>
        <v>9</v>
      </c>
      <c r="K251" s="13">
        <f ca="1">IFERROR(__xludf.DUMMYFUNCTION("""COMPUTED_VALUE"""),2025)</f>
        <v>2025</v>
      </c>
      <c r="L251" s="15">
        <f ca="1"/>
        <v>45915</v>
      </c>
    </row>
    <row r="252" spans="1:12">
      <c r="A252" s="12" t="str">
        <f ca="1">IFERROR(__xludf.DUMMYFUNCTION("""COMPUTED_VALUE"""),"07-09-2025")</f>
        <v>07-09-2025</v>
      </c>
      <c r="B252" s="13" t="str">
        <f ca="1">IFERROR(__xludf.DUMMYFUNCTION("""COMPUTED_VALUE"""),"Medan")</f>
        <v>Medan</v>
      </c>
      <c r="C252" s="13" t="str">
        <f ca="1">IFERROR(__xludf.DUMMYFUNCTION("""COMPUTED_VALUE"""),"P05")</f>
        <v>P05</v>
      </c>
      <c r="D252" s="13">
        <f ca="1">IFERROR(__xludf.DUMMYFUNCTION("""COMPUTED_VALUE"""),1)</f>
        <v>1</v>
      </c>
      <c r="E252" s="14">
        <f ca="1">IFERROR(__xludf.DUMMYFUNCTION("""COMPUTED_VALUE"""),30000)</f>
        <v>30000</v>
      </c>
      <c r="F252" s="14">
        <f ca="1">IFERROR(__xludf.DUMMYFUNCTION("""COMPUTED_VALUE"""),30000)</f>
        <v>30000</v>
      </c>
      <c r="G252" s="13" t="str">
        <f ca="1"/>
        <v>Mocha</v>
      </c>
      <c r="H252" s="13" t="str">
        <f ca="1"/>
        <v>Chocolate</v>
      </c>
      <c r="I252" s="13">
        <f ca="1">IFERROR(__xludf.DUMMYFUNCTION("""COMPUTED_VALUE"""),7)</f>
        <v>7</v>
      </c>
      <c r="J252" s="13">
        <f ca="1">IFERROR(__xludf.DUMMYFUNCTION("""COMPUTED_VALUE"""),9)</f>
        <v>9</v>
      </c>
      <c r="K252" s="13">
        <f ca="1">IFERROR(__xludf.DUMMYFUNCTION("""COMPUTED_VALUE"""),2025)</f>
        <v>2025</v>
      </c>
      <c r="L252" s="15">
        <f ca="1"/>
        <v>45907</v>
      </c>
    </row>
    <row r="253" spans="1:12">
      <c r="A253" s="12" t="str">
        <f ca="1">IFERROR(__xludf.DUMMYFUNCTION("""COMPUTED_VALUE"""),"02-09-2025")</f>
        <v>02-09-2025</v>
      </c>
      <c r="B253" s="13" t="str">
        <f ca="1">IFERROR(__xludf.DUMMYFUNCTION("""COMPUTED_VALUE"""),"Medan")</f>
        <v>Medan</v>
      </c>
      <c r="C253" s="13" t="str">
        <f ca="1">IFERROR(__xludf.DUMMYFUNCTION("""COMPUTED_VALUE"""),"P05")</f>
        <v>P05</v>
      </c>
      <c r="D253" s="13">
        <f ca="1">IFERROR(__xludf.DUMMYFUNCTION("""COMPUTED_VALUE"""),2)</f>
        <v>2</v>
      </c>
      <c r="E253" s="14">
        <f ca="1">IFERROR(__xludf.DUMMYFUNCTION("""COMPUTED_VALUE"""),28000)</f>
        <v>28000</v>
      </c>
      <c r="F253" s="14">
        <f ca="1">IFERROR(__xludf.DUMMYFUNCTION("""COMPUTED_VALUE"""),56000)</f>
        <v>56000</v>
      </c>
      <c r="G253" s="13" t="str">
        <f ca="1"/>
        <v>Mocha</v>
      </c>
      <c r="H253" s="13" t="str">
        <f ca="1"/>
        <v>Chocolate</v>
      </c>
      <c r="I253" s="13">
        <f ca="1">IFERROR(__xludf.DUMMYFUNCTION("""COMPUTED_VALUE"""),2)</f>
        <v>2</v>
      </c>
      <c r="J253" s="13">
        <f ca="1">IFERROR(__xludf.DUMMYFUNCTION("""COMPUTED_VALUE"""),9)</f>
        <v>9</v>
      </c>
      <c r="K253" s="13">
        <f ca="1">IFERROR(__xludf.DUMMYFUNCTION("""COMPUTED_VALUE"""),2025)</f>
        <v>2025</v>
      </c>
      <c r="L253" s="15">
        <f ca="1"/>
        <v>45902</v>
      </c>
    </row>
    <row r="254" spans="1:12">
      <c r="A254" s="12" t="str">
        <f ca="1">IFERROR(__xludf.DUMMYFUNCTION("""COMPUTED_VALUE"""),"07-09-2025")</f>
        <v>07-09-2025</v>
      </c>
      <c r="B254" s="13" t="str">
        <f ca="1">IFERROR(__xludf.DUMMYFUNCTION("""COMPUTED_VALUE"""),"Medan")</f>
        <v>Medan</v>
      </c>
      <c r="C254" s="13" t="str">
        <f ca="1">IFERROR(__xludf.DUMMYFUNCTION("""COMPUTED_VALUE"""),"P05")</f>
        <v>P05</v>
      </c>
      <c r="D254" s="13">
        <f ca="1">IFERROR(__xludf.DUMMYFUNCTION("""COMPUTED_VALUE"""),2)</f>
        <v>2</v>
      </c>
      <c r="E254" s="14">
        <f ca="1">IFERROR(__xludf.DUMMYFUNCTION("""COMPUTED_VALUE"""),35000)</f>
        <v>35000</v>
      </c>
      <c r="F254" s="14">
        <f ca="1">IFERROR(__xludf.DUMMYFUNCTION("""COMPUTED_VALUE"""),70000)</f>
        <v>70000</v>
      </c>
      <c r="G254" s="13" t="str">
        <f ca="1"/>
        <v>Mocha</v>
      </c>
      <c r="H254" s="13" t="str">
        <f ca="1"/>
        <v>Chocolate</v>
      </c>
      <c r="I254" s="13">
        <f ca="1">IFERROR(__xludf.DUMMYFUNCTION("""COMPUTED_VALUE"""),7)</f>
        <v>7</v>
      </c>
      <c r="J254" s="13">
        <f ca="1">IFERROR(__xludf.DUMMYFUNCTION("""COMPUTED_VALUE"""),9)</f>
        <v>9</v>
      </c>
      <c r="K254" s="13">
        <f ca="1">IFERROR(__xludf.DUMMYFUNCTION("""COMPUTED_VALUE"""),2025)</f>
        <v>2025</v>
      </c>
      <c r="L254" s="15">
        <f ca="1"/>
        <v>45907</v>
      </c>
    </row>
    <row r="255" spans="1:12">
      <c r="A255" s="12" t="str">
        <f ca="1">IFERROR(__xludf.DUMMYFUNCTION("""COMPUTED_VALUE"""),"05-09-2025")</f>
        <v>05-09-2025</v>
      </c>
      <c r="B255" s="13" t="str">
        <f ca="1">IFERROR(__xludf.DUMMYFUNCTION("""COMPUTED_VALUE"""),"Medan")</f>
        <v>Medan</v>
      </c>
      <c r="C255" s="13" t="str">
        <f ca="1">IFERROR(__xludf.DUMMYFUNCTION("""COMPUTED_VALUE"""),"P05")</f>
        <v>P05</v>
      </c>
      <c r="D255" s="13">
        <f ca="1">IFERROR(__xludf.DUMMYFUNCTION("""COMPUTED_VALUE"""),3)</f>
        <v>3</v>
      </c>
      <c r="E255" s="14">
        <f ca="1">IFERROR(__xludf.DUMMYFUNCTION("""COMPUTED_VALUE"""),28000)</f>
        <v>28000</v>
      </c>
      <c r="F255" s="14">
        <f ca="1">IFERROR(__xludf.DUMMYFUNCTION("""COMPUTED_VALUE"""),84000)</f>
        <v>84000</v>
      </c>
      <c r="G255" s="13" t="str">
        <f ca="1"/>
        <v>Mocha</v>
      </c>
      <c r="H255" s="13" t="str">
        <f ca="1"/>
        <v>Chocolate</v>
      </c>
      <c r="I255" s="13">
        <f ca="1">IFERROR(__xludf.DUMMYFUNCTION("""COMPUTED_VALUE"""),5)</f>
        <v>5</v>
      </c>
      <c r="J255" s="13">
        <f ca="1">IFERROR(__xludf.DUMMYFUNCTION("""COMPUTED_VALUE"""),9)</f>
        <v>9</v>
      </c>
      <c r="K255" s="13">
        <f ca="1">IFERROR(__xludf.DUMMYFUNCTION("""COMPUTED_VALUE"""),2025)</f>
        <v>2025</v>
      </c>
      <c r="L255" s="15">
        <f ca="1"/>
        <v>45905</v>
      </c>
    </row>
    <row r="256" spans="1:12">
      <c r="A256" s="12" t="str">
        <f ca="1">IFERROR(__xludf.DUMMYFUNCTION("""COMPUTED_VALUE"""),"08-09-2025")</f>
        <v>08-09-2025</v>
      </c>
      <c r="B256" s="13" t="str">
        <f ca="1">IFERROR(__xludf.DUMMYFUNCTION("""COMPUTED_VALUE"""),"Medan")</f>
        <v>Medan</v>
      </c>
      <c r="C256" s="13" t="str">
        <f ca="1">IFERROR(__xludf.DUMMYFUNCTION("""COMPUTED_VALUE"""),"P05")</f>
        <v>P05</v>
      </c>
      <c r="D256" s="13">
        <f ca="1">IFERROR(__xludf.DUMMYFUNCTION("""COMPUTED_VALUE"""),4)</f>
        <v>4</v>
      </c>
      <c r="E256" s="14">
        <f ca="1">IFERROR(__xludf.DUMMYFUNCTION("""COMPUTED_VALUE"""),25000)</f>
        <v>25000</v>
      </c>
      <c r="F256" s="14">
        <f ca="1">IFERROR(__xludf.DUMMYFUNCTION("""COMPUTED_VALUE"""),100000)</f>
        <v>100000</v>
      </c>
      <c r="G256" s="13" t="str">
        <f ca="1"/>
        <v>Mocha</v>
      </c>
      <c r="H256" s="13" t="str">
        <f ca="1"/>
        <v>Chocolate</v>
      </c>
      <c r="I256" s="13">
        <f ca="1">IFERROR(__xludf.DUMMYFUNCTION("""COMPUTED_VALUE"""),8)</f>
        <v>8</v>
      </c>
      <c r="J256" s="13">
        <f ca="1">IFERROR(__xludf.DUMMYFUNCTION("""COMPUTED_VALUE"""),9)</f>
        <v>9</v>
      </c>
      <c r="K256" s="13">
        <f ca="1">IFERROR(__xludf.DUMMYFUNCTION("""COMPUTED_VALUE"""),2025)</f>
        <v>2025</v>
      </c>
      <c r="L256" s="15">
        <f ca="1"/>
        <v>45908</v>
      </c>
    </row>
    <row r="257" spans="1:12">
      <c r="A257" s="12" t="str">
        <f ca="1">IFERROR(__xludf.DUMMYFUNCTION("""COMPUTED_VALUE"""),"17-09-2025")</f>
        <v>17-09-2025</v>
      </c>
      <c r="B257" s="13" t="str">
        <f ca="1">IFERROR(__xludf.DUMMYFUNCTION("""COMPUTED_VALUE"""),"Medan")</f>
        <v>Medan</v>
      </c>
      <c r="C257" s="13" t="str">
        <f ca="1">IFERROR(__xludf.DUMMYFUNCTION("""COMPUTED_VALUE"""),"P05")</f>
        <v>P05</v>
      </c>
      <c r="D257" s="13">
        <f ca="1">IFERROR(__xludf.DUMMYFUNCTION("""COMPUTED_VALUE"""),4)</f>
        <v>4</v>
      </c>
      <c r="E257" s="14">
        <f ca="1">IFERROR(__xludf.DUMMYFUNCTION("""COMPUTED_VALUE"""),25000)</f>
        <v>25000</v>
      </c>
      <c r="F257" s="14">
        <f ca="1">IFERROR(__xludf.DUMMYFUNCTION("""COMPUTED_VALUE"""),100000)</f>
        <v>100000</v>
      </c>
      <c r="G257" s="13" t="str">
        <f ca="1"/>
        <v>Mocha</v>
      </c>
      <c r="H257" s="13" t="str">
        <f ca="1"/>
        <v>Chocolate</v>
      </c>
      <c r="I257" s="13">
        <f ca="1">IFERROR(__xludf.DUMMYFUNCTION("""COMPUTED_VALUE"""),17)</f>
        <v>17</v>
      </c>
      <c r="J257" s="13">
        <f ca="1">IFERROR(__xludf.DUMMYFUNCTION("""COMPUTED_VALUE"""),9)</f>
        <v>9</v>
      </c>
      <c r="K257" s="13">
        <f ca="1">IFERROR(__xludf.DUMMYFUNCTION("""COMPUTED_VALUE"""),2025)</f>
        <v>2025</v>
      </c>
      <c r="L257" s="15">
        <f ca="1"/>
        <v>45917</v>
      </c>
    </row>
    <row r="258" spans="1:12">
      <c r="A258" s="12" t="str">
        <f ca="1">IFERROR(__xludf.DUMMYFUNCTION("""COMPUTED_VALUE"""),"03-09-2025")</f>
        <v>03-09-2025</v>
      </c>
      <c r="B258" s="13" t="str">
        <f ca="1">IFERROR(__xludf.DUMMYFUNCTION("""COMPUTED_VALUE"""),"Medan")</f>
        <v>Medan</v>
      </c>
      <c r="C258" s="13" t="str">
        <f ca="1">IFERROR(__xludf.DUMMYFUNCTION("""COMPUTED_VALUE"""),"P05")</f>
        <v>P05</v>
      </c>
      <c r="D258" s="13">
        <f ca="1">IFERROR(__xludf.DUMMYFUNCTION("""COMPUTED_VALUE"""),5)</f>
        <v>5</v>
      </c>
      <c r="E258" s="14">
        <f ca="1">IFERROR(__xludf.DUMMYFUNCTION("""COMPUTED_VALUE"""),20000)</f>
        <v>20000</v>
      </c>
      <c r="F258" s="14">
        <f ca="1">IFERROR(__xludf.DUMMYFUNCTION("""COMPUTED_VALUE"""),100000)</f>
        <v>100000</v>
      </c>
      <c r="G258" s="13" t="str">
        <f ca="1"/>
        <v>Mocha</v>
      </c>
      <c r="H258" s="13" t="str">
        <f ca="1"/>
        <v>Chocolate</v>
      </c>
      <c r="I258" s="13">
        <f ca="1">IFERROR(__xludf.DUMMYFUNCTION("""COMPUTED_VALUE"""),3)</f>
        <v>3</v>
      </c>
      <c r="J258" s="13">
        <f ca="1">IFERROR(__xludf.DUMMYFUNCTION("""COMPUTED_VALUE"""),9)</f>
        <v>9</v>
      </c>
      <c r="K258" s="13">
        <f ca="1">IFERROR(__xludf.DUMMYFUNCTION("""COMPUTED_VALUE"""),2025)</f>
        <v>2025</v>
      </c>
      <c r="L258" s="15">
        <f ca="1"/>
        <v>45903</v>
      </c>
    </row>
    <row r="259" spans="1:12">
      <c r="A259" s="12" t="str">
        <f ca="1">IFERROR(__xludf.DUMMYFUNCTION("""COMPUTED_VALUE"""),"20-09-2025")</f>
        <v>20-09-2025</v>
      </c>
      <c r="B259" s="13" t="str">
        <f ca="1">IFERROR(__xludf.DUMMYFUNCTION("""COMPUTED_VALUE"""),"Medan")</f>
        <v>Medan</v>
      </c>
      <c r="C259" s="13" t="str">
        <f ca="1">IFERROR(__xludf.DUMMYFUNCTION("""COMPUTED_VALUE"""),"P05")</f>
        <v>P05</v>
      </c>
      <c r="D259" s="13">
        <f ca="1">IFERROR(__xludf.DUMMYFUNCTION("""COMPUTED_VALUE"""),1)</f>
        <v>1</v>
      </c>
      <c r="E259" s="14">
        <f ca="1">IFERROR(__xludf.DUMMYFUNCTION("""COMPUTED_VALUE"""),30000)</f>
        <v>30000</v>
      </c>
      <c r="F259" s="14">
        <f ca="1">IFERROR(__xludf.DUMMYFUNCTION("""COMPUTED_VALUE"""),30000)</f>
        <v>30000</v>
      </c>
      <c r="G259" s="13" t="str">
        <f ca="1"/>
        <v>Mocha</v>
      </c>
      <c r="H259" s="13" t="str">
        <f ca="1"/>
        <v>Chocolate</v>
      </c>
      <c r="I259" s="13">
        <f ca="1">IFERROR(__xludf.DUMMYFUNCTION("""COMPUTED_VALUE"""),20)</f>
        <v>20</v>
      </c>
      <c r="J259" s="13">
        <f ca="1">IFERROR(__xludf.DUMMYFUNCTION("""COMPUTED_VALUE"""),9)</f>
        <v>9</v>
      </c>
      <c r="K259" s="13">
        <f ca="1">IFERROR(__xludf.DUMMYFUNCTION("""COMPUTED_VALUE"""),2025)</f>
        <v>2025</v>
      </c>
      <c r="L259" s="15">
        <f ca="1"/>
        <v>45920</v>
      </c>
    </row>
    <row r="260" spans="1:12">
      <c r="A260" s="12" t="str">
        <f ca="1">IFERROR(__xludf.DUMMYFUNCTION("""COMPUTED_VALUE"""),"22-09-2025")</f>
        <v>22-09-2025</v>
      </c>
      <c r="B260" s="13" t="str">
        <f ca="1">IFERROR(__xludf.DUMMYFUNCTION("""COMPUTED_VALUE"""),"Medan")</f>
        <v>Medan</v>
      </c>
      <c r="C260" s="13" t="str">
        <f ca="1">IFERROR(__xludf.DUMMYFUNCTION("""COMPUTED_VALUE"""),"P05")</f>
        <v>P05</v>
      </c>
      <c r="D260" s="13">
        <f ca="1">IFERROR(__xludf.DUMMYFUNCTION("""COMPUTED_VALUE"""),4)</f>
        <v>4</v>
      </c>
      <c r="E260" s="14">
        <f ca="1">IFERROR(__xludf.DUMMYFUNCTION("""COMPUTED_VALUE"""),28000)</f>
        <v>28000</v>
      </c>
      <c r="F260" s="14">
        <f ca="1">IFERROR(__xludf.DUMMYFUNCTION("""COMPUTED_VALUE"""),112000)</f>
        <v>112000</v>
      </c>
      <c r="G260" s="13" t="str">
        <f ca="1"/>
        <v>Mocha</v>
      </c>
      <c r="H260" s="13" t="str">
        <f ca="1"/>
        <v>Chocolate</v>
      </c>
      <c r="I260" s="13">
        <f ca="1">IFERROR(__xludf.DUMMYFUNCTION("""COMPUTED_VALUE"""),22)</f>
        <v>22</v>
      </c>
      <c r="J260" s="13">
        <f ca="1">IFERROR(__xludf.DUMMYFUNCTION("""COMPUTED_VALUE"""),9)</f>
        <v>9</v>
      </c>
      <c r="K260" s="13">
        <f ca="1">IFERROR(__xludf.DUMMYFUNCTION("""COMPUTED_VALUE"""),2025)</f>
        <v>2025</v>
      </c>
      <c r="L260" s="15">
        <f ca="1"/>
        <v>45922</v>
      </c>
    </row>
    <row r="261" spans="1:12">
      <c r="A261" s="12" t="str">
        <f ca="1">IFERROR(__xludf.DUMMYFUNCTION("""COMPUTED_VALUE"""),"21-09-2025")</f>
        <v>21-09-2025</v>
      </c>
      <c r="B261" s="13" t="str">
        <f ca="1">IFERROR(__xludf.DUMMYFUNCTION("""COMPUTED_VALUE"""),"Medan")</f>
        <v>Medan</v>
      </c>
      <c r="C261" s="13" t="str">
        <f ca="1">IFERROR(__xludf.DUMMYFUNCTION("""COMPUTED_VALUE"""),"P05")</f>
        <v>P05</v>
      </c>
      <c r="D261" s="13">
        <f ca="1">IFERROR(__xludf.DUMMYFUNCTION("""COMPUTED_VALUE"""),1)</f>
        <v>1</v>
      </c>
      <c r="E261" s="14">
        <f ca="1">IFERROR(__xludf.DUMMYFUNCTION("""COMPUTED_VALUE"""),30000)</f>
        <v>30000</v>
      </c>
      <c r="F261" s="14">
        <f ca="1">IFERROR(__xludf.DUMMYFUNCTION("""COMPUTED_VALUE"""),30000)</f>
        <v>30000</v>
      </c>
      <c r="G261" s="13" t="str">
        <f ca="1"/>
        <v>Mocha</v>
      </c>
      <c r="H261" s="13" t="str">
        <f ca="1"/>
        <v>Chocolate</v>
      </c>
      <c r="I261" s="13">
        <f ca="1">IFERROR(__xludf.DUMMYFUNCTION("""COMPUTED_VALUE"""),21)</f>
        <v>21</v>
      </c>
      <c r="J261" s="13">
        <f ca="1">IFERROR(__xludf.DUMMYFUNCTION("""COMPUTED_VALUE"""),9)</f>
        <v>9</v>
      </c>
      <c r="K261" s="13">
        <f ca="1">IFERROR(__xludf.DUMMYFUNCTION("""COMPUTED_VALUE"""),2025)</f>
        <v>2025</v>
      </c>
      <c r="L261" s="15">
        <f ca="1"/>
        <v>45921</v>
      </c>
    </row>
    <row r="262" spans="1:12">
      <c r="A262" s="12" t="str">
        <f ca="1">IFERROR(__xludf.DUMMYFUNCTION("""COMPUTED_VALUE"""),"15-09-2025")</f>
        <v>15-09-2025</v>
      </c>
      <c r="B262" s="13" t="str">
        <f ca="1">IFERROR(__xludf.DUMMYFUNCTION("""COMPUTED_VALUE"""),"Medan")</f>
        <v>Medan</v>
      </c>
      <c r="C262" s="13" t="str">
        <f ca="1">IFERROR(__xludf.DUMMYFUNCTION("""COMPUTED_VALUE"""),"P04")</f>
        <v>P04</v>
      </c>
      <c r="D262" s="13">
        <f ca="1">IFERROR(__xludf.DUMMYFUNCTION("""COMPUTED_VALUE"""),5)</f>
        <v>5</v>
      </c>
      <c r="E262" s="14">
        <f ca="1">IFERROR(__xludf.DUMMYFUNCTION("""COMPUTED_VALUE"""),30000)</f>
        <v>30000</v>
      </c>
      <c r="F262" s="14">
        <f ca="1">IFERROR(__xludf.DUMMYFUNCTION("""COMPUTED_VALUE"""),150000)</f>
        <v>150000</v>
      </c>
      <c r="G262" s="13" t="str">
        <f ca="1"/>
        <v>Americano</v>
      </c>
      <c r="H262" s="13" t="str">
        <f ca="1"/>
        <v>Coffee</v>
      </c>
      <c r="I262" s="13">
        <f ca="1">IFERROR(__xludf.DUMMYFUNCTION("""COMPUTED_VALUE"""),15)</f>
        <v>15</v>
      </c>
      <c r="J262" s="13">
        <f ca="1">IFERROR(__xludf.DUMMYFUNCTION("""COMPUTED_VALUE"""),9)</f>
        <v>9</v>
      </c>
      <c r="K262" s="13">
        <f ca="1">IFERROR(__xludf.DUMMYFUNCTION("""COMPUTED_VALUE"""),2025)</f>
        <v>2025</v>
      </c>
      <c r="L262" s="15">
        <f ca="1"/>
        <v>45915</v>
      </c>
    </row>
    <row r="263" spans="1:12">
      <c r="A263" s="12" t="str">
        <f ca="1">IFERROR(__xludf.DUMMYFUNCTION("""COMPUTED_VALUE"""),"09-09-2025")</f>
        <v>09-09-2025</v>
      </c>
      <c r="B263" s="13" t="str">
        <f ca="1">IFERROR(__xludf.DUMMYFUNCTION("""COMPUTED_VALUE"""),"Medan")</f>
        <v>Medan</v>
      </c>
      <c r="C263" s="13" t="str">
        <f ca="1">IFERROR(__xludf.DUMMYFUNCTION("""COMPUTED_VALUE"""),"P05")</f>
        <v>P05</v>
      </c>
      <c r="D263" s="13">
        <f ca="1">IFERROR(__xludf.DUMMYFUNCTION("""COMPUTED_VALUE"""),5)</f>
        <v>5</v>
      </c>
      <c r="E263" s="14">
        <f ca="1">IFERROR(__xludf.DUMMYFUNCTION("""COMPUTED_VALUE"""),35000)</f>
        <v>35000</v>
      </c>
      <c r="F263" s="14">
        <f ca="1">IFERROR(__xludf.DUMMYFUNCTION("""COMPUTED_VALUE"""),175000)</f>
        <v>175000</v>
      </c>
      <c r="G263" s="13" t="str">
        <f ca="1"/>
        <v>Mocha</v>
      </c>
      <c r="H263" s="13" t="str">
        <f ca="1"/>
        <v>Chocolate</v>
      </c>
      <c r="I263" s="13">
        <f ca="1">IFERROR(__xludf.DUMMYFUNCTION("""COMPUTED_VALUE"""),9)</f>
        <v>9</v>
      </c>
      <c r="J263" s="13">
        <f ca="1">IFERROR(__xludf.DUMMYFUNCTION("""COMPUTED_VALUE"""),9)</f>
        <v>9</v>
      </c>
      <c r="K263" s="13">
        <f ca="1">IFERROR(__xludf.DUMMYFUNCTION("""COMPUTED_VALUE"""),2025)</f>
        <v>2025</v>
      </c>
      <c r="L263" s="15">
        <f ca="1"/>
        <v>45909</v>
      </c>
    </row>
    <row r="264" spans="1:12">
      <c r="A264" s="12" t="str">
        <f ca="1">IFERROR(__xludf.DUMMYFUNCTION("""COMPUTED_VALUE"""),"27-09-2025")</f>
        <v>27-09-2025</v>
      </c>
      <c r="B264" s="13" t="str">
        <f ca="1">IFERROR(__xludf.DUMMYFUNCTION("""COMPUTED_VALUE"""),"Medan")</f>
        <v>Medan</v>
      </c>
      <c r="C264" s="13" t="str">
        <f ca="1">IFERROR(__xludf.DUMMYFUNCTION("""COMPUTED_VALUE"""),"P03")</f>
        <v>P03</v>
      </c>
      <c r="D264" s="13">
        <f ca="1">IFERROR(__xludf.DUMMYFUNCTION("""COMPUTED_VALUE"""),5)</f>
        <v>5</v>
      </c>
      <c r="E264" s="14">
        <f ca="1">IFERROR(__xludf.DUMMYFUNCTION("""COMPUTED_VALUE"""),20000)</f>
        <v>20000</v>
      </c>
      <c r="F264" s="14">
        <f ca="1">IFERROR(__xludf.DUMMYFUNCTION("""COMPUTED_VALUE"""),100000)</f>
        <v>100000</v>
      </c>
      <c r="G264" s="13" t="str">
        <f ca="1"/>
        <v>Espresso</v>
      </c>
      <c r="H264" s="13" t="str">
        <f ca="1"/>
        <v>Coffee</v>
      </c>
      <c r="I264" s="13">
        <f ca="1">IFERROR(__xludf.DUMMYFUNCTION("""COMPUTED_VALUE"""),27)</f>
        <v>27</v>
      </c>
      <c r="J264" s="13">
        <f ca="1">IFERROR(__xludf.DUMMYFUNCTION("""COMPUTED_VALUE"""),9)</f>
        <v>9</v>
      </c>
      <c r="K264" s="13">
        <f ca="1">IFERROR(__xludf.DUMMYFUNCTION("""COMPUTED_VALUE"""),2025)</f>
        <v>2025</v>
      </c>
      <c r="L264" s="15">
        <f ca="1"/>
        <v>45927</v>
      </c>
    </row>
    <row r="265" spans="1:12">
      <c r="A265" s="12" t="str">
        <f ca="1">IFERROR(__xludf.DUMMYFUNCTION("""COMPUTED_VALUE"""),"02-09-2025")</f>
        <v>02-09-2025</v>
      </c>
      <c r="B265" s="13" t="str">
        <f ca="1">IFERROR(__xludf.DUMMYFUNCTION("""COMPUTED_VALUE"""),"Medan")</f>
        <v>Medan</v>
      </c>
      <c r="C265" s="13" t="str">
        <f ca="1">IFERROR(__xludf.DUMMYFUNCTION("""COMPUTED_VALUE"""),"P04")</f>
        <v>P04</v>
      </c>
      <c r="D265" s="13">
        <f ca="1">IFERROR(__xludf.DUMMYFUNCTION("""COMPUTED_VALUE"""),2)</f>
        <v>2</v>
      </c>
      <c r="E265" s="14">
        <f ca="1">IFERROR(__xludf.DUMMYFUNCTION("""COMPUTED_VALUE"""),30000)</f>
        <v>30000</v>
      </c>
      <c r="F265" s="14">
        <f ca="1">IFERROR(__xludf.DUMMYFUNCTION("""COMPUTED_VALUE"""),60000)</f>
        <v>60000</v>
      </c>
      <c r="G265" s="13" t="str">
        <f ca="1"/>
        <v>Americano</v>
      </c>
      <c r="H265" s="13" t="str">
        <f ca="1"/>
        <v>Coffee</v>
      </c>
      <c r="I265" s="13">
        <f ca="1">IFERROR(__xludf.DUMMYFUNCTION("""COMPUTED_VALUE"""),2)</f>
        <v>2</v>
      </c>
      <c r="J265" s="13">
        <f ca="1">IFERROR(__xludf.DUMMYFUNCTION("""COMPUTED_VALUE"""),9)</f>
        <v>9</v>
      </c>
      <c r="K265" s="13">
        <f ca="1">IFERROR(__xludf.DUMMYFUNCTION("""COMPUTED_VALUE"""),2025)</f>
        <v>2025</v>
      </c>
      <c r="L265" s="15">
        <f ca="1"/>
        <v>45902</v>
      </c>
    </row>
    <row r="266" spans="1:12">
      <c r="A266" s="12" t="str">
        <f ca="1">IFERROR(__xludf.DUMMYFUNCTION("""COMPUTED_VALUE"""),"29-09-2025")</f>
        <v>29-09-2025</v>
      </c>
      <c r="B266" s="13" t="str">
        <f ca="1">IFERROR(__xludf.DUMMYFUNCTION("""COMPUTED_VALUE"""),"Medan")</f>
        <v>Medan</v>
      </c>
      <c r="C266" s="13" t="str">
        <f ca="1">IFERROR(__xludf.DUMMYFUNCTION("""COMPUTED_VALUE"""),"P05")</f>
        <v>P05</v>
      </c>
      <c r="D266" s="13">
        <f ca="1">IFERROR(__xludf.DUMMYFUNCTION("""COMPUTED_VALUE"""),2)</f>
        <v>2</v>
      </c>
      <c r="E266" s="14">
        <f ca="1">IFERROR(__xludf.DUMMYFUNCTION("""COMPUTED_VALUE"""),30000)</f>
        <v>30000</v>
      </c>
      <c r="F266" s="14">
        <f ca="1">IFERROR(__xludf.DUMMYFUNCTION("""COMPUTED_VALUE"""),60000)</f>
        <v>60000</v>
      </c>
      <c r="G266" s="13" t="str">
        <f ca="1"/>
        <v>Mocha</v>
      </c>
      <c r="H266" s="13" t="str">
        <f ca="1"/>
        <v>Chocolate</v>
      </c>
      <c r="I266" s="13">
        <f ca="1">IFERROR(__xludf.DUMMYFUNCTION("""COMPUTED_VALUE"""),29)</f>
        <v>29</v>
      </c>
      <c r="J266" s="13">
        <f ca="1">IFERROR(__xludf.DUMMYFUNCTION("""COMPUTED_VALUE"""),9)</f>
        <v>9</v>
      </c>
      <c r="K266" s="13">
        <f ca="1">IFERROR(__xludf.DUMMYFUNCTION("""COMPUTED_VALUE"""),2025)</f>
        <v>2025</v>
      </c>
      <c r="L266" s="15">
        <f ca="1"/>
        <v>45929</v>
      </c>
    </row>
    <row r="267" spans="1:12">
      <c r="A267" s="12" t="str">
        <f ca="1">IFERROR(__xludf.DUMMYFUNCTION("""COMPUTED_VALUE"""),"20-09-2025")</f>
        <v>20-09-2025</v>
      </c>
      <c r="B267" s="13" t="str">
        <f ca="1">IFERROR(__xludf.DUMMYFUNCTION("""COMPUTED_VALUE"""),"Medan")</f>
        <v>Medan</v>
      </c>
      <c r="C267" s="13" t="str">
        <f ca="1">IFERROR(__xludf.DUMMYFUNCTION("""COMPUTED_VALUE"""),"P01")</f>
        <v>P01</v>
      </c>
      <c r="D267" s="13">
        <f ca="1">IFERROR(__xludf.DUMMYFUNCTION("""COMPUTED_VALUE"""),1)</f>
        <v>1</v>
      </c>
      <c r="E267" s="14">
        <f ca="1">IFERROR(__xludf.DUMMYFUNCTION("""COMPUTED_VALUE"""),20000)</f>
        <v>20000</v>
      </c>
      <c r="F267" s="14">
        <f ca="1">IFERROR(__xludf.DUMMYFUNCTION("""COMPUTED_VALUE"""),20000)</f>
        <v>20000</v>
      </c>
      <c r="G267" s="13" t="str">
        <f ca="1"/>
        <v>Cappuccino</v>
      </c>
      <c r="H267" s="13" t="str">
        <f ca="1"/>
        <v>Coffee</v>
      </c>
      <c r="I267" s="13">
        <f ca="1">IFERROR(__xludf.DUMMYFUNCTION("""COMPUTED_VALUE"""),20)</f>
        <v>20</v>
      </c>
      <c r="J267" s="13">
        <f ca="1">IFERROR(__xludf.DUMMYFUNCTION("""COMPUTED_VALUE"""),9)</f>
        <v>9</v>
      </c>
      <c r="K267" s="13">
        <f ca="1">IFERROR(__xludf.DUMMYFUNCTION("""COMPUTED_VALUE"""),2025)</f>
        <v>2025</v>
      </c>
      <c r="L267" s="15">
        <f ca="1"/>
        <v>45920</v>
      </c>
    </row>
    <row r="268" spans="1:12">
      <c r="A268" s="12" t="str">
        <f ca="1">IFERROR(__xludf.DUMMYFUNCTION("""COMPUTED_VALUE"""),"07-09-2025")</f>
        <v>07-09-2025</v>
      </c>
      <c r="B268" s="13" t="str">
        <f ca="1">IFERROR(__xludf.DUMMYFUNCTION("""COMPUTED_VALUE"""),"Medan")</f>
        <v>Medan</v>
      </c>
      <c r="C268" s="13" t="str">
        <f ca="1">IFERROR(__xludf.DUMMYFUNCTION("""COMPUTED_VALUE"""),"P02")</f>
        <v>P02</v>
      </c>
      <c r="D268" s="13">
        <f ca="1">IFERROR(__xludf.DUMMYFUNCTION("""COMPUTED_VALUE"""),4)</f>
        <v>4</v>
      </c>
      <c r="E268" s="14">
        <f ca="1">IFERROR(__xludf.DUMMYFUNCTION("""COMPUTED_VALUE"""),30000)</f>
        <v>30000</v>
      </c>
      <c r="F268" s="14">
        <f ca="1">IFERROR(__xludf.DUMMYFUNCTION("""COMPUTED_VALUE"""),120000)</f>
        <v>120000</v>
      </c>
      <c r="G268" s="13" t="str">
        <f ca="1"/>
        <v>Latte</v>
      </c>
      <c r="H268" s="13" t="str">
        <f ca="1"/>
        <v>Coffee</v>
      </c>
      <c r="I268" s="13">
        <f ca="1">IFERROR(__xludf.DUMMYFUNCTION("""COMPUTED_VALUE"""),7)</f>
        <v>7</v>
      </c>
      <c r="J268" s="13">
        <f ca="1">IFERROR(__xludf.DUMMYFUNCTION("""COMPUTED_VALUE"""),9)</f>
        <v>9</v>
      </c>
      <c r="K268" s="13">
        <f ca="1">IFERROR(__xludf.DUMMYFUNCTION("""COMPUTED_VALUE"""),2025)</f>
        <v>2025</v>
      </c>
      <c r="L268" s="15">
        <f ca="1"/>
        <v>45907</v>
      </c>
    </row>
    <row r="269" spans="1:12">
      <c r="A269" s="12" t="str">
        <f ca="1">IFERROR(__xludf.DUMMYFUNCTION("""COMPUTED_VALUE"""),"22-09-2025")</f>
        <v>22-09-2025</v>
      </c>
      <c r="B269" s="13" t="str">
        <f ca="1">IFERROR(__xludf.DUMMYFUNCTION("""COMPUTED_VALUE"""),"Medan")</f>
        <v>Medan</v>
      </c>
      <c r="C269" s="13" t="str">
        <f ca="1">IFERROR(__xludf.DUMMYFUNCTION("""COMPUTED_VALUE"""),"P03")</f>
        <v>P03</v>
      </c>
      <c r="D269" s="13">
        <f ca="1">IFERROR(__xludf.DUMMYFUNCTION("""COMPUTED_VALUE"""),1)</f>
        <v>1</v>
      </c>
      <c r="E269" s="14">
        <f ca="1">IFERROR(__xludf.DUMMYFUNCTION("""COMPUTED_VALUE"""),28000)</f>
        <v>28000</v>
      </c>
      <c r="F269" s="14">
        <f ca="1">IFERROR(__xludf.DUMMYFUNCTION("""COMPUTED_VALUE"""),28000)</f>
        <v>28000</v>
      </c>
      <c r="G269" s="13" t="str">
        <f ca="1"/>
        <v>Espresso</v>
      </c>
      <c r="H269" s="13" t="str">
        <f ca="1"/>
        <v>Coffee</v>
      </c>
      <c r="I269" s="13">
        <f ca="1">IFERROR(__xludf.DUMMYFUNCTION("""COMPUTED_VALUE"""),22)</f>
        <v>22</v>
      </c>
      <c r="J269" s="13">
        <f ca="1">IFERROR(__xludf.DUMMYFUNCTION("""COMPUTED_VALUE"""),9)</f>
        <v>9</v>
      </c>
      <c r="K269" s="13">
        <f ca="1">IFERROR(__xludf.DUMMYFUNCTION("""COMPUTED_VALUE"""),2025)</f>
        <v>2025</v>
      </c>
      <c r="L269" s="15">
        <f ca="1"/>
        <v>45922</v>
      </c>
    </row>
    <row r="270" spans="1:12">
      <c r="A270" s="12" t="str">
        <f ca="1">IFERROR(__xludf.DUMMYFUNCTION("""COMPUTED_VALUE"""),"27-09-2025")</f>
        <v>27-09-2025</v>
      </c>
      <c r="B270" s="13" t="str">
        <f ca="1">IFERROR(__xludf.DUMMYFUNCTION("""COMPUTED_VALUE"""),"Medan")</f>
        <v>Medan</v>
      </c>
      <c r="C270" s="13" t="str">
        <f ca="1">IFERROR(__xludf.DUMMYFUNCTION("""COMPUTED_VALUE"""),"P04")</f>
        <v>P04</v>
      </c>
      <c r="D270" s="13">
        <f ca="1">IFERROR(__xludf.DUMMYFUNCTION("""COMPUTED_VALUE"""),5)</f>
        <v>5</v>
      </c>
      <c r="E270" s="14">
        <f ca="1">IFERROR(__xludf.DUMMYFUNCTION("""COMPUTED_VALUE"""),35000)</f>
        <v>35000</v>
      </c>
      <c r="F270" s="14">
        <f ca="1">IFERROR(__xludf.DUMMYFUNCTION("""COMPUTED_VALUE"""),175000)</f>
        <v>175000</v>
      </c>
      <c r="G270" s="13" t="str">
        <f ca="1"/>
        <v>Americano</v>
      </c>
      <c r="H270" s="13" t="str">
        <f ca="1"/>
        <v>Coffee</v>
      </c>
      <c r="I270" s="13">
        <f ca="1">IFERROR(__xludf.DUMMYFUNCTION("""COMPUTED_VALUE"""),27)</f>
        <v>27</v>
      </c>
      <c r="J270" s="13">
        <f ca="1">IFERROR(__xludf.DUMMYFUNCTION("""COMPUTED_VALUE"""),9)</f>
        <v>9</v>
      </c>
      <c r="K270" s="13">
        <f ca="1">IFERROR(__xludf.DUMMYFUNCTION("""COMPUTED_VALUE"""),2025)</f>
        <v>2025</v>
      </c>
      <c r="L270" s="15">
        <f ca="1"/>
        <v>45927</v>
      </c>
    </row>
    <row r="271" spans="1:12">
      <c r="A271" s="12" t="str">
        <f ca="1">IFERROR(__xludf.DUMMYFUNCTION("""COMPUTED_VALUE"""),"28-09-2025")</f>
        <v>28-09-2025</v>
      </c>
      <c r="B271" s="13" t="str">
        <f ca="1">IFERROR(__xludf.DUMMYFUNCTION("""COMPUTED_VALUE"""),"Medan")</f>
        <v>Medan</v>
      </c>
      <c r="C271" s="13" t="str">
        <f ca="1">IFERROR(__xludf.DUMMYFUNCTION("""COMPUTED_VALUE"""),"P05")</f>
        <v>P05</v>
      </c>
      <c r="D271" s="13">
        <f ca="1">IFERROR(__xludf.DUMMYFUNCTION("""COMPUTED_VALUE"""),5)</f>
        <v>5</v>
      </c>
      <c r="E271" s="14">
        <f ca="1">IFERROR(__xludf.DUMMYFUNCTION("""COMPUTED_VALUE"""),28000)</f>
        <v>28000</v>
      </c>
      <c r="F271" s="14">
        <f ca="1">IFERROR(__xludf.DUMMYFUNCTION("""COMPUTED_VALUE"""),140000)</f>
        <v>140000</v>
      </c>
      <c r="G271" s="13" t="str">
        <f ca="1"/>
        <v>Mocha</v>
      </c>
      <c r="H271" s="13" t="str">
        <f ca="1"/>
        <v>Chocolate</v>
      </c>
      <c r="I271" s="13">
        <f ca="1">IFERROR(__xludf.DUMMYFUNCTION("""COMPUTED_VALUE"""),28)</f>
        <v>28</v>
      </c>
      <c r="J271" s="13">
        <f ca="1">IFERROR(__xludf.DUMMYFUNCTION("""COMPUTED_VALUE"""),9)</f>
        <v>9</v>
      </c>
      <c r="K271" s="13">
        <f ca="1">IFERROR(__xludf.DUMMYFUNCTION("""COMPUTED_VALUE"""),2025)</f>
        <v>2025</v>
      </c>
      <c r="L271" s="15">
        <f ca="1"/>
        <v>45928</v>
      </c>
    </row>
    <row r="272" spans="1:12">
      <c r="A272" s="12" t="str">
        <f ca="1">IFERROR(__xludf.DUMMYFUNCTION("""COMPUTED_VALUE"""),"19-09-2025")</f>
        <v>19-09-2025</v>
      </c>
      <c r="B272" s="13" t="str">
        <f ca="1">IFERROR(__xludf.DUMMYFUNCTION("""COMPUTED_VALUE"""),"Medan")</f>
        <v>Medan</v>
      </c>
      <c r="C272" s="13" t="str">
        <f ca="1">IFERROR(__xludf.DUMMYFUNCTION("""COMPUTED_VALUE"""),"P01")</f>
        <v>P01</v>
      </c>
      <c r="D272" s="13">
        <f ca="1">IFERROR(__xludf.DUMMYFUNCTION("""COMPUTED_VALUE"""),3)</f>
        <v>3</v>
      </c>
      <c r="E272" s="14">
        <f ca="1">IFERROR(__xludf.DUMMYFUNCTION("""COMPUTED_VALUE"""),25000)</f>
        <v>25000</v>
      </c>
      <c r="F272" s="14">
        <f ca="1">IFERROR(__xludf.DUMMYFUNCTION("""COMPUTED_VALUE"""),75000)</f>
        <v>75000</v>
      </c>
      <c r="G272" s="13" t="str">
        <f ca="1"/>
        <v>Cappuccino</v>
      </c>
      <c r="H272" s="13" t="str">
        <f ca="1"/>
        <v>Coffee</v>
      </c>
      <c r="I272" s="13">
        <f ca="1">IFERROR(__xludf.DUMMYFUNCTION("""COMPUTED_VALUE"""),19)</f>
        <v>19</v>
      </c>
      <c r="J272" s="13">
        <f ca="1">IFERROR(__xludf.DUMMYFUNCTION("""COMPUTED_VALUE"""),9)</f>
        <v>9</v>
      </c>
      <c r="K272" s="13">
        <f ca="1">IFERROR(__xludf.DUMMYFUNCTION("""COMPUTED_VALUE"""),2025)</f>
        <v>2025</v>
      </c>
      <c r="L272" s="15">
        <f ca="1"/>
        <v>45919</v>
      </c>
    </row>
    <row r="273" spans="1:12">
      <c r="A273" s="12" t="str">
        <f ca="1">IFERROR(__xludf.DUMMYFUNCTION("""COMPUTED_VALUE"""),"18-09-2025")</f>
        <v>18-09-2025</v>
      </c>
      <c r="B273" s="13" t="str">
        <f ca="1">IFERROR(__xludf.DUMMYFUNCTION("""COMPUTED_VALUE"""),"Medan")</f>
        <v>Medan</v>
      </c>
      <c r="C273" s="13" t="str">
        <f ca="1">IFERROR(__xludf.DUMMYFUNCTION("""COMPUTED_VALUE"""),"P02")</f>
        <v>P02</v>
      </c>
      <c r="D273" s="13">
        <f ca="1">IFERROR(__xludf.DUMMYFUNCTION("""COMPUTED_VALUE"""),2)</f>
        <v>2</v>
      </c>
      <c r="E273" s="14">
        <f ca="1">IFERROR(__xludf.DUMMYFUNCTION("""COMPUTED_VALUE"""),28000)</f>
        <v>28000</v>
      </c>
      <c r="F273" s="14">
        <f ca="1">IFERROR(__xludf.DUMMYFUNCTION("""COMPUTED_VALUE"""),56000)</f>
        <v>56000</v>
      </c>
      <c r="G273" s="13" t="str">
        <f ca="1"/>
        <v>Latte</v>
      </c>
      <c r="H273" s="13" t="str">
        <f ca="1"/>
        <v>Coffee</v>
      </c>
      <c r="I273" s="13">
        <f ca="1">IFERROR(__xludf.DUMMYFUNCTION("""COMPUTED_VALUE"""),18)</f>
        <v>18</v>
      </c>
      <c r="J273" s="13">
        <f ca="1">IFERROR(__xludf.DUMMYFUNCTION("""COMPUTED_VALUE"""),9)</f>
        <v>9</v>
      </c>
      <c r="K273" s="13">
        <f ca="1">IFERROR(__xludf.DUMMYFUNCTION("""COMPUTED_VALUE"""),2025)</f>
        <v>2025</v>
      </c>
      <c r="L273" s="15">
        <f ca="1"/>
        <v>45918</v>
      </c>
    </row>
    <row r="274" spans="1:12">
      <c r="A274" s="12" t="str">
        <f ca="1">IFERROR(__xludf.DUMMYFUNCTION("""COMPUTED_VALUE"""),"15-09-2025")</f>
        <v>15-09-2025</v>
      </c>
      <c r="B274" s="13" t="str">
        <f ca="1">IFERROR(__xludf.DUMMYFUNCTION("""COMPUTED_VALUE"""),"Medan")</f>
        <v>Medan</v>
      </c>
      <c r="C274" s="13" t="str">
        <f ca="1">IFERROR(__xludf.DUMMYFUNCTION("""COMPUTED_VALUE"""),"P03")</f>
        <v>P03</v>
      </c>
      <c r="D274" s="13">
        <f ca="1">IFERROR(__xludf.DUMMYFUNCTION("""COMPUTED_VALUE"""),4)</f>
        <v>4</v>
      </c>
      <c r="E274" s="14">
        <f ca="1">IFERROR(__xludf.DUMMYFUNCTION("""COMPUTED_VALUE"""),25000)</f>
        <v>25000</v>
      </c>
      <c r="F274" s="14">
        <f ca="1">IFERROR(__xludf.DUMMYFUNCTION("""COMPUTED_VALUE"""),100000)</f>
        <v>100000</v>
      </c>
      <c r="G274" s="13" t="str">
        <f ca="1"/>
        <v>Espresso</v>
      </c>
      <c r="H274" s="13" t="str">
        <f ca="1"/>
        <v>Coffee</v>
      </c>
      <c r="I274" s="13">
        <f ca="1">IFERROR(__xludf.DUMMYFUNCTION("""COMPUTED_VALUE"""),15)</f>
        <v>15</v>
      </c>
      <c r="J274" s="13">
        <f ca="1">IFERROR(__xludf.DUMMYFUNCTION("""COMPUTED_VALUE"""),9)</f>
        <v>9</v>
      </c>
      <c r="K274" s="13">
        <f ca="1">IFERROR(__xludf.DUMMYFUNCTION("""COMPUTED_VALUE"""),2025)</f>
        <v>2025</v>
      </c>
      <c r="L274" s="15">
        <f ca="1"/>
        <v>45915</v>
      </c>
    </row>
    <row r="275" spans="1:12">
      <c r="A275" s="12" t="str">
        <f ca="1">IFERROR(__xludf.DUMMYFUNCTION("""COMPUTED_VALUE"""),"15-09-2025")</f>
        <v>15-09-2025</v>
      </c>
      <c r="B275" s="13" t="str">
        <f ca="1">IFERROR(__xludf.DUMMYFUNCTION("""COMPUTED_VALUE"""),"Medan")</f>
        <v>Medan</v>
      </c>
      <c r="C275" s="13" t="str">
        <f ca="1">IFERROR(__xludf.DUMMYFUNCTION("""COMPUTED_VALUE"""),"P04")</f>
        <v>P04</v>
      </c>
      <c r="D275" s="13">
        <f ca="1">IFERROR(__xludf.DUMMYFUNCTION("""COMPUTED_VALUE"""),3)</f>
        <v>3</v>
      </c>
      <c r="E275" s="14">
        <f ca="1">IFERROR(__xludf.DUMMYFUNCTION("""COMPUTED_VALUE"""),28000)</f>
        <v>28000</v>
      </c>
      <c r="F275" s="14">
        <f ca="1">IFERROR(__xludf.DUMMYFUNCTION("""COMPUTED_VALUE"""),84000)</f>
        <v>84000</v>
      </c>
      <c r="G275" s="13" t="str">
        <f ca="1"/>
        <v>Americano</v>
      </c>
      <c r="H275" s="13" t="str">
        <f ca="1"/>
        <v>Coffee</v>
      </c>
      <c r="I275" s="13">
        <f ca="1">IFERROR(__xludf.DUMMYFUNCTION("""COMPUTED_VALUE"""),15)</f>
        <v>15</v>
      </c>
      <c r="J275" s="13">
        <f ca="1">IFERROR(__xludf.DUMMYFUNCTION("""COMPUTED_VALUE"""),9)</f>
        <v>9</v>
      </c>
      <c r="K275" s="13">
        <f ca="1">IFERROR(__xludf.DUMMYFUNCTION("""COMPUTED_VALUE"""),2025)</f>
        <v>2025</v>
      </c>
      <c r="L275" s="15">
        <f ca="1"/>
        <v>45915</v>
      </c>
    </row>
    <row r="276" spans="1:12">
      <c r="A276" s="12" t="str">
        <f ca="1">IFERROR(__xludf.DUMMYFUNCTION("""COMPUTED_VALUE"""),"22-09-2025")</f>
        <v>22-09-2025</v>
      </c>
      <c r="B276" s="13" t="str">
        <f ca="1">IFERROR(__xludf.DUMMYFUNCTION("""COMPUTED_VALUE"""),"Medan")</f>
        <v>Medan</v>
      </c>
      <c r="C276" s="13" t="str">
        <f ca="1">IFERROR(__xludf.DUMMYFUNCTION("""COMPUTED_VALUE"""),"P05")</f>
        <v>P05</v>
      </c>
      <c r="D276" s="13">
        <f ca="1">IFERROR(__xludf.DUMMYFUNCTION("""COMPUTED_VALUE"""),1)</f>
        <v>1</v>
      </c>
      <c r="E276" s="14">
        <f ca="1">IFERROR(__xludf.DUMMYFUNCTION("""COMPUTED_VALUE"""),30000)</f>
        <v>30000</v>
      </c>
      <c r="F276" s="14">
        <f ca="1">IFERROR(__xludf.DUMMYFUNCTION("""COMPUTED_VALUE"""),30000)</f>
        <v>30000</v>
      </c>
      <c r="G276" s="13" t="str">
        <f ca="1"/>
        <v>Mocha</v>
      </c>
      <c r="H276" s="13" t="str">
        <f ca="1"/>
        <v>Chocolate</v>
      </c>
      <c r="I276" s="13">
        <f ca="1">IFERROR(__xludf.DUMMYFUNCTION("""COMPUTED_VALUE"""),22)</f>
        <v>22</v>
      </c>
      <c r="J276" s="13">
        <f ca="1">IFERROR(__xludf.DUMMYFUNCTION("""COMPUTED_VALUE"""),9)</f>
        <v>9</v>
      </c>
      <c r="K276" s="13">
        <f ca="1">IFERROR(__xludf.DUMMYFUNCTION("""COMPUTED_VALUE"""),2025)</f>
        <v>2025</v>
      </c>
      <c r="L276" s="15">
        <f ca="1"/>
        <v>45922</v>
      </c>
    </row>
    <row r="277" spans="1:12">
      <c r="A277" s="12" t="str">
        <f ca="1">IFERROR(__xludf.DUMMYFUNCTION("""COMPUTED_VALUE"""),"11-09-2025")</f>
        <v>11-09-2025</v>
      </c>
      <c r="B277" s="13" t="str">
        <f ca="1">IFERROR(__xludf.DUMMYFUNCTION("""COMPUTED_VALUE"""),"Medan")</f>
        <v>Medan</v>
      </c>
      <c r="C277" s="13" t="str">
        <f ca="1">IFERROR(__xludf.DUMMYFUNCTION("""COMPUTED_VALUE"""),"P01")</f>
        <v>P01</v>
      </c>
      <c r="D277" s="13">
        <f ca="1">IFERROR(__xludf.DUMMYFUNCTION("""COMPUTED_VALUE"""),1)</f>
        <v>1</v>
      </c>
      <c r="E277" s="14">
        <f ca="1">IFERROR(__xludf.DUMMYFUNCTION("""COMPUTED_VALUE"""),25000)</f>
        <v>25000</v>
      </c>
      <c r="F277" s="14">
        <f ca="1">IFERROR(__xludf.DUMMYFUNCTION("""COMPUTED_VALUE"""),25000)</f>
        <v>25000</v>
      </c>
      <c r="G277" s="13" t="str">
        <f ca="1"/>
        <v>Cappuccino</v>
      </c>
      <c r="H277" s="13" t="str">
        <f ca="1"/>
        <v>Coffee</v>
      </c>
      <c r="I277" s="13">
        <f ca="1">IFERROR(__xludf.DUMMYFUNCTION("""COMPUTED_VALUE"""),11)</f>
        <v>11</v>
      </c>
      <c r="J277" s="13">
        <f ca="1">IFERROR(__xludf.DUMMYFUNCTION("""COMPUTED_VALUE"""),9)</f>
        <v>9</v>
      </c>
      <c r="K277" s="13">
        <f ca="1">IFERROR(__xludf.DUMMYFUNCTION("""COMPUTED_VALUE"""),2025)</f>
        <v>2025</v>
      </c>
      <c r="L277" s="15">
        <f ca="1"/>
        <v>45911</v>
      </c>
    </row>
    <row r="278" spans="1:12">
      <c r="A278" s="12" t="str">
        <f ca="1">IFERROR(__xludf.DUMMYFUNCTION("""COMPUTED_VALUE"""),"25-09-2025")</f>
        <v>25-09-2025</v>
      </c>
      <c r="B278" s="13" t="str">
        <f ca="1">IFERROR(__xludf.DUMMYFUNCTION("""COMPUTED_VALUE"""),"Medan")</f>
        <v>Medan</v>
      </c>
      <c r="C278" s="13" t="str">
        <f ca="1">IFERROR(__xludf.DUMMYFUNCTION("""COMPUTED_VALUE"""),"P02")</f>
        <v>P02</v>
      </c>
      <c r="D278" s="13">
        <f ca="1">IFERROR(__xludf.DUMMYFUNCTION("""COMPUTED_VALUE"""),5)</f>
        <v>5</v>
      </c>
      <c r="E278" s="14">
        <f ca="1">IFERROR(__xludf.DUMMYFUNCTION("""COMPUTED_VALUE"""),20000)</f>
        <v>20000</v>
      </c>
      <c r="F278" s="14">
        <f ca="1">IFERROR(__xludf.DUMMYFUNCTION("""COMPUTED_VALUE"""),100000)</f>
        <v>100000</v>
      </c>
      <c r="G278" s="13" t="str">
        <f ca="1"/>
        <v>Latte</v>
      </c>
      <c r="H278" s="13" t="str">
        <f ca="1"/>
        <v>Coffee</v>
      </c>
      <c r="I278" s="13">
        <f ca="1">IFERROR(__xludf.DUMMYFUNCTION("""COMPUTED_VALUE"""),25)</f>
        <v>25</v>
      </c>
      <c r="J278" s="13">
        <f ca="1">IFERROR(__xludf.DUMMYFUNCTION("""COMPUTED_VALUE"""),9)</f>
        <v>9</v>
      </c>
      <c r="K278" s="13">
        <f ca="1">IFERROR(__xludf.DUMMYFUNCTION("""COMPUTED_VALUE"""),2025)</f>
        <v>2025</v>
      </c>
      <c r="L278" s="15">
        <f ca="1"/>
        <v>45925</v>
      </c>
    </row>
    <row r="279" spans="1:12">
      <c r="A279" s="12" t="str">
        <f ca="1">IFERROR(__xludf.DUMMYFUNCTION("""COMPUTED_VALUE"""),"09-09-2025")</f>
        <v>09-09-2025</v>
      </c>
      <c r="B279" s="13" t="str">
        <f ca="1">IFERROR(__xludf.DUMMYFUNCTION("""COMPUTED_VALUE"""),"Medan")</f>
        <v>Medan</v>
      </c>
      <c r="C279" s="13" t="str">
        <f ca="1">IFERROR(__xludf.DUMMYFUNCTION("""COMPUTED_VALUE"""),"P03")</f>
        <v>P03</v>
      </c>
      <c r="D279" s="13">
        <f ca="1">IFERROR(__xludf.DUMMYFUNCTION("""COMPUTED_VALUE"""),3)</f>
        <v>3</v>
      </c>
      <c r="E279" s="14">
        <f ca="1">IFERROR(__xludf.DUMMYFUNCTION("""COMPUTED_VALUE"""),35000)</f>
        <v>35000</v>
      </c>
      <c r="F279" s="14">
        <f ca="1">IFERROR(__xludf.DUMMYFUNCTION("""COMPUTED_VALUE"""),105000)</f>
        <v>105000</v>
      </c>
      <c r="G279" s="13" t="str">
        <f ca="1"/>
        <v>Espresso</v>
      </c>
      <c r="H279" s="13" t="str">
        <f ca="1"/>
        <v>Coffee</v>
      </c>
      <c r="I279" s="13">
        <f ca="1">IFERROR(__xludf.DUMMYFUNCTION("""COMPUTED_VALUE"""),9)</f>
        <v>9</v>
      </c>
      <c r="J279" s="13">
        <f ca="1">IFERROR(__xludf.DUMMYFUNCTION("""COMPUTED_VALUE"""),9)</f>
        <v>9</v>
      </c>
      <c r="K279" s="13">
        <f ca="1">IFERROR(__xludf.DUMMYFUNCTION("""COMPUTED_VALUE"""),2025)</f>
        <v>2025</v>
      </c>
      <c r="L279" s="15">
        <f ca="1"/>
        <v>45909</v>
      </c>
    </row>
    <row r="280" spans="1:12">
      <c r="A280" s="12" t="str">
        <f ca="1">IFERROR(__xludf.DUMMYFUNCTION("""COMPUTED_VALUE"""),"18-09-2025")</f>
        <v>18-09-2025</v>
      </c>
      <c r="B280" s="13" t="str">
        <f ca="1">IFERROR(__xludf.DUMMYFUNCTION("""COMPUTED_VALUE"""),"Medan")</f>
        <v>Medan</v>
      </c>
      <c r="C280" s="13" t="str">
        <f ca="1">IFERROR(__xludf.DUMMYFUNCTION("""COMPUTED_VALUE"""),"P04")</f>
        <v>P04</v>
      </c>
      <c r="D280" s="13">
        <f ca="1">IFERROR(__xludf.DUMMYFUNCTION("""COMPUTED_VALUE"""),2)</f>
        <v>2</v>
      </c>
      <c r="E280" s="14">
        <f ca="1">IFERROR(__xludf.DUMMYFUNCTION("""COMPUTED_VALUE"""),30000)</f>
        <v>30000</v>
      </c>
      <c r="F280" s="14">
        <f ca="1">IFERROR(__xludf.DUMMYFUNCTION("""COMPUTED_VALUE"""),60000)</f>
        <v>60000</v>
      </c>
      <c r="G280" s="13" t="str">
        <f ca="1"/>
        <v>Americano</v>
      </c>
      <c r="H280" s="13" t="str">
        <f ca="1"/>
        <v>Coffee</v>
      </c>
      <c r="I280" s="13">
        <f ca="1">IFERROR(__xludf.DUMMYFUNCTION("""COMPUTED_VALUE"""),18)</f>
        <v>18</v>
      </c>
      <c r="J280" s="13">
        <f ca="1">IFERROR(__xludf.DUMMYFUNCTION("""COMPUTED_VALUE"""),9)</f>
        <v>9</v>
      </c>
      <c r="K280" s="13">
        <f ca="1">IFERROR(__xludf.DUMMYFUNCTION("""COMPUTED_VALUE"""),2025)</f>
        <v>2025</v>
      </c>
      <c r="L280" s="15">
        <f ca="1"/>
        <v>45918</v>
      </c>
    </row>
    <row r="281" spans="1:12">
      <c r="A281" s="12" t="str">
        <f ca="1">IFERROR(__xludf.DUMMYFUNCTION("""COMPUTED_VALUE"""),"19-09-2025")</f>
        <v>19-09-2025</v>
      </c>
      <c r="B281" s="13" t="str">
        <f ca="1">IFERROR(__xludf.DUMMYFUNCTION("""COMPUTED_VALUE"""),"Medan")</f>
        <v>Medan</v>
      </c>
      <c r="C281" s="13" t="str">
        <f ca="1">IFERROR(__xludf.DUMMYFUNCTION("""COMPUTED_VALUE"""),"P05")</f>
        <v>P05</v>
      </c>
      <c r="D281" s="13">
        <f ca="1">IFERROR(__xludf.DUMMYFUNCTION("""COMPUTED_VALUE"""),1)</f>
        <v>1</v>
      </c>
      <c r="E281" s="14">
        <f ca="1">IFERROR(__xludf.DUMMYFUNCTION("""COMPUTED_VALUE"""),30000)</f>
        <v>30000</v>
      </c>
      <c r="F281" s="14">
        <f ca="1">IFERROR(__xludf.DUMMYFUNCTION("""COMPUTED_VALUE"""),30000)</f>
        <v>30000</v>
      </c>
      <c r="G281" s="13" t="str">
        <f ca="1"/>
        <v>Mocha</v>
      </c>
      <c r="H281" s="13" t="str">
        <f ca="1"/>
        <v>Chocolate</v>
      </c>
      <c r="I281" s="13">
        <f ca="1">IFERROR(__xludf.DUMMYFUNCTION("""COMPUTED_VALUE"""),19)</f>
        <v>19</v>
      </c>
      <c r="J281" s="13">
        <f ca="1">IFERROR(__xludf.DUMMYFUNCTION("""COMPUTED_VALUE"""),9)</f>
        <v>9</v>
      </c>
      <c r="K281" s="13">
        <f ca="1">IFERROR(__xludf.DUMMYFUNCTION("""COMPUTED_VALUE"""),2025)</f>
        <v>2025</v>
      </c>
      <c r="L281" s="15">
        <f ca="1"/>
        <v>45919</v>
      </c>
    </row>
    <row r="282" spans="1:12">
      <c r="A282" s="12" t="str">
        <f ca="1">IFERROR(__xludf.DUMMYFUNCTION("""COMPUTED_VALUE"""),"12-09-2025")</f>
        <v>12-09-2025</v>
      </c>
      <c r="B282" s="13" t="str">
        <f ca="1">IFERROR(__xludf.DUMMYFUNCTION("""COMPUTED_VALUE"""),"Medan")</f>
        <v>Medan</v>
      </c>
      <c r="C282" s="13" t="str">
        <f ca="1">IFERROR(__xludf.DUMMYFUNCTION("""COMPUTED_VALUE"""),"P01")</f>
        <v>P01</v>
      </c>
      <c r="D282" s="13">
        <f ca="1">IFERROR(__xludf.DUMMYFUNCTION("""COMPUTED_VALUE"""),5)</f>
        <v>5</v>
      </c>
      <c r="E282" s="14">
        <f ca="1">IFERROR(__xludf.DUMMYFUNCTION("""COMPUTED_VALUE"""),35000)</f>
        <v>35000</v>
      </c>
      <c r="F282" s="14">
        <f ca="1">IFERROR(__xludf.DUMMYFUNCTION("""COMPUTED_VALUE"""),175000)</f>
        <v>175000</v>
      </c>
      <c r="G282" s="13" t="str">
        <f ca="1"/>
        <v>Cappuccino</v>
      </c>
      <c r="H282" s="13" t="str">
        <f ca="1"/>
        <v>Coffee</v>
      </c>
      <c r="I282" s="13">
        <f ca="1">IFERROR(__xludf.DUMMYFUNCTION("""COMPUTED_VALUE"""),12)</f>
        <v>12</v>
      </c>
      <c r="J282" s="13">
        <f ca="1">IFERROR(__xludf.DUMMYFUNCTION("""COMPUTED_VALUE"""),9)</f>
        <v>9</v>
      </c>
      <c r="K282" s="13">
        <f ca="1">IFERROR(__xludf.DUMMYFUNCTION("""COMPUTED_VALUE"""),2025)</f>
        <v>2025</v>
      </c>
      <c r="L282" s="15">
        <f ca="1"/>
        <v>45912</v>
      </c>
    </row>
    <row r="283" spans="1:12">
      <c r="A283" s="12" t="str">
        <f ca="1">IFERROR(__xludf.DUMMYFUNCTION("""COMPUTED_VALUE"""),"19-09-2025")</f>
        <v>19-09-2025</v>
      </c>
      <c r="B283" s="13" t="str">
        <f ca="1">IFERROR(__xludf.DUMMYFUNCTION("""COMPUTED_VALUE"""),"Medan")</f>
        <v>Medan</v>
      </c>
      <c r="C283" s="13" t="str">
        <f ca="1">IFERROR(__xludf.DUMMYFUNCTION("""COMPUTED_VALUE"""),"P02")</f>
        <v>P02</v>
      </c>
      <c r="D283" s="13">
        <f ca="1">IFERROR(__xludf.DUMMYFUNCTION("""COMPUTED_VALUE"""),5)</f>
        <v>5</v>
      </c>
      <c r="E283" s="14">
        <f ca="1">IFERROR(__xludf.DUMMYFUNCTION("""COMPUTED_VALUE"""),28000)</f>
        <v>28000</v>
      </c>
      <c r="F283" s="14">
        <f ca="1">IFERROR(__xludf.DUMMYFUNCTION("""COMPUTED_VALUE"""),140000)</f>
        <v>140000</v>
      </c>
      <c r="G283" s="13" t="str">
        <f ca="1"/>
        <v>Latte</v>
      </c>
      <c r="H283" s="13" t="str">
        <f ca="1"/>
        <v>Coffee</v>
      </c>
      <c r="I283" s="13">
        <f ca="1">IFERROR(__xludf.DUMMYFUNCTION("""COMPUTED_VALUE"""),19)</f>
        <v>19</v>
      </c>
      <c r="J283" s="13">
        <f ca="1">IFERROR(__xludf.DUMMYFUNCTION("""COMPUTED_VALUE"""),9)</f>
        <v>9</v>
      </c>
      <c r="K283" s="13">
        <f ca="1">IFERROR(__xludf.DUMMYFUNCTION("""COMPUTED_VALUE"""),2025)</f>
        <v>2025</v>
      </c>
      <c r="L283" s="15">
        <f ca="1"/>
        <v>45919</v>
      </c>
    </row>
    <row r="284" spans="1:12">
      <c r="A284" s="12" t="str">
        <f ca="1">IFERROR(__xludf.DUMMYFUNCTION("""COMPUTED_VALUE"""),"13-09-2025")</f>
        <v>13-09-2025</v>
      </c>
      <c r="B284" s="13" t="str">
        <f ca="1">IFERROR(__xludf.DUMMYFUNCTION("""COMPUTED_VALUE"""),"Medan")</f>
        <v>Medan</v>
      </c>
      <c r="C284" s="13" t="str">
        <f ca="1">IFERROR(__xludf.DUMMYFUNCTION("""COMPUTED_VALUE"""),"P03")</f>
        <v>P03</v>
      </c>
      <c r="D284" s="13">
        <f ca="1">IFERROR(__xludf.DUMMYFUNCTION("""COMPUTED_VALUE"""),1)</f>
        <v>1</v>
      </c>
      <c r="E284" s="14">
        <f ca="1">IFERROR(__xludf.DUMMYFUNCTION("""COMPUTED_VALUE"""),25000)</f>
        <v>25000</v>
      </c>
      <c r="F284" s="14">
        <f ca="1">IFERROR(__xludf.DUMMYFUNCTION("""COMPUTED_VALUE"""),25000)</f>
        <v>25000</v>
      </c>
      <c r="G284" s="13" t="str">
        <f ca="1"/>
        <v>Espresso</v>
      </c>
      <c r="H284" s="13" t="str">
        <f ca="1"/>
        <v>Coffee</v>
      </c>
      <c r="I284" s="13">
        <f ca="1">IFERROR(__xludf.DUMMYFUNCTION("""COMPUTED_VALUE"""),13)</f>
        <v>13</v>
      </c>
      <c r="J284" s="13">
        <f ca="1">IFERROR(__xludf.DUMMYFUNCTION("""COMPUTED_VALUE"""),9)</f>
        <v>9</v>
      </c>
      <c r="K284" s="13">
        <f ca="1">IFERROR(__xludf.DUMMYFUNCTION("""COMPUTED_VALUE"""),2025)</f>
        <v>2025</v>
      </c>
      <c r="L284" s="15">
        <f ca="1"/>
        <v>45913</v>
      </c>
    </row>
    <row r="285" spans="1:12">
      <c r="A285" s="12" t="str">
        <f ca="1">IFERROR(__xludf.DUMMYFUNCTION("""COMPUTED_VALUE"""),"03-09-2025")</f>
        <v>03-09-2025</v>
      </c>
      <c r="B285" s="13" t="str">
        <f ca="1">IFERROR(__xludf.DUMMYFUNCTION("""COMPUTED_VALUE"""),"Medan")</f>
        <v>Medan</v>
      </c>
      <c r="C285" s="13" t="str">
        <f ca="1">IFERROR(__xludf.DUMMYFUNCTION("""COMPUTED_VALUE"""),"P04")</f>
        <v>P04</v>
      </c>
      <c r="D285" s="13">
        <f ca="1">IFERROR(__xludf.DUMMYFUNCTION("""COMPUTED_VALUE"""),2)</f>
        <v>2</v>
      </c>
      <c r="E285" s="14">
        <f ca="1">IFERROR(__xludf.DUMMYFUNCTION("""COMPUTED_VALUE"""),25000)</f>
        <v>25000</v>
      </c>
      <c r="F285" s="14">
        <f ca="1">IFERROR(__xludf.DUMMYFUNCTION("""COMPUTED_VALUE"""),50000)</f>
        <v>50000</v>
      </c>
      <c r="G285" s="13" t="str">
        <f ca="1"/>
        <v>Americano</v>
      </c>
      <c r="H285" s="13" t="str">
        <f ca="1"/>
        <v>Coffee</v>
      </c>
      <c r="I285" s="13">
        <f ca="1">IFERROR(__xludf.DUMMYFUNCTION("""COMPUTED_VALUE"""),3)</f>
        <v>3</v>
      </c>
      <c r="J285" s="13">
        <f ca="1">IFERROR(__xludf.DUMMYFUNCTION("""COMPUTED_VALUE"""),9)</f>
        <v>9</v>
      </c>
      <c r="K285" s="13">
        <f ca="1">IFERROR(__xludf.DUMMYFUNCTION("""COMPUTED_VALUE"""),2025)</f>
        <v>2025</v>
      </c>
      <c r="L285" s="15">
        <f ca="1"/>
        <v>45903</v>
      </c>
    </row>
    <row r="286" spans="1:12">
      <c r="A286" s="12" t="str">
        <f ca="1">IFERROR(__xludf.DUMMYFUNCTION("""COMPUTED_VALUE"""),"21-09-2025")</f>
        <v>21-09-2025</v>
      </c>
      <c r="B286" s="13" t="str">
        <f ca="1">IFERROR(__xludf.DUMMYFUNCTION("""COMPUTED_VALUE"""),"Medan")</f>
        <v>Medan</v>
      </c>
      <c r="C286" s="13" t="str">
        <f ca="1">IFERROR(__xludf.DUMMYFUNCTION("""COMPUTED_VALUE"""),"P05")</f>
        <v>P05</v>
      </c>
      <c r="D286" s="13">
        <f ca="1">IFERROR(__xludf.DUMMYFUNCTION("""COMPUTED_VALUE"""),4)</f>
        <v>4</v>
      </c>
      <c r="E286" s="14">
        <f ca="1">IFERROR(__xludf.DUMMYFUNCTION("""COMPUTED_VALUE"""),28000)</f>
        <v>28000</v>
      </c>
      <c r="F286" s="14">
        <f ca="1">IFERROR(__xludf.DUMMYFUNCTION("""COMPUTED_VALUE"""),112000)</f>
        <v>112000</v>
      </c>
      <c r="G286" s="13" t="str">
        <f ca="1"/>
        <v>Mocha</v>
      </c>
      <c r="H286" s="13" t="str">
        <f ca="1"/>
        <v>Chocolate</v>
      </c>
      <c r="I286" s="13">
        <f ca="1">IFERROR(__xludf.DUMMYFUNCTION("""COMPUTED_VALUE"""),21)</f>
        <v>21</v>
      </c>
      <c r="J286" s="13">
        <f ca="1">IFERROR(__xludf.DUMMYFUNCTION("""COMPUTED_VALUE"""),9)</f>
        <v>9</v>
      </c>
      <c r="K286" s="13">
        <f ca="1">IFERROR(__xludf.DUMMYFUNCTION("""COMPUTED_VALUE"""),2025)</f>
        <v>2025</v>
      </c>
      <c r="L286" s="15">
        <f ca="1"/>
        <v>45921</v>
      </c>
    </row>
    <row r="287" spans="1:12">
      <c r="A287" s="12" t="str">
        <f ca="1">IFERROR(__xludf.DUMMYFUNCTION("""COMPUTED_VALUE"""),"09-09-2025")</f>
        <v>09-09-2025</v>
      </c>
      <c r="B287" s="13" t="str">
        <f ca="1">IFERROR(__xludf.DUMMYFUNCTION("""COMPUTED_VALUE"""),"Medan")</f>
        <v>Medan</v>
      </c>
      <c r="C287" s="13" t="str">
        <f ca="1">IFERROR(__xludf.DUMMYFUNCTION("""COMPUTED_VALUE"""),"P01")</f>
        <v>P01</v>
      </c>
      <c r="D287" s="13">
        <f ca="1">IFERROR(__xludf.DUMMYFUNCTION("""COMPUTED_VALUE"""),4)</f>
        <v>4</v>
      </c>
      <c r="E287" s="14">
        <f ca="1">IFERROR(__xludf.DUMMYFUNCTION("""COMPUTED_VALUE"""),25000)</f>
        <v>25000</v>
      </c>
      <c r="F287" s="14">
        <f ca="1">IFERROR(__xludf.DUMMYFUNCTION("""COMPUTED_VALUE"""),100000)</f>
        <v>100000</v>
      </c>
      <c r="G287" s="13" t="str">
        <f ca="1"/>
        <v>Cappuccino</v>
      </c>
      <c r="H287" s="13" t="str">
        <f ca="1"/>
        <v>Coffee</v>
      </c>
      <c r="I287" s="13">
        <f ca="1">IFERROR(__xludf.DUMMYFUNCTION("""COMPUTED_VALUE"""),9)</f>
        <v>9</v>
      </c>
      <c r="J287" s="13">
        <f ca="1">IFERROR(__xludf.DUMMYFUNCTION("""COMPUTED_VALUE"""),9)</f>
        <v>9</v>
      </c>
      <c r="K287" s="13">
        <f ca="1">IFERROR(__xludf.DUMMYFUNCTION("""COMPUTED_VALUE"""),2025)</f>
        <v>2025</v>
      </c>
      <c r="L287" s="15">
        <f ca="1"/>
        <v>45909</v>
      </c>
    </row>
    <row r="288" spans="1:12">
      <c r="A288" s="12" t="str">
        <f ca="1">IFERROR(__xludf.DUMMYFUNCTION("""COMPUTED_VALUE"""),"24-09-2025")</f>
        <v>24-09-2025</v>
      </c>
      <c r="B288" s="13" t="str">
        <f ca="1">IFERROR(__xludf.DUMMYFUNCTION("""COMPUTED_VALUE"""),"Medan")</f>
        <v>Medan</v>
      </c>
      <c r="C288" s="13" t="str">
        <f ca="1">IFERROR(__xludf.DUMMYFUNCTION("""COMPUTED_VALUE"""),"P02")</f>
        <v>P02</v>
      </c>
      <c r="D288" s="13">
        <f ca="1">IFERROR(__xludf.DUMMYFUNCTION("""COMPUTED_VALUE"""),5)</f>
        <v>5</v>
      </c>
      <c r="E288" s="14">
        <f ca="1">IFERROR(__xludf.DUMMYFUNCTION("""COMPUTED_VALUE"""),30000)</f>
        <v>30000</v>
      </c>
      <c r="F288" s="14">
        <f ca="1">IFERROR(__xludf.DUMMYFUNCTION("""COMPUTED_VALUE"""),150000)</f>
        <v>150000</v>
      </c>
      <c r="G288" s="13" t="str">
        <f ca="1"/>
        <v>Latte</v>
      </c>
      <c r="H288" s="13" t="str">
        <f ca="1"/>
        <v>Coffee</v>
      </c>
      <c r="I288" s="13">
        <f ca="1">IFERROR(__xludf.DUMMYFUNCTION("""COMPUTED_VALUE"""),24)</f>
        <v>24</v>
      </c>
      <c r="J288" s="13">
        <f ca="1">IFERROR(__xludf.DUMMYFUNCTION("""COMPUTED_VALUE"""),9)</f>
        <v>9</v>
      </c>
      <c r="K288" s="13">
        <f ca="1">IFERROR(__xludf.DUMMYFUNCTION("""COMPUTED_VALUE"""),2025)</f>
        <v>2025</v>
      </c>
      <c r="L288" s="15">
        <f ca="1"/>
        <v>45924</v>
      </c>
    </row>
    <row r="289" spans="1:12">
      <c r="A289" s="12" t="str">
        <f ca="1">IFERROR(__xludf.DUMMYFUNCTION("""COMPUTED_VALUE"""),"05-09-2025")</f>
        <v>05-09-2025</v>
      </c>
      <c r="B289" s="13" t="str">
        <f ca="1">IFERROR(__xludf.DUMMYFUNCTION("""COMPUTED_VALUE"""),"Medan")</f>
        <v>Medan</v>
      </c>
      <c r="C289" s="13" t="str">
        <f ca="1">IFERROR(__xludf.DUMMYFUNCTION("""COMPUTED_VALUE"""),"P03")</f>
        <v>P03</v>
      </c>
      <c r="D289" s="13">
        <f ca="1">IFERROR(__xludf.DUMMYFUNCTION("""COMPUTED_VALUE"""),2)</f>
        <v>2</v>
      </c>
      <c r="E289" s="14">
        <f ca="1">IFERROR(__xludf.DUMMYFUNCTION("""COMPUTED_VALUE"""),20000)</f>
        <v>20000</v>
      </c>
      <c r="F289" s="14">
        <f ca="1">IFERROR(__xludf.DUMMYFUNCTION("""COMPUTED_VALUE"""),40000)</f>
        <v>40000</v>
      </c>
      <c r="G289" s="13" t="str">
        <f ca="1"/>
        <v>Espresso</v>
      </c>
      <c r="H289" s="13" t="str">
        <f ca="1"/>
        <v>Coffee</v>
      </c>
      <c r="I289" s="13">
        <f ca="1">IFERROR(__xludf.DUMMYFUNCTION("""COMPUTED_VALUE"""),5)</f>
        <v>5</v>
      </c>
      <c r="J289" s="13">
        <f ca="1">IFERROR(__xludf.DUMMYFUNCTION("""COMPUTED_VALUE"""),9)</f>
        <v>9</v>
      </c>
      <c r="K289" s="13">
        <f ca="1">IFERROR(__xludf.DUMMYFUNCTION("""COMPUTED_VALUE"""),2025)</f>
        <v>2025</v>
      </c>
      <c r="L289" s="15">
        <f ca="1"/>
        <v>45905</v>
      </c>
    </row>
    <row r="290" spans="1:12">
      <c r="A290" s="12" t="str">
        <f ca="1">IFERROR(__xludf.DUMMYFUNCTION("""COMPUTED_VALUE"""),"06-09-2025")</f>
        <v>06-09-2025</v>
      </c>
      <c r="B290" s="13" t="str">
        <f ca="1">IFERROR(__xludf.DUMMYFUNCTION("""COMPUTED_VALUE"""),"Medan")</f>
        <v>Medan</v>
      </c>
      <c r="C290" s="13" t="str">
        <f ca="1">IFERROR(__xludf.DUMMYFUNCTION("""COMPUTED_VALUE"""),"P04")</f>
        <v>P04</v>
      </c>
      <c r="D290" s="13">
        <f ca="1">IFERROR(__xludf.DUMMYFUNCTION("""COMPUTED_VALUE"""),1)</f>
        <v>1</v>
      </c>
      <c r="E290" s="14">
        <f ca="1">IFERROR(__xludf.DUMMYFUNCTION("""COMPUTED_VALUE"""),20000)</f>
        <v>20000</v>
      </c>
      <c r="F290" s="14">
        <f ca="1">IFERROR(__xludf.DUMMYFUNCTION("""COMPUTED_VALUE"""),20000)</f>
        <v>20000</v>
      </c>
      <c r="G290" s="13" t="str">
        <f ca="1"/>
        <v>Americano</v>
      </c>
      <c r="H290" s="13" t="str">
        <f ca="1"/>
        <v>Coffee</v>
      </c>
      <c r="I290" s="13">
        <f ca="1">IFERROR(__xludf.DUMMYFUNCTION("""COMPUTED_VALUE"""),6)</f>
        <v>6</v>
      </c>
      <c r="J290" s="13">
        <f ca="1">IFERROR(__xludf.DUMMYFUNCTION("""COMPUTED_VALUE"""),9)</f>
        <v>9</v>
      </c>
      <c r="K290" s="13">
        <f ca="1">IFERROR(__xludf.DUMMYFUNCTION("""COMPUTED_VALUE"""),2025)</f>
        <v>2025</v>
      </c>
      <c r="L290" s="15">
        <f ca="1"/>
        <v>45906</v>
      </c>
    </row>
    <row r="291" spans="1:12">
      <c r="A291" s="12" t="str">
        <f ca="1">IFERROR(__xludf.DUMMYFUNCTION("""COMPUTED_VALUE"""),"06-09-2025")</f>
        <v>06-09-2025</v>
      </c>
      <c r="B291" s="13" t="str">
        <f ca="1">IFERROR(__xludf.DUMMYFUNCTION("""COMPUTED_VALUE"""),"Medan")</f>
        <v>Medan</v>
      </c>
      <c r="C291" s="13" t="str">
        <f ca="1">IFERROR(__xludf.DUMMYFUNCTION("""COMPUTED_VALUE"""),"P05")</f>
        <v>P05</v>
      </c>
      <c r="D291" s="13">
        <f ca="1">IFERROR(__xludf.DUMMYFUNCTION("""COMPUTED_VALUE"""),3)</f>
        <v>3</v>
      </c>
      <c r="E291" s="14">
        <f ca="1">IFERROR(__xludf.DUMMYFUNCTION("""COMPUTED_VALUE"""),20000)</f>
        <v>20000</v>
      </c>
      <c r="F291" s="14">
        <f ca="1">IFERROR(__xludf.DUMMYFUNCTION("""COMPUTED_VALUE"""),60000)</f>
        <v>60000</v>
      </c>
      <c r="G291" s="13" t="str">
        <f ca="1"/>
        <v>Mocha</v>
      </c>
      <c r="H291" s="13" t="str">
        <f ca="1"/>
        <v>Chocolate</v>
      </c>
      <c r="I291" s="13">
        <f ca="1">IFERROR(__xludf.DUMMYFUNCTION("""COMPUTED_VALUE"""),6)</f>
        <v>6</v>
      </c>
      <c r="J291" s="13">
        <f ca="1">IFERROR(__xludf.DUMMYFUNCTION("""COMPUTED_VALUE"""),9)</f>
        <v>9</v>
      </c>
      <c r="K291" s="13">
        <f ca="1">IFERROR(__xludf.DUMMYFUNCTION("""COMPUTED_VALUE"""),2025)</f>
        <v>2025</v>
      </c>
      <c r="L291" s="15">
        <f ca="1"/>
        <v>45906</v>
      </c>
    </row>
    <row r="292" spans="1:12">
      <c r="A292" s="12" t="str">
        <f ca="1">IFERROR(__xludf.DUMMYFUNCTION("""COMPUTED_VALUE"""),"17-09-2025")</f>
        <v>17-09-2025</v>
      </c>
      <c r="B292" s="13" t="str">
        <f ca="1">IFERROR(__xludf.DUMMYFUNCTION("""COMPUTED_VALUE"""),"Medan")</f>
        <v>Medan</v>
      </c>
      <c r="C292" s="13" t="str">
        <f ca="1">IFERROR(__xludf.DUMMYFUNCTION("""COMPUTED_VALUE"""),"P01")</f>
        <v>P01</v>
      </c>
      <c r="D292" s="13">
        <f ca="1">IFERROR(__xludf.DUMMYFUNCTION("""COMPUTED_VALUE"""),3)</f>
        <v>3</v>
      </c>
      <c r="E292" s="14">
        <f ca="1">IFERROR(__xludf.DUMMYFUNCTION("""COMPUTED_VALUE"""),25000)</f>
        <v>25000</v>
      </c>
      <c r="F292" s="14">
        <f ca="1">IFERROR(__xludf.DUMMYFUNCTION("""COMPUTED_VALUE"""),75000)</f>
        <v>75000</v>
      </c>
      <c r="G292" s="13" t="str">
        <f ca="1"/>
        <v>Cappuccino</v>
      </c>
      <c r="H292" s="13" t="str">
        <f ca="1"/>
        <v>Coffee</v>
      </c>
      <c r="I292" s="13">
        <f ca="1">IFERROR(__xludf.DUMMYFUNCTION("""COMPUTED_VALUE"""),17)</f>
        <v>17</v>
      </c>
      <c r="J292" s="13">
        <f ca="1">IFERROR(__xludf.DUMMYFUNCTION("""COMPUTED_VALUE"""),9)</f>
        <v>9</v>
      </c>
      <c r="K292" s="13">
        <f ca="1">IFERROR(__xludf.DUMMYFUNCTION("""COMPUTED_VALUE"""),2025)</f>
        <v>2025</v>
      </c>
      <c r="L292" s="15">
        <f ca="1"/>
        <v>45917</v>
      </c>
    </row>
    <row r="293" spans="1:12">
      <c r="A293" s="12" t="str">
        <f ca="1">IFERROR(__xludf.DUMMYFUNCTION("""COMPUTED_VALUE"""),"05-09-2025")</f>
        <v>05-09-2025</v>
      </c>
      <c r="B293" s="13" t="str">
        <f ca="1">IFERROR(__xludf.DUMMYFUNCTION("""COMPUTED_VALUE"""),"Medan")</f>
        <v>Medan</v>
      </c>
      <c r="C293" s="13" t="str">
        <f ca="1">IFERROR(__xludf.DUMMYFUNCTION("""COMPUTED_VALUE"""),"P02")</f>
        <v>P02</v>
      </c>
      <c r="D293" s="13">
        <f ca="1">IFERROR(__xludf.DUMMYFUNCTION("""COMPUTED_VALUE"""),2)</f>
        <v>2</v>
      </c>
      <c r="E293" s="14">
        <f ca="1">IFERROR(__xludf.DUMMYFUNCTION("""COMPUTED_VALUE"""),25000)</f>
        <v>25000</v>
      </c>
      <c r="F293" s="14">
        <f ca="1">IFERROR(__xludf.DUMMYFUNCTION("""COMPUTED_VALUE"""),50000)</f>
        <v>50000</v>
      </c>
      <c r="G293" s="13" t="str">
        <f ca="1"/>
        <v>Latte</v>
      </c>
      <c r="H293" s="13" t="str">
        <f ca="1"/>
        <v>Coffee</v>
      </c>
      <c r="I293" s="13">
        <f ca="1">IFERROR(__xludf.DUMMYFUNCTION("""COMPUTED_VALUE"""),5)</f>
        <v>5</v>
      </c>
      <c r="J293" s="13">
        <f ca="1">IFERROR(__xludf.DUMMYFUNCTION("""COMPUTED_VALUE"""),9)</f>
        <v>9</v>
      </c>
      <c r="K293" s="13">
        <f ca="1">IFERROR(__xludf.DUMMYFUNCTION("""COMPUTED_VALUE"""),2025)</f>
        <v>2025</v>
      </c>
      <c r="L293" s="15">
        <f ca="1"/>
        <v>45905</v>
      </c>
    </row>
    <row r="294" spans="1:12">
      <c r="A294" s="12" t="str">
        <f ca="1">IFERROR(__xludf.DUMMYFUNCTION("""COMPUTED_VALUE"""),"02-09-2025")</f>
        <v>02-09-2025</v>
      </c>
      <c r="B294" s="13" t="str">
        <f ca="1">IFERROR(__xludf.DUMMYFUNCTION("""COMPUTED_VALUE"""),"Medan")</f>
        <v>Medan</v>
      </c>
      <c r="C294" s="13" t="str">
        <f ca="1">IFERROR(__xludf.DUMMYFUNCTION("""COMPUTED_VALUE"""),"P03")</f>
        <v>P03</v>
      </c>
      <c r="D294" s="13">
        <f ca="1">IFERROR(__xludf.DUMMYFUNCTION("""COMPUTED_VALUE"""),2)</f>
        <v>2</v>
      </c>
      <c r="E294" s="14">
        <f ca="1">IFERROR(__xludf.DUMMYFUNCTION("""COMPUTED_VALUE"""),28000)</f>
        <v>28000</v>
      </c>
      <c r="F294" s="14">
        <f ca="1">IFERROR(__xludf.DUMMYFUNCTION("""COMPUTED_VALUE"""),56000)</f>
        <v>56000</v>
      </c>
      <c r="G294" s="13" t="str">
        <f ca="1"/>
        <v>Espresso</v>
      </c>
      <c r="H294" s="13" t="str">
        <f ca="1"/>
        <v>Coffee</v>
      </c>
      <c r="I294" s="13">
        <f ca="1">IFERROR(__xludf.DUMMYFUNCTION("""COMPUTED_VALUE"""),2)</f>
        <v>2</v>
      </c>
      <c r="J294" s="13">
        <f ca="1">IFERROR(__xludf.DUMMYFUNCTION("""COMPUTED_VALUE"""),9)</f>
        <v>9</v>
      </c>
      <c r="K294" s="13">
        <f ca="1">IFERROR(__xludf.DUMMYFUNCTION("""COMPUTED_VALUE"""),2025)</f>
        <v>2025</v>
      </c>
      <c r="L294" s="15">
        <f ca="1"/>
        <v>45902</v>
      </c>
    </row>
    <row r="295" spans="1:12">
      <c r="A295" s="12" t="str">
        <f ca="1">IFERROR(__xludf.DUMMYFUNCTION("""COMPUTED_VALUE"""),"26-09-2025")</f>
        <v>26-09-2025</v>
      </c>
      <c r="B295" s="13" t="str">
        <f ca="1">IFERROR(__xludf.DUMMYFUNCTION("""COMPUTED_VALUE"""),"Medan")</f>
        <v>Medan</v>
      </c>
      <c r="C295" s="13" t="str">
        <f ca="1">IFERROR(__xludf.DUMMYFUNCTION("""COMPUTED_VALUE"""),"P04")</f>
        <v>P04</v>
      </c>
      <c r="D295" s="13">
        <f ca="1">IFERROR(__xludf.DUMMYFUNCTION("""COMPUTED_VALUE"""),2)</f>
        <v>2</v>
      </c>
      <c r="E295" s="14">
        <f ca="1">IFERROR(__xludf.DUMMYFUNCTION("""COMPUTED_VALUE"""),35000)</f>
        <v>35000</v>
      </c>
      <c r="F295" s="14">
        <f ca="1">IFERROR(__xludf.DUMMYFUNCTION("""COMPUTED_VALUE"""),70000)</f>
        <v>70000</v>
      </c>
      <c r="G295" s="13" t="str">
        <f ca="1"/>
        <v>Americano</v>
      </c>
      <c r="H295" s="13" t="str">
        <f ca="1"/>
        <v>Coffee</v>
      </c>
      <c r="I295" s="13">
        <f ca="1">IFERROR(__xludf.DUMMYFUNCTION("""COMPUTED_VALUE"""),26)</f>
        <v>26</v>
      </c>
      <c r="J295" s="13">
        <f ca="1">IFERROR(__xludf.DUMMYFUNCTION("""COMPUTED_VALUE"""),9)</f>
        <v>9</v>
      </c>
      <c r="K295" s="13">
        <f ca="1">IFERROR(__xludf.DUMMYFUNCTION("""COMPUTED_VALUE"""),2025)</f>
        <v>2025</v>
      </c>
      <c r="L295" s="15">
        <f ca="1"/>
        <v>45926</v>
      </c>
    </row>
    <row r="296" spans="1:12">
      <c r="A296" s="12" t="str">
        <f ca="1">IFERROR(__xludf.DUMMYFUNCTION("""COMPUTED_VALUE"""),"28-09-2025")</f>
        <v>28-09-2025</v>
      </c>
      <c r="B296" s="13" t="str">
        <f ca="1">IFERROR(__xludf.DUMMYFUNCTION("""COMPUTED_VALUE"""),"Medan")</f>
        <v>Medan</v>
      </c>
      <c r="C296" s="13" t="str">
        <f ca="1">IFERROR(__xludf.DUMMYFUNCTION("""COMPUTED_VALUE"""),"P05")</f>
        <v>P05</v>
      </c>
      <c r="D296" s="13">
        <f ca="1">IFERROR(__xludf.DUMMYFUNCTION("""COMPUTED_VALUE"""),3)</f>
        <v>3</v>
      </c>
      <c r="E296" s="14">
        <f ca="1">IFERROR(__xludf.DUMMYFUNCTION("""COMPUTED_VALUE"""),25000)</f>
        <v>25000</v>
      </c>
      <c r="F296" s="14">
        <f ca="1">IFERROR(__xludf.DUMMYFUNCTION("""COMPUTED_VALUE"""),75000)</f>
        <v>75000</v>
      </c>
      <c r="G296" s="13" t="str">
        <f ca="1"/>
        <v>Mocha</v>
      </c>
      <c r="H296" s="13" t="str">
        <f ca="1"/>
        <v>Chocolate</v>
      </c>
      <c r="I296" s="13">
        <f ca="1">IFERROR(__xludf.DUMMYFUNCTION("""COMPUTED_VALUE"""),28)</f>
        <v>28</v>
      </c>
      <c r="J296" s="13">
        <f ca="1">IFERROR(__xludf.DUMMYFUNCTION("""COMPUTED_VALUE"""),9)</f>
        <v>9</v>
      </c>
      <c r="K296" s="13">
        <f ca="1">IFERROR(__xludf.DUMMYFUNCTION("""COMPUTED_VALUE"""),2025)</f>
        <v>2025</v>
      </c>
      <c r="L296" s="15">
        <f ca="1"/>
        <v>45928</v>
      </c>
    </row>
    <row r="297" spans="1:12">
      <c r="A297" s="12" t="str">
        <f ca="1">IFERROR(__xludf.DUMMYFUNCTION("""COMPUTED_VALUE"""),"06-09-2025")</f>
        <v>06-09-2025</v>
      </c>
      <c r="B297" s="13" t="str">
        <f ca="1">IFERROR(__xludf.DUMMYFUNCTION("""COMPUTED_VALUE"""),"Medan")</f>
        <v>Medan</v>
      </c>
      <c r="C297" s="13" t="str">
        <f ca="1">IFERROR(__xludf.DUMMYFUNCTION("""COMPUTED_VALUE"""),"P03")</f>
        <v>P03</v>
      </c>
      <c r="D297" s="13">
        <f ca="1">IFERROR(__xludf.DUMMYFUNCTION("""COMPUTED_VALUE"""),5)</f>
        <v>5</v>
      </c>
      <c r="E297" s="14">
        <f ca="1">IFERROR(__xludf.DUMMYFUNCTION("""COMPUTED_VALUE"""),20000)</f>
        <v>20000</v>
      </c>
      <c r="F297" s="14">
        <f ca="1">IFERROR(__xludf.DUMMYFUNCTION("""COMPUTED_VALUE"""),100000)</f>
        <v>100000</v>
      </c>
      <c r="G297" s="13" t="str">
        <f ca="1"/>
        <v>Espresso</v>
      </c>
      <c r="H297" s="13" t="str">
        <f ca="1"/>
        <v>Coffee</v>
      </c>
      <c r="I297" s="13">
        <f ca="1">IFERROR(__xludf.DUMMYFUNCTION("""COMPUTED_VALUE"""),6)</f>
        <v>6</v>
      </c>
      <c r="J297" s="13">
        <f ca="1">IFERROR(__xludf.DUMMYFUNCTION("""COMPUTED_VALUE"""),9)</f>
        <v>9</v>
      </c>
      <c r="K297" s="13">
        <f ca="1">IFERROR(__xludf.DUMMYFUNCTION("""COMPUTED_VALUE"""),2025)</f>
        <v>2025</v>
      </c>
      <c r="L297" s="15">
        <f ca="1"/>
        <v>45906</v>
      </c>
    </row>
    <row r="298" spans="1:12">
      <c r="A298" s="12" t="str">
        <f ca="1">IFERROR(__xludf.DUMMYFUNCTION("""COMPUTED_VALUE"""),"22-09-2025")</f>
        <v>22-09-2025</v>
      </c>
      <c r="B298" s="13" t="str">
        <f ca="1">IFERROR(__xludf.DUMMYFUNCTION("""COMPUTED_VALUE"""),"Medan")</f>
        <v>Medan</v>
      </c>
      <c r="C298" s="13" t="str">
        <f ca="1">IFERROR(__xludf.DUMMYFUNCTION("""COMPUTED_VALUE"""),"P04")</f>
        <v>P04</v>
      </c>
      <c r="D298" s="13">
        <f ca="1">IFERROR(__xludf.DUMMYFUNCTION("""COMPUTED_VALUE"""),5)</f>
        <v>5</v>
      </c>
      <c r="E298" s="14">
        <f ca="1">IFERROR(__xludf.DUMMYFUNCTION("""COMPUTED_VALUE"""),20000)</f>
        <v>20000</v>
      </c>
      <c r="F298" s="14">
        <f ca="1">IFERROR(__xludf.DUMMYFUNCTION("""COMPUTED_VALUE"""),100000)</f>
        <v>100000</v>
      </c>
      <c r="G298" s="13" t="str">
        <f ca="1"/>
        <v>Americano</v>
      </c>
      <c r="H298" s="13" t="str">
        <f ca="1"/>
        <v>Coffee</v>
      </c>
      <c r="I298" s="13">
        <f ca="1">IFERROR(__xludf.DUMMYFUNCTION("""COMPUTED_VALUE"""),22)</f>
        <v>22</v>
      </c>
      <c r="J298" s="13">
        <f ca="1">IFERROR(__xludf.DUMMYFUNCTION("""COMPUTED_VALUE"""),9)</f>
        <v>9</v>
      </c>
      <c r="K298" s="13">
        <f ca="1">IFERROR(__xludf.DUMMYFUNCTION("""COMPUTED_VALUE"""),2025)</f>
        <v>2025</v>
      </c>
      <c r="L298" s="15">
        <f ca="1"/>
        <v>45922</v>
      </c>
    </row>
    <row r="299" spans="1:12">
      <c r="A299" s="12" t="str">
        <f ca="1">IFERROR(__xludf.DUMMYFUNCTION("""COMPUTED_VALUE"""),"16-09-2025")</f>
        <v>16-09-2025</v>
      </c>
      <c r="B299" s="13" t="str">
        <f ca="1">IFERROR(__xludf.DUMMYFUNCTION("""COMPUTED_VALUE"""),"Medan")</f>
        <v>Medan</v>
      </c>
      <c r="C299" s="13" t="str">
        <f ca="1">IFERROR(__xludf.DUMMYFUNCTION("""COMPUTED_VALUE"""),"P05")</f>
        <v>P05</v>
      </c>
      <c r="D299" s="13">
        <f ca="1">IFERROR(__xludf.DUMMYFUNCTION("""COMPUTED_VALUE"""),3)</f>
        <v>3</v>
      </c>
      <c r="E299" s="14">
        <f ca="1">IFERROR(__xludf.DUMMYFUNCTION("""COMPUTED_VALUE"""),20000)</f>
        <v>20000</v>
      </c>
      <c r="F299" s="14">
        <f ca="1">IFERROR(__xludf.DUMMYFUNCTION("""COMPUTED_VALUE"""),60000)</f>
        <v>60000</v>
      </c>
      <c r="G299" s="13" t="str">
        <f ca="1"/>
        <v>Mocha</v>
      </c>
      <c r="H299" s="13" t="str">
        <f ca="1"/>
        <v>Chocolate</v>
      </c>
      <c r="I299" s="13">
        <f ca="1">IFERROR(__xludf.DUMMYFUNCTION("""COMPUTED_VALUE"""),16)</f>
        <v>16</v>
      </c>
      <c r="J299" s="13">
        <f ca="1">IFERROR(__xludf.DUMMYFUNCTION("""COMPUTED_VALUE"""),9)</f>
        <v>9</v>
      </c>
      <c r="K299" s="13">
        <f ca="1">IFERROR(__xludf.DUMMYFUNCTION("""COMPUTED_VALUE"""),2025)</f>
        <v>2025</v>
      </c>
      <c r="L299" s="15">
        <f ca="1"/>
        <v>45916</v>
      </c>
    </row>
    <row r="300" spans="1:12">
      <c r="A300" s="12" t="str">
        <f ca="1">IFERROR(__xludf.DUMMYFUNCTION("""COMPUTED_VALUE"""),"04-09-2025")</f>
        <v>04-09-2025</v>
      </c>
      <c r="B300" s="13" t="str">
        <f ca="1">IFERROR(__xludf.DUMMYFUNCTION("""COMPUTED_VALUE"""),"Medan")</f>
        <v>Medan</v>
      </c>
      <c r="C300" s="13" t="str">
        <f ca="1">IFERROR(__xludf.DUMMYFUNCTION("""COMPUTED_VALUE"""),"P04")</f>
        <v>P04</v>
      </c>
      <c r="D300" s="13">
        <f ca="1">IFERROR(__xludf.DUMMYFUNCTION("""COMPUTED_VALUE"""),1)</f>
        <v>1</v>
      </c>
      <c r="E300" s="14">
        <f ca="1">IFERROR(__xludf.DUMMYFUNCTION("""COMPUTED_VALUE"""),20000)</f>
        <v>20000</v>
      </c>
      <c r="F300" s="14">
        <f ca="1">IFERROR(__xludf.DUMMYFUNCTION("""COMPUTED_VALUE"""),20000)</f>
        <v>20000</v>
      </c>
      <c r="G300" s="13" t="str">
        <f ca="1"/>
        <v>Americano</v>
      </c>
      <c r="H300" s="13" t="str">
        <f ca="1"/>
        <v>Coffee</v>
      </c>
      <c r="I300" s="13">
        <f ca="1">IFERROR(__xludf.DUMMYFUNCTION("""COMPUTED_VALUE"""),4)</f>
        <v>4</v>
      </c>
      <c r="J300" s="13">
        <f ca="1">IFERROR(__xludf.DUMMYFUNCTION("""COMPUTED_VALUE"""),9)</f>
        <v>9</v>
      </c>
      <c r="K300" s="13">
        <f ca="1">IFERROR(__xludf.DUMMYFUNCTION("""COMPUTED_VALUE"""),2025)</f>
        <v>2025</v>
      </c>
      <c r="L300" s="15">
        <f ca="1"/>
        <v>45904</v>
      </c>
    </row>
    <row r="301" spans="1:12">
      <c r="A301" s="12" t="str">
        <f ca="1">IFERROR(__xludf.DUMMYFUNCTION("""COMPUTED_VALUE"""),"10-09-2025")</f>
        <v>10-09-2025</v>
      </c>
      <c r="B301" s="13" t="str">
        <f ca="1">IFERROR(__xludf.DUMMYFUNCTION("""COMPUTED_VALUE"""),"Medan")</f>
        <v>Medan</v>
      </c>
      <c r="C301" s="13" t="str">
        <f ca="1">IFERROR(__xludf.DUMMYFUNCTION("""COMPUTED_VALUE"""),"P05")</f>
        <v>P05</v>
      </c>
      <c r="D301" s="13">
        <f ca="1">IFERROR(__xludf.DUMMYFUNCTION("""COMPUTED_VALUE"""),4)</f>
        <v>4</v>
      </c>
      <c r="E301" s="14">
        <f ca="1">IFERROR(__xludf.DUMMYFUNCTION("""COMPUTED_VALUE"""),25000)</f>
        <v>25000</v>
      </c>
      <c r="F301" s="14">
        <f ca="1">IFERROR(__xludf.DUMMYFUNCTION("""COMPUTED_VALUE"""),100000)</f>
        <v>100000</v>
      </c>
      <c r="G301" s="13" t="str">
        <f ca="1"/>
        <v>Mocha</v>
      </c>
      <c r="H301" s="13" t="str">
        <f ca="1"/>
        <v>Chocolate</v>
      </c>
      <c r="I301" s="13">
        <f ca="1">IFERROR(__xludf.DUMMYFUNCTION("""COMPUTED_VALUE"""),10)</f>
        <v>10</v>
      </c>
      <c r="J301" s="13">
        <f ca="1">IFERROR(__xludf.DUMMYFUNCTION("""COMPUTED_VALUE"""),9)</f>
        <v>9</v>
      </c>
      <c r="K301" s="13">
        <f ca="1">IFERROR(__xludf.DUMMYFUNCTION("""COMPUTED_VALUE"""),2025)</f>
        <v>2025</v>
      </c>
      <c r="L301" s="15">
        <f ca="1"/>
        <v>45910</v>
      </c>
    </row>
    <row r="302" spans="1:12">
      <c r="A302" s="12" t="str">
        <f ca="1">IFERROR(__xludf.DUMMYFUNCTION("""COMPUTED_VALUE"""),"17-09-2025")</f>
        <v>17-09-2025</v>
      </c>
      <c r="B302" s="13" t="str">
        <f ca="1">IFERROR(__xludf.DUMMYFUNCTION("""COMPUTED_VALUE"""),"Medan")</f>
        <v>Medan</v>
      </c>
      <c r="C302" s="13" t="str">
        <f ca="1">IFERROR(__xludf.DUMMYFUNCTION("""COMPUTED_VALUE"""),"P01")</f>
        <v>P01</v>
      </c>
      <c r="D302" s="13">
        <f ca="1">IFERROR(__xludf.DUMMYFUNCTION("""COMPUTED_VALUE"""),3)</f>
        <v>3</v>
      </c>
      <c r="E302" s="14">
        <f ca="1">IFERROR(__xludf.DUMMYFUNCTION("""COMPUTED_VALUE"""),25000)</f>
        <v>25000</v>
      </c>
      <c r="F302" s="14">
        <f ca="1">IFERROR(__xludf.DUMMYFUNCTION("""COMPUTED_VALUE"""),75000)</f>
        <v>75000</v>
      </c>
      <c r="G302" s="13" t="str">
        <f ca="1"/>
        <v>Cappuccino</v>
      </c>
      <c r="H302" s="13" t="str">
        <f ca="1"/>
        <v>Coffee</v>
      </c>
      <c r="I302" s="13">
        <f ca="1">IFERROR(__xludf.DUMMYFUNCTION("""COMPUTED_VALUE"""),17)</f>
        <v>17</v>
      </c>
      <c r="J302" s="13">
        <f ca="1">IFERROR(__xludf.DUMMYFUNCTION("""COMPUTED_VALUE"""),9)</f>
        <v>9</v>
      </c>
      <c r="K302" s="13">
        <f ca="1">IFERROR(__xludf.DUMMYFUNCTION("""COMPUTED_VALUE"""),2025)</f>
        <v>2025</v>
      </c>
      <c r="L302" s="15">
        <f ca="1"/>
        <v>45917</v>
      </c>
    </row>
    <row r="303" spans="1:12">
      <c r="A303" s="12" t="str">
        <f ca="1">IFERROR(__xludf.DUMMYFUNCTION("""COMPUTED_VALUE"""),"18-09-2025")</f>
        <v>18-09-2025</v>
      </c>
      <c r="B303" s="13" t="str">
        <f ca="1">IFERROR(__xludf.DUMMYFUNCTION("""COMPUTED_VALUE"""),"Medan")</f>
        <v>Medan</v>
      </c>
      <c r="C303" s="13" t="str">
        <f ca="1">IFERROR(__xludf.DUMMYFUNCTION("""COMPUTED_VALUE"""),"P02")</f>
        <v>P02</v>
      </c>
      <c r="D303" s="13">
        <f ca="1">IFERROR(__xludf.DUMMYFUNCTION("""COMPUTED_VALUE"""),1)</f>
        <v>1</v>
      </c>
      <c r="E303" s="14">
        <f ca="1">IFERROR(__xludf.DUMMYFUNCTION("""COMPUTED_VALUE"""),28000)</f>
        <v>28000</v>
      </c>
      <c r="F303" s="14">
        <f ca="1">IFERROR(__xludf.DUMMYFUNCTION("""COMPUTED_VALUE"""),28000)</f>
        <v>28000</v>
      </c>
      <c r="G303" s="13" t="str">
        <f ca="1"/>
        <v>Latte</v>
      </c>
      <c r="H303" s="13" t="str">
        <f ca="1"/>
        <v>Coffee</v>
      </c>
      <c r="I303" s="13">
        <f ca="1">IFERROR(__xludf.DUMMYFUNCTION("""COMPUTED_VALUE"""),18)</f>
        <v>18</v>
      </c>
      <c r="J303" s="13">
        <f ca="1">IFERROR(__xludf.DUMMYFUNCTION("""COMPUTED_VALUE"""),9)</f>
        <v>9</v>
      </c>
      <c r="K303" s="13">
        <f ca="1">IFERROR(__xludf.DUMMYFUNCTION("""COMPUTED_VALUE"""),2025)</f>
        <v>2025</v>
      </c>
      <c r="L303" s="15">
        <f ca="1"/>
        <v>45918</v>
      </c>
    </row>
    <row r="304" spans="1:12">
      <c r="A304" s="12" t="str">
        <f ca="1">IFERROR(__xludf.DUMMYFUNCTION("""COMPUTED_VALUE"""),"27-09-2025")</f>
        <v>27-09-2025</v>
      </c>
      <c r="B304" s="13" t="str">
        <f ca="1">IFERROR(__xludf.DUMMYFUNCTION("""COMPUTED_VALUE"""),"Medan")</f>
        <v>Medan</v>
      </c>
      <c r="C304" s="13" t="str">
        <f ca="1">IFERROR(__xludf.DUMMYFUNCTION("""COMPUTED_VALUE"""),"P03")</f>
        <v>P03</v>
      </c>
      <c r="D304" s="13">
        <f ca="1">IFERROR(__xludf.DUMMYFUNCTION("""COMPUTED_VALUE"""),1)</f>
        <v>1</v>
      </c>
      <c r="E304" s="14">
        <f ca="1">IFERROR(__xludf.DUMMYFUNCTION("""COMPUTED_VALUE"""),28000)</f>
        <v>28000</v>
      </c>
      <c r="F304" s="14">
        <f ca="1">IFERROR(__xludf.DUMMYFUNCTION("""COMPUTED_VALUE"""),28000)</f>
        <v>28000</v>
      </c>
      <c r="G304" s="13" t="str">
        <f ca="1"/>
        <v>Espresso</v>
      </c>
      <c r="H304" s="13" t="str">
        <f ca="1"/>
        <v>Coffee</v>
      </c>
      <c r="I304" s="13">
        <f ca="1">IFERROR(__xludf.DUMMYFUNCTION("""COMPUTED_VALUE"""),27)</f>
        <v>27</v>
      </c>
      <c r="J304" s="13">
        <f ca="1">IFERROR(__xludf.DUMMYFUNCTION("""COMPUTED_VALUE"""),9)</f>
        <v>9</v>
      </c>
      <c r="K304" s="13">
        <f ca="1">IFERROR(__xludf.DUMMYFUNCTION("""COMPUTED_VALUE"""),2025)</f>
        <v>2025</v>
      </c>
      <c r="L304" s="15">
        <f ca="1"/>
        <v>45927</v>
      </c>
    </row>
    <row r="305" spans="1:12">
      <c r="A305" s="12" t="str">
        <f ca="1">IFERROR(__xludf.DUMMYFUNCTION("""COMPUTED_VALUE"""),"21-09-2025")</f>
        <v>21-09-2025</v>
      </c>
      <c r="B305" s="13" t="str">
        <f ca="1">IFERROR(__xludf.DUMMYFUNCTION("""COMPUTED_VALUE"""),"Medan")</f>
        <v>Medan</v>
      </c>
      <c r="C305" s="13" t="str">
        <f ca="1">IFERROR(__xludf.DUMMYFUNCTION("""COMPUTED_VALUE"""),"P04")</f>
        <v>P04</v>
      </c>
      <c r="D305" s="13">
        <f ca="1">IFERROR(__xludf.DUMMYFUNCTION("""COMPUTED_VALUE"""),3)</f>
        <v>3</v>
      </c>
      <c r="E305" s="14">
        <f ca="1">IFERROR(__xludf.DUMMYFUNCTION("""COMPUTED_VALUE"""),20000)</f>
        <v>20000</v>
      </c>
      <c r="F305" s="14">
        <f ca="1">IFERROR(__xludf.DUMMYFUNCTION("""COMPUTED_VALUE"""),60000)</f>
        <v>60000</v>
      </c>
      <c r="G305" s="13" t="str">
        <f ca="1"/>
        <v>Americano</v>
      </c>
      <c r="H305" s="13" t="str">
        <f ca="1"/>
        <v>Coffee</v>
      </c>
      <c r="I305" s="13">
        <f ca="1">IFERROR(__xludf.DUMMYFUNCTION("""COMPUTED_VALUE"""),21)</f>
        <v>21</v>
      </c>
      <c r="J305" s="13">
        <f ca="1">IFERROR(__xludf.DUMMYFUNCTION("""COMPUTED_VALUE"""),9)</f>
        <v>9</v>
      </c>
      <c r="K305" s="13">
        <f ca="1">IFERROR(__xludf.DUMMYFUNCTION("""COMPUTED_VALUE"""),2025)</f>
        <v>2025</v>
      </c>
      <c r="L305" s="15">
        <f ca="1"/>
        <v>45921</v>
      </c>
    </row>
    <row r="306" spans="1:12">
      <c r="A306" s="12" t="str">
        <f ca="1">IFERROR(__xludf.DUMMYFUNCTION("""COMPUTED_VALUE"""),"24-09-2025")</f>
        <v>24-09-2025</v>
      </c>
      <c r="B306" s="13" t="str">
        <f ca="1">IFERROR(__xludf.DUMMYFUNCTION("""COMPUTED_VALUE"""),"Medan")</f>
        <v>Medan</v>
      </c>
      <c r="C306" s="13" t="str">
        <f ca="1">IFERROR(__xludf.DUMMYFUNCTION("""COMPUTED_VALUE"""),"P05")</f>
        <v>P05</v>
      </c>
      <c r="D306" s="13">
        <f ca="1">IFERROR(__xludf.DUMMYFUNCTION("""COMPUTED_VALUE"""),5)</f>
        <v>5</v>
      </c>
      <c r="E306" s="14">
        <f ca="1">IFERROR(__xludf.DUMMYFUNCTION("""COMPUTED_VALUE"""),25000)</f>
        <v>25000</v>
      </c>
      <c r="F306" s="14">
        <f ca="1">IFERROR(__xludf.DUMMYFUNCTION("""COMPUTED_VALUE"""),125000)</f>
        <v>125000</v>
      </c>
      <c r="G306" s="13" t="str">
        <f ca="1"/>
        <v>Mocha</v>
      </c>
      <c r="H306" s="13" t="str">
        <f ca="1"/>
        <v>Chocolate</v>
      </c>
      <c r="I306" s="13">
        <f ca="1">IFERROR(__xludf.DUMMYFUNCTION("""COMPUTED_VALUE"""),24)</f>
        <v>24</v>
      </c>
      <c r="J306" s="13">
        <f ca="1">IFERROR(__xludf.DUMMYFUNCTION("""COMPUTED_VALUE"""),9)</f>
        <v>9</v>
      </c>
      <c r="K306" s="13">
        <f ca="1">IFERROR(__xludf.DUMMYFUNCTION("""COMPUTED_VALUE"""),2025)</f>
        <v>2025</v>
      </c>
      <c r="L306" s="15">
        <f ca="1"/>
        <v>45924</v>
      </c>
    </row>
    <row r="307" spans="1:12">
      <c r="A307" s="12" t="str">
        <f ca="1">IFERROR(__xludf.DUMMYFUNCTION("""COMPUTED_VALUE"""),"11-09-2025")</f>
        <v>11-09-2025</v>
      </c>
      <c r="B307" s="13" t="str">
        <f ca="1">IFERROR(__xludf.DUMMYFUNCTION("""COMPUTED_VALUE"""),"Medan")</f>
        <v>Medan</v>
      </c>
      <c r="C307" s="13" t="str">
        <f ca="1">IFERROR(__xludf.DUMMYFUNCTION("""COMPUTED_VALUE"""),"P03")</f>
        <v>P03</v>
      </c>
      <c r="D307" s="13">
        <f ca="1">IFERROR(__xludf.DUMMYFUNCTION("""COMPUTED_VALUE"""),2)</f>
        <v>2</v>
      </c>
      <c r="E307" s="14">
        <f ca="1">IFERROR(__xludf.DUMMYFUNCTION("""COMPUTED_VALUE"""),30000)</f>
        <v>30000</v>
      </c>
      <c r="F307" s="14">
        <f ca="1">IFERROR(__xludf.DUMMYFUNCTION("""COMPUTED_VALUE"""),60000)</f>
        <v>60000</v>
      </c>
      <c r="G307" s="13" t="str">
        <f ca="1"/>
        <v>Espresso</v>
      </c>
      <c r="H307" s="13" t="str">
        <f ca="1"/>
        <v>Coffee</v>
      </c>
      <c r="I307" s="13">
        <f ca="1">IFERROR(__xludf.DUMMYFUNCTION("""COMPUTED_VALUE"""),11)</f>
        <v>11</v>
      </c>
      <c r="J307" s="13">
        <f ca="1">IFERROR(__xludf.DUMMYFUNCTION("""COMPUTED_VALUE"""),9)</f>
        <v>9</v>
      </c>
      <c r="K307" s="13">
        <f ca="1">IFERROR(__xludf.DUMMYFUNCTION("""COMPUTED_VALUE"""),2025)</f>
        <v>2025</v>
      </c>
      <c r="L307" s="15">
        <f ca="1"/>
        <v>45911</v>
      </c>
    </row>
    <row r="308" spans="1:12">
      <c r="A308" s="12" t="str">
        <f ca="1">IFERROR(__xludf.DUMMYFUNCTION("""COMPUTED_VALUE"""),"03-09-2025")</f>
        <v>03-09-2025</v>
      </c>
      <c r="B308" s="13" t="str">
        <f ca="1">IFERROR(__xludf.DUMMYFUNCTION("""COMPUTED_VALUE"""),"Medan")</f>
        <v>Medan</v>
      </c>
      <c r="C308" s="13" t="str">
        <f ca="1">IFERROR(__xludf.DUMMYFUNCTION("""COMPUTED_VALUE"""),"P04")</f>
        <v>P04</v>
      </c>
      <c r="D308" s="13">
        <f ca="1">IFERROR(__xludf.DUMMYFUNCTION("""COMPUTED_VALUE"""),4)</f>
        <v>4</v>
      </c>
      <c r="E308" s="14">
        <f ca="1">IFERROR(__xludf.DUMMYFUNCTION("""COMPUTED_VALUE"""),30000)</f>
        <v>30000</v>
      </c>
      <c r="F308" s="14">
        <f ca="1">IFERROR(__xludf.DUMMYFUNCTION("""COMPUTED_VALUE"""),120000)</f>
        <v>120000</v>
      </c>
      <c r="G308" s="13" t="str">
        <f ca="1"/>
        <v>Americano</v>
      </c>
      <c r="H308" s="13" t="str">
        <f ca="1"/>
        <v>Coffee</v>
      </c>
      <c r="I308" s="13">
        <f ca="1">IFERROR(__xludf.DUMMYFUNCTION("""COMPUTED_VALUE"""),3)</f>
        <v>3</v>
      </c>
      <c r="J308" s="13">
        <f ca="1">IFERROR(__xludf.DUMMYFUNCTION("""COMPUTED_VALUE"""),9)</f>
        <v>9</v>
      </c>
      <c r="K308" s="13">
        <f ca="1">IFERROR(__xludf.DUMMYFUNCTION("""COMPUTED_VALUE"""),2025)</f>
        <v>2025</v>
      </c>
      <c r="L308" s="15">
        <f ca="1"/>
        <v>45903</v>
      </c>
    </row>
    <row r="309" spans="1:12">
      <c r="A309" s="12" t="str">
        <f ca="1">IFERROR(__xludf.DUMMYFUNCTION("""COMPUTED_VALUE"""),"19-09-2025")</f>
        <v>19-09-2025</v>
      </c>
      <c r="B309" s="13" t="str">
        <f ca="1">IFERROR(__xludf.DUMMYFUNCTION("""COMPUTED_VALUE"""),"Medan")</f>
        <v>Medan</v>
      </c>
      <c r="C309" s="13" t="str">
        <f ca="1">IFERROR(__xludf.DUMMYFUNCTION("""COMPUTED_VALUE"""),"P05")</f>
        <v>P05</v>
      </c>
      <c r="D309" s="13">
        <f ca="1">IFERROR(__xludf.DUMMYFUNCTION("""COMPUTED_VALUE"""),5)</f>
        <v>5</v>
      </c>
      <c r="E309" s="14">
        <f ca="1">IFERROR(__xludf.DUMMYFUNCTION("""COMPUTED_VALUE"""),30000)</f>
        <v>30000</v>
      </c>
      <c r="F309" s="14">
        <f ca="1">IFERROR(__xludf.DUMMYFUNCTION("""COMPUTED_VALUE"""),150000)</f>
        <v>150000</v>
      </c>
      <c r="G309" s="13" t="str">
        <f ca="1"/>
        <v>Mocha</v>
      </c>
      <c r="H309" s="13" t="str">
        <f ca="1"/>
        <v>Chocolate</v>
      </c>
      <c r="I309" s="13">
        <f ca="1">IFERROR(__xludf.DUMMYFUNCTION("""COMPUTED_VALUE"""),19)</f>
        <v>19</v>
      </c>
      <c r="J309" s="13">
        <f ca="1">IFERROR(__xludf.DUMMYFUNCTION("""COMPUTED_VALUE"""),9)</f>
        <v>9</v>
      </c>
      <c r="K309" s="13">
        <f ca="1">IFERROR(__xludf.DUMMYFUNCTION("""COMPUTED_VALUE"""),2025)</f>
        <v>2025</v>
      </c>
      <c r="L309" s="15">
        <f ca="1"/>
        <v>45919</v>
      </c>
    </row>
    <row r="310" spans="1:12">
      <c r="A310" s="12" t="str">
        <f ca="1">IFERROR(__xludf.DUMMYFUNCTION("""COMPUTED_VALUE"""),"07-09-2025")</f>
        <v>07-09-2025</v>
      </c>
      <c r="B310" s="13" t="str">
        <f ca="1">IFERROR(__xludf.DUMMYFUNCTION("""COMPUTED_VALUE"""),"Medan")</f>
        <v>Medan</v>
      </c>
      <c r="C310" s="13" t="str">
        <f ca="1">IFERROR(__xludf.DUMMYFUNCTION("""COMPUTED_VALUE"""),"P01")</f>
        <v>P01</v>
      </c>
      <c r="D310" s="13">
        <f ca="1">IFERROR(__xludf.DUMMYFUNCTION("""COMPUTED_VALUE"""),1)</f>
        <v>1</v>
      </c>
      <c r="E310" s="14">
        <f ca="1">IFERROR(__xludf.DUMMYFUNCTION("""COMPUTED_VALUE"""),25000)</f>
        <v>25000</v>
      </c>
      <c r="F310" s="14">
        <f ca="1">IFERROR(__xludf.DUMMYFUNCTION("""COMPUTED_VALUE"""),25000)</f>
        <v>25000</v>
      </c>
      <c r="G310" s="13" t="str">
        <f ca="1"/>
        <v>Cappuccino</v>
      </c>
      <c r="H310" s="13" t="str">
        <f ca="1"/>
        <v>Coffee</v>
      </c>
      <c r="I310" s="13">
        <f ca="1">IFERROR(__xludf.DUMMYFUNCTION("""COMPUTED_VALUE"""),7)</f>
        <v>7</v>
      </c>
      <c r="J310" s="13">
        <f ca="1">IFERROR(__xludf.DUMMYFUNCTION("""COMPUTED_VALUE"""),9)</f>
        <v>9</v>
      </c>
      <c r="K310" s="13">
        <f ca="1">IFERROR(__xludf.DUMMYFUNCTION("""COMPUTED_VALUE"""),2025)</f>
        <v>2025</v>
      </c>
      <c r="L310" s="15">
        <f ca="1"/>
        <v>45907</v>
      </c>
    </row>
    <row r="311" spans="1:12">
      <c r="A311" s="12" t="str">
        <f ca="1">IFERROR(__xludf.DUMMYFUNCTION("""COMPUTED_VALUE"""),"04-09-2025")</f>
        <v>04-09-2025</v>
      </c>
      <c r="B311" s="13" t="str">
        <f ca="1">IFERROR(__xludf.DUMMYFUNCTION("""COMPUTED_VALUE"""),"Medan")</f>
        <v>Medan</v>
      </c>
      <c r="C311" s="13" t="str">
        <f ca="1">IFERROR(__xludf.DUMMYFUNCTION("""COMPUTED_VALUE"""),"P02")</f>
        <v>P02</v>
      </c>
      <c r="D311" s="13">
        <f ca="1">IFERROR(__xludf.DUMMYFUNCTION("""COMPUTED_VALUE"""),2)</f>
        <v>2</v>
      </c>
      <c r="E311" s="14">
        <f ca="1">IFERROR(__xludf.DUMMYFUNCTION("""COMPUTED_VALUE"""),30000)</f>
        <v>30000</v>
      </c>
      <c r="F311" s="14">
        <f ca="1">IFERROR(__xludf.DUMMYFUNCTION("""COMPUTED_VALUE"""),60000)</f>
        <v>60000</v>
      </c>
      <c r="G311" s="13" t="str">
        <f ca="1"/>
        <v>Latte</v>
      </c>
      <c r="H311" s="13" t="str">
        <f ca="1"/>
        <v>Coffee</v>
      </c>
      <c r="I311" s="13">
        <f ca="1">IFERROR(__xludf.DUMMYFUNCTION("""COMPUTED_VALUE"""),4)</f>
        <v>4</v>
      </c>
      <c r="J311" s="13">
        <f ca="1">IFERROR(__xludf.DUMMYFUNCTION("""COMPUTED_VALUE"""),9)</f>
        <v>9</v>
      </c>
      <c r="K311" s="13">
        <f ca="1">IFERROR(__xludf.DUMMYFUNCTION("""COMPUTED_VALUE"""),2025)</f>
        <v>2025</v>
      </c>
      <c r="L311" s="15">
        <f ca="1"/>
        <v>45904</v>
      </c>
    </row>
    <row r="312" spans="1:12">
      <c r="A312" s="12" t="str">
        <f ca="1">IFERROR(__xludf.DUMMYFUNCTION("""COMPUTED_VALUE"""),"18-09-2025")</f>
        <v>18-09-2025</v>
      </c>
      <c r="B312" s="13" t="str">
        <f ca="1">IFERROR(__xludf.DUMMYFUNCTION("""COMPUTED_VALUE"""),"Medan")</f>
        <v>Medan</v>
      </c>
      <c r="C312" s="13" t="str">
        <f ca="1">IFERROR(__xludf.DUMMYFUNCTION("""COMPUTED_VALUE"""),"P03")</f>
        <v>P03</v>
      </c>
      <c r="D312" s="13">
        <f ca="1">IFERROR(__xludf.DUMMYFUNCTION("""COMPUTED_VALUE"""),1)</f>
        <v>1</v>
      </c>
      <c r="E312" s="14">
        <f ca="1">IFERROR(__xludf.DUMMYFUNCTION("""COMPUTED_VALUE"""),28000)</f>
        <v>28000</v>
      </c>
      <c r="F312" s="14">
        <f ca="1">IFERROR(__xludf.DUMMYFUNCTION("""COMPUTED_VALUE"""),28000)</f>
        <v>28000</v>
      </c>
      <c r="G312" s="13" t="str">
        <f ca="1"/>
        <v>Espresso</v>
      </c>
      <c r="H312" s="13" t="str">
        <f ca="1"/>
        <v>Coffee</v>
      </c>
      <c r="I312" s="13">
        <f ca="1">IFERROR(__xludf.DUMMYFUNCTION("""COMPUTED_VALUE"""),18)</f>
        <v>18</v>
      </c>
      <c r="J312" s="13">
        <f ca="1">IFERROR(__xludf.DUMMYFUNCTION("""COMPUTED_VALUE"""),9)</f>
        <v>9</v>
      </c>
      <c r="K312" s="13">
        <f ca="1">IFERROR(__xludf.DUMMYFUNCTION("""COMPUTED_VALUE"""),2025)</f>
        <v>2025</v>
      </c>
      <c r="L312" s="15">
        <f ca="1"/>
        <v>45918</v>
      </c>
    </row>
    <row r="313" spans="1:12">
      <c r="A313" s="12" t="str">
        <f ca="1">IFERROR(__xludf.DUMMYFUNCTION("""COMPUTED_VALUE"""),"19-09-2025")</f>
        <v>19-09-2025</v>
      </c>
      <c r="B313" s="13" t="str">
        <f ca="1">IFERROR(__xludf.DUMMYFUNCTION("""COMPUTED_VALUE"""),"Medan")</f>
        <v>Medan</v>
      </c>
      <c r="C313" s="13" t="str">
        <f ca="1">IFERROR(__xludf.DUMMYFUNCTION("""COMPUTED_VALUE"""),"P04")</f>
        <v>P04</v>
      </c>
      <c r="D313" s="13">
        <f ca="1">IFERROR(__xludf.DUMMYFUNCTION("""COMPUTED_VALUE"""),2)</f>
        <v>2</v>
      </c>
      <c r="E313" s="14">
        <f ca="1">IFERROR(__xludf.DUMMYFUNCTION("""COMPUTED_VALUE"""),25000)</f>
        <v>25000</v>
      </c>
      <c r="F313" s="14">
        <f ca="1">IFERROR(__xludf.DUMMYFUNCTION("""COMPUTED_VALUE"""),50000)</f>
        <v>50000</v>
      </c>
      <c r="G313" s="13" t="str">
        <f ca="1"/>
        <v>Americano</v>
      </c>
      <c r="H313" s="13" t="str">
        <f ca="1"/>
        <v>Coffee</v>
      </c>
      <c r="I313" s="13">
        <f ca="1">IFERROR(__xludf.DUMMYFUNCTION("""COMPUTED_VALUE"""),19)</f>
        <v>19</v>
      </c>
      <c r="J313" s="13">
        <f ca="1">IFERROR(__xludf.DUMMYFUNCTION("""COMPUTED_VALUE"""),9)</f>
        <v>9</v>
      </c>
      <c r="K313" s="13">
        <f ca="1">IFERROR(__xludf.DUMMYFUNCTION("""COMPUTED_VALUE"""),2025)</f>
        <v>2025</v>
      </c>
      <c r="L313" s="15">
        <f ca="1"/>
        <v>45919</v>
      </c>
    </row>
    <row r="314" spans="1:12">
      <c r="A314" s="12" t="str">
        <f ca="1">IFERROR(__xludf.DUMMYFUNCTION("""COMPUTED_VALUE"""),"13-09-2025")</f>
        <v>13-09-2025</v>
      </c>
      <c r="B314" s="13" t="str">
        <f ca="1">IFERROR(__xludf.DUMMYFUNCTION("""COMPUTED_VALUE"""),"Medan")</f>
        <v>Medan</v>
      </c>
      <c r="C314" s="13" t="str">
        <f ca="1">IFERROR(__xludf.DUMMYFUNCTION("""COMPUTED_VALUE"""),"P05")</f>
        <v>P05</v>
      </c>
      <c r="D314" s="13">
        <f ca="1">IFERROR(__xludf.DUMMYFUNCTION("""COMPUTED_VALUE"""),1)</f>
        <v>1</v>
      </c>
      <c r="E314" s="14">
        <f ca="1">IFERROR(__xludf.DUMMYFUNCTION("""COMPUTED_VALUE"""),35000)</f>
        <v>35000</v>
      </c>
      <c r="F314" s="14">
        <f ca="1">IFERROR(__xludf.DUMMYFUNCTION("""COMPUTED_VALUE"""),35000)</f>
        <v>35000</v>
      </c>
      <c r="G314" s="13" t="str">
        <f ca="1"/>
        <v>Mocha</v>
      </c>
      <c r="H314" s="13" t="str">
        <f ca="1"/>
        <v>Chocolate</v>
      </c>
      <c r="I314" s="13">
        <f ca="1">IFERROR(__xludf.DUMMYFUNCTION("""COMPUTED_VALUE"""),13)</f>
        <v>13</v>
      </c>
      <c r="J314" s="13">
        <f ca="1">IFERROR(__xludf.DUMMYFUNCTION("""COMPUTED_VALUE"""),9)</f>
        <v>9</v>
      </c>
      <c r="K314" s="13">
        <f ca="1">IFERROR(__xludf.DUMMYFUNCTION("""COMPUTED_VALUE"""),2025)</f>
        <v>2025</v>
      </c>
      <c r="L314" s="15">
        <f ca="1"/>
        <v>45913</v>
      </c>
    </row>
    <row r="315" spans="1:12">
      <c r="A315" s="12" t="str">
        <f ca="1">IFERROR(__xludf.DUMMYFUNCTION("""COMPUTED_VALUE"""),"28-09-2025")</f>
        <v>28-09-2025</v>
      </c>
      <c r="B315" s="13" t="str">
        <f ca="1">IFERROR(__xludf.DUMMYFUNCTION("""COMPUTED_VALUE"""),"Medan")</f>
        <v>Medan</v>
      </c>
      <c r="C315" s="13" t="str">
        <f ca="1">IFERROR(__xludf.DUMMYFUNCTION("""COMPUTED_VALUE"""),"P01")</f>
        <v>P01</v>
      </c>
      <c r="D315" s="13">
        <f ca="1">IFERROR(__xludf.DUMMYFUNCTION("""COMPUTED_VALUE"""),2)</f>
        <v>2</v>
      </c>
      <c r="E315" s="14">
        <f ca="1">IFERROR(__xludf.DUMMYFUNCTION("""COMPUTED_VALUE"""),20000)</f>
        <v>20000</v>
      </c>
      <c r="F315" s="14">
        <f ca="1">IFERROR(__xludf.DUMMYFUNCTION("""COMPUTED_VALUE"""),40000)</f>
        <v>40000</v>
      </c>
      <c r="G315" s="13" t="str">
        <f ca="1"/>
        <v>Cappuccino</v>
      </c>
      <c r="H315" s="13" t="str">
        <f ca="1"/>
        <v>Coffee</v>
      </c>
      <c r="I315" s="13">
        <f ca="1">IFERROR(__xludf.DUMMYFUNCTION("""COMPUTED_VALUE"""),28)</f>
        <v>28</v>
      </c>
      <c r="J315" s="13">
        <f ca="1">IFERROR(__xludf.DUMMYFUNCTION("""COMPUTED_VALUE"""),9)</f>
        <v>9</v>
      </c>
      <c r="K315" s="13">
        <f ca="1">IFERROR(__xludf.DUMMYFUNCTION("""COMPUTED_VALUE"""),2025)</f>
        <v>2025</v>
      </c>
      <c r="L315" s="15">
        <f ca="1"/>
        <v>45928</v>
      </c>
    </row>
    <row r="316" spans="1:12">
      <c r="A316" s="12" t="str">
        <f ca="1">IFERROR(__xludf.DUMMYFUNCTION("""COMPUTED_VALUE"""),"25-09-2025")</f>
        <v>25-09-2025</v>
      </c>
      <c r="B316" s="13" t="str">
        <f ca="1">IFERROR(__xludf.DUMMYFUNCTION("""COMPUTED_VALUE"""),"Medan")</f>
        <v>Medan</v>
      </c>
      <c r="C316" s="13" t="str">
        <f ca="1">IFERROR(__xludf.DUMMYFUNCTION("""COMPUTED_VALUE"""),"P02")</f>
        <v>P02</v>
      </c>
      <c r="D316" s="13">
        <f ca="1">IFERROR(__xludf.DUMMYFUNCTION("""COMPUTED_VALUE"""),1)</f>
        <v>1</v>
      </c>
      <c r="E316" s="14">
        <f ca="1">IFERROR(__xludf.DUMMYFUNCTION("""COMPUTED_VALUE"""),35000)</f>
        <v>35000</v>
      </c>
      <c r="F316" s="14">
        <f ca="1">IFERROR(__xludf.DUMMYFUNCTION("""COMPUTED_VALUE"""),35000)</f>
        <v>35000</v>
      </c>
      <c r="G316" s="13" t="str">
        <f ca="1"/>
        <v>Latte</v>
      </c>
      <c r="H316" s="13" t="str">
        <f ca="1"/>
        <v>Coffee</v>
      </c>
      <c r="I316" s="13">
        <f ca="1">IFERROR(__xludf.DUMMYFUNCTION("""COMPUTED_VALUE"""),25)</f>
        <v>25</v>
      </c>
      <c r="J316" s="13">
        <f ca="1">IFERROR(__xludf.DUMMYFUNCTION("""COMPUTED_VALUE"""),9)</f>
        <v>9</v>
      </c>
      <c r="K316" s="13">
        <f ca="1">IFERROR(__xludf.DUMMYFUNCTION("""COMPUTED_VALUE"""),2025)</f>
        <v>2025</v>
      </c>
      <c r="L316" s="15">
        <f ca="1"/>
        <v>45925</v>
      </c>
    </row>
    <row r="317" spans="1:12">
      <c r="A317" s="12" t="str">
        <f ca="1">IFERROR(__xludf.DUMMYFUNCTION("""COMPUTED_VALUE"""),"26-09-2025")</f>
        <v>26-09-2025</v>
      </c>
      <c r="B317" s="13" t="str">
        <f ca="1">IFERROR(__xludf.DUMMYFUNCTION("""COMPUTED_VALUE"""),"Medan")</f>
        <v>Medan</v>
      </c>
      <c r="C317" s="13" t="str">
        <f ca="1">IFERROR(__xludf.DUMMYFUNCTION("""COMPUTED_VALUE"""),"P03")</f>
        <v>P03</v>
      </c>
      <c r="D317" s="13">
        <f ca="1">IFERROR(__xludf.DUMMYFUNCTION("""COMPUTED_VALUE"""),4)</f>
        <v>4</v>
      </c>
      <c r="E317" s="14">
        <f ca="1">IFERROR(__xludf.DUMMYFUNCTION("""COMPUTED_VALUE"""),25000)</f>
        <v>25000</v>
      </c>
      <c r="F317" s="14">
        <f ca="1">IFERROR(__xludf.DUMMYFUNCTION("""COMPUTED_VALUE"""),100000)</f>
        <v>100000</v>
      </c>
      <c r="G317" s="13" t="str">
        <f ca="1"/>
        <v>Espresso</v>
      </c>
      <c r="H317" s="13" t="str">
        <f ca="1"/>
        <v>Coffee</v>
      </c>
      <c r="I317" s="13">
        <f ca="1">IFERROR(__xludf.DUMMYFUNCTION("""COMPUTED_VALUE"""),26)</f>
        <v>26</v>
      </c>
      <c r="J317" s="13">
        <f ca="1">IFERROR(__xludf.DUMMYFUNCTION("""COMPUTED_VALUE"""),9)</f>
        <v>9</v>
      </c>
      <c r="K317" s="13">
        <f ca="1">IFERROR(__xludf.DUMMYFUNCTION("""COMPUTED_VALUE"""),2025)</f>
        <v>2025</v>
      </c>
      <c r="L317" s="15">
        <f ca="1"/>
        <v>45926</v>
      </c>
    </row>
    <row r="318" spans="1:12">
      <c r="A318" s="12" t="str">
        <f ca="1">IFERROR(__xludf.DUMMYFUNCTION("""COMPUTED_VALUE"""),"09-09-2025")</f>
        <v>09-09-2025</v>
      </c>
      <c r="B318" s="13" t="str">
        <f ca="1">IFERROR(__xludf.DUMMYFUNCTION("""COMPUTED_VALUE"""),"Medan")</f>
        <v>Medan</v>
      </c>
      <c r="C318" s="13" t="str">
        <f ca="1">IFERROR(__xludf.DUMMYFUNCTION("""COMPUTED_VALUE"""),"P04")</f>
        <v>P04</v>
      </c>
      <c r="D318" s="13">
        <f ca="1">IFERROR(__xludf.DUMMYFUNCTION("""COMPUTED_VALUE"""),2)</f>
        <v>2</v>
      </c>
      <c r="E318" s="14">
        <f ca="1">IFERROR(__xludf.DUMMYFUNCTION("""COMPUTED_VALUE"""),28000)</f>
        <v>28000</v>
      </c>
      <c r="F318" s="14">
        <f ca="1">IFERROR(__xludf.DUMMYFUNCTION("""COMPUTED_VALUE"""),56000)</f>
        <v>56000</v>
      </c>
      <c r="G318" s="13" t="str">
        <f ca="1"/>
        <v>Americano</v>
      </c>
      <c r="H318" s="13" t="str">
        <f ca="1"/>
        <v>Coffee</v>
      </c>
      <c r="I318" s="13">
        <f ca="1">IFERROR(__xludf.DUMMYFUNCTION("""COMPUTED_VALUE"""),9)</f>
        <v>9</v>
      </c>
      <c r="J318" s="13">
        <f ca="1">IFERROR(__xludf.DUMMYFUNCTION("""COMPUTED_VALUE"""),9)</f>
        <v>9</v>
      </c>
      <c r="K318" s="13">
        <f ca="1">IFERROR(__xludf.DUMMYFUNCTION("""COMPUTED_VALUE"""),2025)</f>
        <v>2025</v>
      </c>
      <c r="L318" s="15">
        <f ca="1"/>
        <v>45909</v>
      </c>
    </row>
    <row r="319" spans="1:12">
      <c r="A319" s="12" t="str">
        <f ca="1">IFERROR(__xludf.DUMMYFUNCTION("""COMPUTED_VALUE"""),"11-09-2025")</f>
        <v>11-09-2025</v>
      </c>
      <c r="B319" s="13" t="str">
        <f ca="1">IFERROR(__xludf.DUMMYFUNCTION("""COMPUTED_VALUE"""),"Medan")</f>
        <v>Medan</v>
      </c>
      <c r="C319" s="13" t="str">
        <f ca="1">IFERROR(__xludf.DUMMYFUNCTION("""COMPUTED_VALUE"""),"P05")</f>
        <v>P05</v>
      </c>
      <c r="D319" s="13">
        <f ca="1">IFERROR(__xludf.DUMMYFUNCTION("""COMPUTED_VALUE"""),3)</f>
        <v>3</v>
      </c>
      <c r="E319" s="14">
        <f ca="1">IFERROR(__xludf.DUMMYFUNCTION("""COMPUTED_VALUE"""),35000)</f>
        <v>35000</v>
      </c>
      <c r="F319" s="14">
        <f ca="1">IFERROR(__xludf.DUMMYFUNCTION("""COMPUTED_VALUE"""),105000)</f>
        <v>105000</v>
      </c>
      <c r="G319" s="13" t="str">
        <f ca="1"/>
        <v>Mocha</v>
      </c>
      <c r="H319" s="13" t="str">
        <f ca="1"/>
        <v>Chocolate</v>
      </c>
      <c r="I319" s="13">
        <f ca="1">IFERROR(__xludf.DUMMYFUNCTION("""COMPUTED_VALUE"""),11)</f>
        <v>11</v>
      </c>
      <c r="J319" s="13">
        <f ca="1">IFERROR(__xludf.DUMMYFUNCTION("""COMPUTED_VALUE"""),9)</f>
        <v>9</v>
      </c>
      <c r="K319" s="13">
        <f ca="1">IFERROR(__xludf.DUMMYFUNCTION("""COMPUTED_VALUE"""),2025)</f>
        <v>2025</v>
      </c>
      <c r="L319" s="15">
        <f ca="1"/>
        <v>45911</v>
      </c>
    </row>
    <row r="320" spans="1:12">
      <c r="A320" s="12" t="str">
        <f ca="1">IFERROR(__xludf.DUMMYFUNCTION("""COMPUTED_VALUE"""),"17-09-2025")</f>
        <v>17-09-2025</v>
      </c>
      <c r="B320" s="13" t="str">
        <f ca="1">IFERROR(__xludf.DUMMYFUNCTION("""COMPUTED_VALUE"""),"Medan")</f>
        <v>Medan</v>
      </c>
      <c r="C320" s="13" t="str">
        <f ca="1">IFERROR(__xludf.DUMMYFUNCTION("""COMPUTED_VALUE"""),"P01")</f>
        <v>P01</v>
      </c>
      <c r="D320" s="13">
        <f ca="1">IFERROR(__xludf.DUMMYFUNCTION("""COMPUTED_VALUE"""),4)</f>
        <v>4</v>
      </c>
      <c r="E320" s="14">
        <f ca="1">IFERROR(__xludf.DUMMYFUNCTION("""COMPUTED_VALUE"""),20000)</f>
        <v>20000</v>
      </c>
      <c r="F320" s="14">
        <f ca="1">IFERROR(__xludf.DUMMYFUNCTION("""COMPUTED_VALUE"""),80000)</f>
        <v>80000</v>
      </c>
      <c r="G320" s="13" t="str">
        <f ca="1"/>
        <v>Cappuccino</v>
      </c>
      <c r="H320" s="13" t="str">
        <f ca="1"/>
        <v>Coffee</v>
      </c>
      <c r="I320" s="13">
        <f ca="1">IFERROR(__xludf.DUMMYFUNCTION("""COMPUTED_VALUE"""),17)</f>
        <v>17</v>
      </c>
      <c r="J320" s="13">
        <f ca="1">IFERROR(__xludf.DUMMYFUNCTION("""COMPUTED_VALUE"""),9)</f>
        <v>9</v>
      </c>
      <c r="K320" s="13">
        <f ca="1">IFERROR(__xludf.DUMMYFUNCTION("""COMPUTED_VALUE"""),2025)</f>
        <v>2025</v>
      </c>
      <c r="L320" s="15">
        <f ca="1"/>
        <v>45917</v>
      </c>
    </row>
    <row r="321" spans="1:12">
      <c r="A321" s="12" t="str">
        <f ca="1">IFERROR(__xludf.DUMMYFUNCTION("""COMPUTED_VALUE"""),"24-09-2025")</f>
        <v>24-09-2025</v>
      </c>
      <c r="B321" s="13" t="str">
        <f ca="1">IFERROR(__xludf.DUMMYFUNCTION("""COMPUTED_VALUE"""),"Medan")</f>
        <v>Medan</v>
      </c>
      <c r="C321" s="13" t="str">
        <f ca="1">IFERROR(__xludf.DUMMYFUNCTION("""COMPUTED_VALUE"""),"P02")</f>
        <v>P02</v>
      </c>
      <c r="D321" s="13">
        <f ca="1">IFERROR(__xludf.DUMMYFUNCTION("""COMPUTED_VALUE"""),3)</f>
        <v>3</v>
      </c>
      <c r="E321" s="14">
        <f ca="1">IFERROR(__xludf.DUMMYFUNCTION("""COMPUTED_VALUE"""),20000)</f>
        <v>20000</v>
      </c>
      <c r="F321" s="14">
        <f ca="1">IFERROR(__xludf.DUMMYFUNCTION("""COMPUTED_VALUE"""),60000)</f>
        <v>60000</v>
      </c>
      <c r="G321" s="13" t="str">
        <f ca="1"/>
        <v>Latte</v>
      </c>
      <c r="H321" s="13" t="str">
        <f ca="1"/>
        <v>Coffee</v>
      </c>
      <c r="I321" s="13">
        <f ca="1">IFERROR(__xludf.DUMMYFUNCTION("""COMPUTED_VALUE"""),24)</f>
        <v>24</v>
      </c>
      <c r="J321" s="13">
        <f ca="1">IFERROR(__xludf.DUMMYFUNCTION("""COMPUTED_VALUE"""),9)</f>
        <v>9</v>
      </c>
      <c r="K321" s="13">
        <f ca="1">IFERROR(__xludf.DUMMYFUNCTION("""COMPUTED_VALUE"""),2025)</f>
        <v>2025</v>
      </c>
      <c r="L321" s="15">
        <f ca="1"/>
        <v>45924</v>
      </c>
    </row>
    <row r="322" spans="1:12">
      <c r="A322" s="12" t="str">
        <f ca="1">IFERROR(__xludf.DUMMYFUNCTION("""COMPUTED_VALUE"""),"05-09-2025")</f>
        <v>05-09-2025</v>
      </c>
      <c r="B322" s="13" t="str">
        <f ca="1">IFERROR(__xludf.DUMMYFUNCTION("""COMPUTED_VALUE"""),"Medan")</f>
        <v>Medan</v>
      </c>
      <c r="C322" s="13" t="str">
        <f ca="1">IFERROR(__xludf.DUMMYFUNCTION("""COMPUTED_VALUE"""),"P03")</f>
        <v>P03</v>
      </c>
      <c r="D322" s="13">
        <f ca="1">IFERROR(__xludf.DUMMYFUNCTION("""COMPUTED_VALUE"""),1)</f>
        <v>1</v>
      </c>
      <c r="E322" s="14">
        <f ca="1">IFERROR(__xludf.DUMMYFUNCTION("""COMPUTED_VALUE"""),30000)</f>
        <v>30000</v>
      </c>
      <c r="F322" s="14">
        <f ca="1">IFERROR(__xludf.DUMMYFUNCTION("""COMPUTED_VALUE"""),30000)</f>
        <v>30000</v>
      </c>
      <c r="G322" s="13" t="str">
        <f ca="1"/>
        <v>Espresso</v>
      </c>
      <c r="H322" s="13" t="str">
        <f ca="1"/>
        <v>Coffee</v>
      </c>
      <c r="I322" s="13">
        <f ca="1">IFERROR(__xludf.DUMMYFUNCTION("""COMPUTED_VALUE"""),5)</f>
        <v>5</v>
      </c>
      <c r="J322" s="13">
        <f ca="1">IFERROR(__xludf.DUMMYFUNCTION("""COMPUTED_VALUE"""),9)</f>
        <v>9</v>
      </c>
      <c r="K322" s="13">
        <f ca="1">IFERROR(__xludf.DUMMYFUNCTION("""COMPUTED_VALUE"""),2025)</f>
        <v>2025</v>
      </c>
      <c r="L322" s="15">
        <f ca="1"/>
        <v>45905</v>
      </c>
    </row>
    <row r="323" spans="1:12">
      <c r="A323" s="12" t="str">
        <f ca="1">IFERROR(__xludf.DUMMYFUNCTION("""COMPUTED_VALUE"""),"18-09-2025")</f>
        <v>18-09-2025</v>
      </c>
      <c r="B323" s="13" t="str">
        <f ca="1">IFERROR(__xludf.DUMMYFUNCTION("""COMPUTED_VALUE"""),"Medan")</f>
        <v>Medan</v>
      </c>
      <c r="C323" s="13" t="str">
        <f ca="1">IFERROR(__xludf.DUMMYFUNCTION("""COMPUTED_VALUE"""),"P04")</f>
        <v>P04</v>
      </c>
      <c r="D323" s="13">
        <f ca="1">IFERROR(__xludf.DUMMYFUNCTION("""COMPUTED_VALUE"""),4)</f>
        <v>4</v>
      </c>
      <c r="E323" s="14">
        <f ca="1">IFERROR(__xludf.DUMMYFUNCTION("""COMPUTED_VALUE"""),28000)</f>
        <v>28000</v>
      </c>
      <c r="F323" s="14">
        <f ca="1">IFERROR(__xludf.DUMMYFUNCTION("""COMPUTED_VALUE"""),112000)</f>
        <v>112000</v>
      </c>
      <c r="G323" s="13" t="str">
        <f ca="1"/>
        <v>Americano</v>
      </c>
      <c r="H323" s="13" t="str">
        <f ca="1"/>
        <v>Coffee</v>
      </c>
      <c r="I323" s="13">
        <f ca="1">IFERROR(__xludf.DUMMYFUNCTION("""COMPUTED_VALUE"""),18)</f>
        <v>18</v>
      </c>
      <c r="J323" s="13">
        <f ca="1">IFERROR(__xludf.DUMMYFUNCTION("""COMPUTED_VALUE"""),9)</f>
        <v>9</v>
      </c>
      <c r="K323" s="13">
        <f ca="1">IFERROR(__xludf.DUMMYFUNCTION("""COMPUTED_VALUE"""),2025)</f>
        <v>2025</v>
      </c>
      <c r="L323" s="15">
        <f ca="1"/>
        <v>45918</v>
      </c>
    </row>
    <row r="324" spans="1:12">
      <c r="A324" s="12" t="str">
        <f ca="1">IFERROR(__xludf.DUMMYFUNCTION("""COMPUTED_VALUE"""),"03-09-2025")</f>
        <v>03-09-2025</v>
      </c>
      <c r="B324" s="13" t="str">
        <f ca="1">IFERROR(__xludf.DUMMYFUNCTION("""COMPUTED_VALUE"""),"Medan")</f>
        <v>Medan</v>
      </c>
      <c r="C324" s="13" t="str">
        <f ca="1">IFERROR(__xludf.DUMMYFUNCTION("""COMPUTED_VALUE"""),"P05")</f>
        <v>P05</v>
      </c>
      <c r="D324" s="13">
        <f ca="1">IFERROR(__xludf.DUMMYFUNCTION("""COMPUTED_VALUE"""),1)</f>
        <v>1</v>
      </c>
      <c r="E324" s="14">
        <f ca="1">IFERROR(__xludf.DUMMYFUNCTION("""COMPUTED_VALUE"""),35000)</f>
        <v>35000</v>
      </c>
      <c r="F324" s="14">
        <f ca="1">IFERROR(__xludf.DUMMYFUNCTION("""COMPUTED_VALUE"""),35000)</f>
        <v>35000</v>
      </c>
      <c r="G324" s="13" t="str">
        <f ca="1"/>
        <v>Mocha</v>
      </c>
      <c r="H324" s="13" t="str">
        <f ca="1"/>
        <v>Chocolate</v>
      </c>
      <c r="I324" s="13">
        <f ca="1">IFERROR(__xludf.DUMMYFUNCTION("""COMPUTED_VALUE"""),3)</f>
        <v>3</v>
      </c>
      <c r="J324" s="13">
        <f ca="1">IFERROR(__xludf.DUMMYFUNCTION("""COMPUTED_VALUE"""),9)</f>
        <v>9</v>
      </c>
      <c r="K324" s="13">
        <f ca="1">IFERROR(__xludf.DUMMYFUNCTION("""COMPUTED_VALUE"""),2025)</f>
        <v>2025</v>
      </c>
      <c r="L324" s="15">
        <f ca="1"/>
        <v>45903</v>
      </c>
    </row>
    <row r="325" spans="1:12">
      <c r="A325" s="12" t="str">
        <f ca="1">IFERROR(__xludf.DUMMYFUNCTION("""COMPUTED_VALUE"""),"13-09-2025")</f>
        <v>13-09-2025</v>
      </c>
      <c r="B325" s="13" t="str">
        <f ca="1">IFERROR(__xludf.DUMMYFUNCTION("""COMPUTED_VALUE"""),"Medan")</f>
        <v>Medan</v>
      </c>
      <c r="C325" s="13" t="str">
        <f ca="1">IFERROR(__xludf.DUMMYFUNCTION("""COMPUTED_VALUE"""),"P01")</f>
        <v>P01</v>
      </c>
      <c r="D325" s="13">
        <f ca="1">IFERROR(__xludf.DUMMYFUNCTION("""COMPUTED_VALUE"""),1)</f>
        <v>1</v>
      </c>
      <c r="E325" s="14">
        <f ca="1">IFERROR(__xludf.DUMMYFUNCTION("""COMPUTED_VALUE"""),20000)</f>
        <v>20000</v>
      </c>
      <c r="F325" s="14">
        <f ca="1">IFERROR(__xludf.DUMMYFUNCTION("""COMPUTED_VALUE"""),20000)</f>
        <v>20000</v>
      </c>
      <c r="G325" s="13" t="str">
        <f ca="1"/>
        <v>Cappuccino</v>
      </c>
      <c r="H325" s="13" t="str">
        <f ca="1"/>
        <v>Coffee</v>
      </c>
      <c r="I325" s="13">
        <f ca="1">IFERROR(__xludf.DUMMYFUNCTION("""COMPUTED_VALUE"""),13)</f>
        <v>13</v>
      </c>
      <c r="J325" s="13">
        <f ca="1">IFERROR(__xludf.DUMMYFUNCTION("""COMPUTED_VALUE"""),9)</f>
        <v>9</v>
      </c>
      <c r="K325" s="13">
        <f ca="1">IFERROR(__xludf.DUMMYFUNCTION("""COMPUTED_VALUE"""),2025)</f>
        <v>2025</v>
      </c>
      <c r="L325" s="15">
        <f ca="1"/>
        <v>45913</v>
      </c>
    </row>
    <row r="326" spans="1:12">
      <c r="A326" s="12" t="str">
        <f ca="1">IFERROR(__xludf.DUMMYFUNCTION("""COMPUTED_VALUE"""),"07-09-2025")</f>
        <v>07-09-2025</v>
      </c>
      <c r="B326" s="13" t="str">
        <f ca="1">IFERROR(__xludf.DUMMYFUNCTION("""COMPUTED_VALUE"""),"Medan")</f>
        <v>Medan</v>
      </c>
      <c r="C326" s="13" t="str">
        <f ca="1">IFERROR(__xludf.DUMMYFUNCTION("""COMPUTED_VALUE"""),"P02")</f>
        <v>P02</v>
      </c>
      <c r="D326" s="13">
        <f ca="1">IFERROR(__xludf.DUMMYFUNCTION("""COMPUTED_VALUE"""),1)</f>
        <v>1</v>
      </c>
      <c r="E326" s="14">
        <f ca="1">IFERROR(__xludf.DUMMYFUNCTION("""COMPUTED_VALUE"""),25000)</f>
        <v>25000</v>
      </c>
      <c r="F326" s="14">
        <f ca="1">IFERROR(__xludf.DUMMYFUNCTION("""COMPUTED_VALUE"""),25000)</f>
        <v>25000</v>
      </c>
      <c r="G326" s="13" t="str">
        <f ca="1"/>
        <v>Latte</v>
      </c>
      <c r="H326" s="13" t="str">
        <f ca="1"/>
        <v>Coffee</v>
      </c>
      <c r="I326" s="13">
        <f ca="1">IFERROR(__xludf.DUMMYFUNCTION("""COMPUTED_VALUE"""),7)</f>
        <v>7</v>
      </c>
      <c r="J326" s="13">
        <f ca="1">IFERROR(__xludf.DUMMYFUNCTION("""COMPUTED_VALUE"""),9)</f>
        <v>9</v>
      </c>
      <c r="K326" s="13">
        <f ca="1">IFERROR(__xludf.DUMMYFUNCTION("""COMPUTED_VALUE"""),2025)</f>
        <v>2025</v>
      </c>
      <c r="L326" s="15">
        <f ca="1"/>
        <v>45907</v>
      </c>
    </row>
    <row r="327" spans="1:12">
      <c r="A327" s="12" t="str">
        <f ca="1">IFERROR(__xludf.DUMMYFUNCTION("""COMPUTED_VALUE"""),"14-09-2025")</f>
        <v>14-09-2025</v>
      </c>
      <c r="B327" s="13" t="str">
        <f ca="1">IFERROR(__xludf.DUMMYFUNCTION("""COMPUTED_VALUE"""),"Medan")</f>
        <v>Medan</v>
      </c>
      <c r="C327" s="13" t="str">
        <f ca="1">IFERROR(__xludf.DUMMYFUNCTION("""COMPUTED_VALUE"""),"P03")</f>
        <v>P03</v>
      </c>
      <c r="D327" s="13">
        <f ca="1">IFERROR(__xludf.DUMMYFUNCTION("""COMPUTED_VALUE"""),1)</f>
        <v>1</v>
      </c>
      <c r="E327" s="14">
        <f ca="1">IFERROR(__xludf.DUMMYFUNCTION("""COMPUTED_VALUE"""),20000)</f>
        <v>20000</v>
      </c>
      <c r="F327" s="14">
        <f ca="1">IFERROR(__xludf.DUMMYFUNCTION("""COMPUTED_VALUE"""),20000)</f>
        <v>20000</v>
      </c>
      <c r="G327" s="13" t="str">
        <f ca="1"/>
        <v>Espresso</v>
      </c>
      <c r="H327" s="13" t="str">
        <f ca="1"/>
        <v>Coffee</v>
      </c>
      <c r="I327" s="13">
        <f ca="1">IFERROR(__xludf.DUMMYFUNCTION("""COMPUTED_VALUE"""),14)</f>
        <v>14</v>
      </c>
      <c r="J327" s="13">
        <f ca="1">IFERROR(__xludf.DUMMYFUNCTION("""COMPUTED_VALUE"""),9)</f>
        <v>9</v>
      </c>
      <c r="K327" s="13">
        <f ca="1">IFERROR(__xludf.DUMMYFUNCTION("""COMPUTED_VALUE"""),2025)</f>
        <v>2025</v>
      </c>
      <c r="L327" s="15">
        <f ca="1"/>
        <v>45914</v>
      </c>
    </row>
    <row r="328" spans="1:12">
      <c r="A328" s="12" t="str">
        <f ca="1">IFERROR(__xludf.DUMMYFUNCTION("""COMPUTED_VALUE"""),"30-09-2025")</f>
        <v>30-09-2025</v>
      </c>
      <c r="B328" s="13" t="str">
        <f ca="1">IFERROR(__xludf.DUMMYFUNCTION("""COMPUTED_VALUE"""),"Medan")</f>
        <v>Medan</v>
      </c>
      <c r="C328" s="13" t="str">
        <f ca="1">IFERROR(__xludf.DUMMYFUNCTION("""COMPUTED_VALUE"""),"P04")</f>
        <v>P04</v>
      </c>
      <c r="D328" s="13">
        <f ca="1">IFERROR(__xludf.DUMMYFUNCTION("""COMPUTED_VALUE"""),5)</f>
        <v>5</v>
      </c>
      <c r="E328" s="14">
        <f ca="1">IFERROR(__xludf.DUMMYFUNCTION("""COMPUTED_VALUE"""),28000)</f>
        <v>28000</v>
      </c>
      <c r="F328" s="14">
        <f ca="1">IFERROR(__xludf.DUMMYFUNCTION("""COMPUTED_VALUE"""),140000)</f>
        <v>140000</v>
      </c>
      <c r="G328" s="13" t="str">
        <f ca="1"/>
        <v>Americano</v>
      </c>
      <c r="H328" s="13" t="str">
        <f ca="1"/>
        <v>Coffee</v>
      </c>
      <c r="I328" s="13">
        <f ca="1">IFERROR(__xludf.DUMMYFUNCTION("""COMPUTED_VALUE"""),30)</f>
        <v>30</v>
      </c>
      <c r="J328" s="13">
        <f ca="1">IFERROR(__xludf.DUMMYFUNCTION("""COMPUTED_VALUE"""),9)</f>
        <v>9</v>
      </c>
      <c r="K328" s="13">
        <f ca="1">IFERROR(__xludf.DUMMYFUNCTION("""COMPUTED_VALUE"""),2025)</f>
        <v>2025</v>
      </c>
      <c r="L328" s="15">
        <f ca="1"/>
        <v>45930</v>
      </c>
    </row>
    <row r="329" spans="1:12">
      <c r="A329" s="12" t="str">
        <f ca="1">IFERROR(__xludf.DUMMYFUNCTION("""COMPUTED_VALUE"""),"19-09-2025")</f>
        <v>19-09-2025</v>
      </c>
      <c r="B329" s="13" t="str">
        <f ca="1">IFERROR(__xludf.DUMMYFUNCTION("""COMPUTED_VALUE"""),"Medan")</f>
        <v>Medan</v>
      </c>
      <c r="C329" s="13" t="str">
        <f ca="1">IFERROR(__xludf.DUMMYFUNCTION("""COMPUTED_VALUE"""),"P05")</f>
        <v>P05</v>
      </c>
      <c r="D329" s="13">
        <f ca="1">IFERROR(__xludf.DUMMYFUNCTION("""COMPUTED_VALUE"""),3)</f>
        <v>3</v>
      </c>
      <c r="E329" s="14">
        <f ca="1">IFERROR(__xludf.DUMMYFUNCTION("""COMPUTED_VALUE"""),20000)</f>
        <v>20000</v>
      </c>
      <c r="F329" s="14">
        <f ca="1">IFERROR(__xludf.DUMMYFUNCTION("""COMPUTED_VALUE"""),60000)</f>
        <v>60000</v>
      </c>
      <c r="G329" s="13" t="str">
        <f ca="1"/>
        <v>Mocha</v>
      </c>
      <c r="H329" s="13" t="str">
        <f ca="1"/>
        <v>Chocolate</v>
      </c>
      <c r="I329" s="13">
        <f ca="1">IFERROR(__xludf.DUMMYFUNCTION("""COMPUTED_VALUE"""),19)</f>
        <v>19</v>
      </c>
      <c r="J329" s="13">
        <f ca="1">IFERROR(__xludf.DUMMYFUNCTION("""COMPUTED_VALUE"""),9)</f>
        <v>9</v>
      </c>
      <c r="K329" s="13">
        <f ca="1">IFERROR(__xludf.DUMMYFUNCTION("""COMPUTED_VALUE"""),2025)</f>
        <v>2025</v>
      </c>
      <c r="L329" s="15">
        <f ca="1"/>
        <v>45919</v>
      </c>
    </row>
    <row r="330" spans="1:12">
      <c r="A330" s="12" t="str">
        <f ca="1">IFERROR(__xludf.DUMMYFUNCTION("""COMPUTED_VALUE"""),"14-09-2025")</f>
        <v>14-09-2025</v>
      </c>
      <c r="B330" s="13" t="str">
        <f ca="1">IFERROR(__xludf.DUMMYFUNCTION("""COMPUTED_VALUE"""),"Medan")</f>
        <v>Medan</v>
      </c>
      <c r="C330" s="13" t="str">
        <f ca="1">IFERROR(__xludf.DUMMYFUNCTION("""COMPUTED_VALUE"""),"P01")</f>
        <v>P01</v>
      </c>
      <c r="D330" s="13">
        <f ca="1">IFERROR(__xludf.DUMMYFUNCTION("""COMPUTED_VALUE"""),1)</f>
        <v>1</v>
      </c>
      <c r="E330" s="14">
        <f ca="1">IFERROR(__xludf.DUMMYFUNCTION("""COMPUTED_VALUE"""),20000)</f>
        <v>20000</v>
      </c>
      <c r="F330" s="14">
        <f ca="1">IFERROR(__xludf.DUMMYFUNCTION("""COMPUTED_VALUE"""),20000)</f>
        <v>20000</v>
      </c>
      <c r="G330" s="13" t="str">
        <f ca="1"/>
        <v>Cappuccino</v>
      </c>
      <c r="H330" s="13" t="str">
        <f ca="1"/>
        <v>Coffee</v>
      </c>
      <c r="I330" s="13">
        <f ca="1">IFERROR(__xludf.DUMMYFUNCTION("""COMPUTED_VALUE"""),14)</f>
        <v>14</v>
      </c>
      <c r="J330" s="13">
        <f ca="1">IFERROR(__xludf.DUMMYFUNCTION("""COMPUTED_VALUE"""),9)</f>
        <v>9</v>
      </c>
      <c r="K330" s="13">
        <f ca="1">IFERROR(__xludf.DUMMYFUNCTION("""COMPUTED_VALUE"""),2025)</f>
        <v>2025</v>
      </c>
      <c r="L330" s="15">
        <f ca="1"/>
        <v>45914</v>
      </c>
    </row>
    <row r="331" spans="1:12">
      <c r="A331" s="12" t="str">
        <f ca="1">IFERROR(__xludf.DUMMYFUNCTION("""COMPUTED_VALUE"""),"04-09-2025")</f>
        <v>04-09-2025</v>
      </c>
      <c r="B331" s="13" t="str">
        <f ca="1">IFERROR(__xludf.DUMMYFUNCTION("""COMPUTED_VALUE"""),"Medan")</f>
        <v>Medan</v>
      </c>
      <c r="C331" s="13" t="str">
        <f ca="1">IFERROR(__xludf.DUMMYFUNCTION("""COMPUTED_VALUE"""),"P02")</f>
        <v>P02</v>
      </c>
      <c r="D331" s="13">
        <f ca="1">IFERROR(__xludf.DUMMYFUNCTION("""COMPUTED_VALUE"""),2)</f>
        <v>2</v>
      </c>
      <c r="E331" s="14">
        <f ca="1">IFERROR(__xludf.DUMMYFUNCTION("""COMPUTED_VALUE"""),30000)</f>
        <v>30000</v>
      </c>
      <c r="F331" s="14">
        <f ca="1">IFERROR(__xludf.DUMMYFUNCTION("""COMPUTED_VALUE"""),60000)</f>
        <v>60000</v>
      </c>
      <c r="G331" s="13" t="str">
        <f ca="1"/>
        <v>Latte</v>
      </c>
      <c r="H331" s="13" t="str">
        <f ca="1"/>
        <v>Coffee</v>
      </c>
      <c r="I331" s="13">
        <f ca="1">IFERROR(__xludf.DUMMYFUNCTION("""COMPUTED_VALUE"""),4)</f>
        <v>4</v>
      </c>
      <c r="J331" s="13">
        <f ca="1">IFERROR(__xludf.DUMMYFUNCTION("""COMPUTED_VALUE"""),9)</f>
        <v>9</v>
      </c>
      <c r="K331" s="13">
        <f ca="1">IFERROR(__xludf.DUMMYFUNCTION("""COMPUTED_VALUE"""),2025)</f>
        <v>2025</v>
      </c>
      <c r="L331" s="15">
        <f ca="1"/>
        <v>45904</v>
      </c>
    </row>
    <row r="332" spans="1:12">
      <c r="A332" s="12" t="str">
        <f ca="1">IFERROR(__xludf.DUMMYFUNCTION("""COMPUTED_VALUE"""),"11-09-2025")</f>
        <v>11-09-2025</v>
      </c>
      <c r="B332" s="13" t="str">
        <f ca="1">IFERROR(__xludf.DUMMYFUNCTION("""COMPUTED_VALUE"""),"Medan")</f>
        <v>Medan</v>
      </c>
      <c r="C332" s="13" t="str">
        <f ca="1">IFERROR(__xludf.DUMMYFUNCTION("""COMPUTED_VALUE"""),"P03")</f>
        <v>P03</v>
      </c>
      <c r="D332" s="13">
        <f ca="1">IFERROR(__xludf.DUMMYFUNCTION("""COMPUTED_VALUE"""),4)</f>
        <v>4</v>
      </c>
      <c r="E332" s="14">
        <f ca="1">IFERROR(__xludf.DUMMYFUNCTION("""COMPUTED_VALUE"""),28000)</f>
        <v>28000</v>
      </c>
      <c r="F332" s="14">
        <f ca="1">IFERROR(__xludf.DUMMYFUNCTION("""COMPUTED_VALUE"""),112000)</f>
        <v>112000</v>
      </c>
      <c r="G332" s="13" t="str">
        <f ca="1"/>
        <v>Espresso</v>
      </c>
      <c r="H332" s="13" t="str">
        <f ca="1"/>
        <v>Coffee</v>
      </c>
      <c r="I332" s="13">
        <f ca="1">IFERROR(__xludf.DUMMYFUNCTION("""COMPUTED_VALUE"""),11)</f>
        <v>11</v>
      </c>
      <c r="J332" s="13">
        <f ca="1">IFERROR(__xludf.DUMMYFUNCTION("""COMPUTED_VALUE"""),9)</f>
        <v>9</v>
      </c>
      <c r="K332" s="13">
        <f ca="1">IFERROR(__xludf.DUMMYFUNCTION("""COMPUTED_VALUE"""),2025)</f>
        <v>2025</v>
      </c>
      <c r="L332" s="15">
        <f ca="1"/>
        <v>45911</v>
      </c>
    </row>
    <row r="333" spans="1:12">
      <c r="A333" s="12" t="str">
        <f ca="1">IFERROR(__xludf.DUMMYFUNCTION("""COMPUTED_VALUE"""),"25-09-2025")</f>
        <v>25-09-2025</v>
      </c>
      <c r="B333" s="13" t="str">
        <f ca="1">IFERROR(__xludf.DUMMYFUNCTION("""COMPUTED_VALUE"""),"Medan")</f>
        <v>Medan</v>
      </c>
      <c r="C333" s="13" t="str">
        <f ca="1">IFERROR(__xludf.DUMMYFUNCTION("""COMPUTED_VALUE"""),"P04")</f>
        <v>P04</v>
      </c>
      <c r="D333" s="13">
        <f ca="1">IFERROR(__xludf.DUMMYFUNCTION("""COMPUTED_VALUE"""),3)</f>
        <v>3</v>
      </c>
      <c r="E333" s="14">
        <f ca="1">IFERROR(__xludf.DUMMYFUNCTION("""COMPUTED_VALUE"""),25000)</f>
        <v>25000</v>
      </c>
      <c r="F333" s="14">
        <f ca="1">IFERROR(__xludf.DUMMYFUNCTION("""COMPUTED_VALUE"""),75000)</f>
        <v>75000</v>
      </c>
      <c r="G333" s="13" t="str">
        <f ca="1"/>
        <v>Americano</v>
      </c>
      <c r="H333" s="13" t="str">
        <f ca="1"/>
        <v>Coffee</v>
      </c>
      <c r="I333" s="13">
        <f ca="1">IFERROR(__xludf.DUMMYFUNCTION("""COMPUTED_VALUE"""),25)</f>
        <v>25</v>
      </c>
      <c r="J333" s="13">
        <f ca="1">IFERROR(__xludf.DUMMYFUNCTION("""COMPUTED_VALUE"""),9)</f>
        <v>9</v>
      </c>
      <c r="K333" s="13">
        <f ca="1">IFERROR(__xludf.DUMMYFUNCTION("""COMPUTED_VALUE"""),2025)</f>
        <v>2025</v>
      </c>
      <c r="L333" s="15">
        <f ca="1"/>
        <v>45925</v>
      </c>
    </row>
    <row r="334" spans="1:12">
      <c r="A334" s="12" t="str">
        <f ca="1">IFERROR(__xludf.DUMMYFUNCTION("""COMPUTED_VALUE"""),"28-09-2025")</f>
        <v>28-09-2025</v>
      </c>
      <c r="B334" s="13" t="str">
        <f ca="1">IFERROR(__xludf.DUMMYFUNCTION("""COMPUTED_VALUE"""),"Medan")</f>
        <v>Medan</v>
      </c>
      <c r="C334" s="13" t="str">
        <f ca="1">IFERROR(__xludf.DUMMYFUNCTION("""COMPUTED_VALUE"""),"P05")</f>
        <v>P05</v>
      </c>
      <c r="D334" s="13">
        <f ca="1">IFERROR(__xludf.DUMMYFUNCTION("""COMPUTED_VALUE"""),2)</f>
        <v>2</v>
      </c>
      <c r="E334" s="14">
        <f ca="1">IFERROR(__xludf.DUMMYFUNCTION("""COMPUTED_VALUE"""),28000)</f>
        <v>28000</v>
      </c>
      <c r="F334" s="14">
        <f ca="1">IFERROR(__xludf.DUMMYFUNCTION("""COMPUTED_VALUE"""),56000)</f>
        <v>56000</v>
      </c>
      <c r="G334" s="13" t="str">
        <f ca="1"/>
        <v>Mocha</v>
      </c>
      <c r="H334" s="13" t="str">
        <f ca="1"/>
        <v>Chocolate</v>
      </c>
      <c r="I334" s="13">
        <f ca="1">IFERROR(__xludf.DUMMYFUNCTION("""COMPUTED_VALUE"""),28)</f>
        <v>28</v>
      </c>
      <c r="J334" s="13">
        <f ca="1">IFERROR(__xludf.DUMMYFUNCTION("""COMPUTED_VALUE"""),9)</f>
        <v>9</v>
      </c>
      <c r="K334" s="13">
        <f ca="1">IFERROR(__xludf.DUMMYFUNCTION("""COMPUTED_VALUE"""),2025)</f>
        <v>2025</v>
      </c>
      <c r="L334" s="15">
        <f ca="1"/>
        <v>45928</v>
      </c>
    </row>
    <row r="335" spans="1:12">
      <c r="A335" s="12" t="str">
        <f ca="1">IFERROR(__xludf.DUMMYFUNCTION("""COMPUTED_VALUE"""),"02-09-2025")</f>
        <v>02-09-2025</v>
      </c>
      <c r="B335" s="13" t="str">
        <f ca="1">IFERROR(__xludf.DUMMYFUNCTION("""COMPUTED_VALUE"""),"Medan")</f>
        <v>Medan</v>
      </c>
      <c r="C335" s="13" t="str">
        <f ca="1">IFERROR(__xludf.DUMMYFUNCTION("""COMPUTED_VALUE"""),"P01")</f>
        <v>P01</v>
      </c>
      <c r="D335" s="13">
        <f ca="1">IFERROR(__xludf.DUMMYFUNCTION("""COMPUTED_VALUE"""),3)</f>
        <v>3</v>
      </c>
      <c r="E335" s="14">
        <f ca="1">IFERROR(__xludf.DUMMYFUNCTION("""COMPUTED_VALUE"""),28000)</f>
        <v>28000</v>
      </c>
      <c r="F335" s="14">
        <f ca="1">IFERROR(__xludf.DUMMYFUNCTION("""COMPUTED_VALUE"""),84000)</f>
        <v>84000</v>
      </c>
      <c r="G335" s="13" t="str">
        <f ca="1"/>
        <v>Cappuccino</v>
      </c>
      <c r="H335" s="13" t="str">
        <f ca="1"/>
        <v>Coffee</v>
      </c>
      <c r="I335" s="13">
        <f ca="1">IFERROR(__xludf.DUMMYFUNCTION("""COMPUTED_VALUE"""),2)</f>
        <v>2</v>
      </c>
      <c r="J335" s="13">
        <f ca="1">IFERROR(__xludf.DUMMYFUNCTION("""COMPUTED_VALUE"""),9)</f>
        <v>9</v>
      </c>
      <c r="K335" s="13">
        <f ca="1">IFERROR(__xludf.DUMMYFUNCTION("""COMPUTED_VALUE"""),2025)</f>
        <v>2025</v>
      </c>
      <c r="L335" s="15">
        <f ca="1"/>
        <v>45902</v>
      </c>
    </row>
    <row r="336" spans="1:12">
      <c r="A336" s="12" t="str">
        <f ca="1">IFERROR(__xludf.DUMMYFUNCTION("""COMPUTED_VALUE"""),"15-09-2025")</f>
        <v>15-09-2025</v>
      </c>
      <c r="B336" s="13" t="str">
        <f ca="1">IFERROR(__xludf.DUMMYFUNCTION("""COMPUTED_VALUE"""),"Medan")</f>
        <v>Medan</v>
      </c>
      <c r="C336" s="13" t="str">
        <f ca="1">IFERROR(__xludf.DUMMYFUNCTION("""COMPUTED_VALUE"""),"P02")</f>
        <v>P02</v>
      </c>
      <c r="D336" s="13">
        <f ca="1">IFERROR(__xludf.DUMMYFUNCTION("""COMPUTED_VALUE"""),1)</f>
        <v>1</v>
      </c>
      <c r="E336" s="14">
        <f ca="1">IFERROR(__xludf.DUMMYFUNCTION("""COMPUTED_VALUE"""),20000)</f>
        <v>20000</v>
      </c>
      <c r="F336" s="14">
        <f ca="1">IFERROR(__xludf.DUMMYFUNCTION("""COMPUTED_VALUE"""),20000)</f>
        <v>20000</v>
      </c>
      <c r="G336" s="13" t="str">
        <f ca="1"/>
        <v>Latte</v>
      </c>
      <c r="H336" s="13" t="str">
        <f ca="1"/>
        <v>Coffee</v>
      </c>
      <c r="I336" s="13">
        <f ca="1">IFERROR(__xludf.DUMMYFUNCTION("""COMPUTED_VALUE"""),15)</f>
        <v>15</v>
      </c>
      <c r="J336" s="13">
        <f ca="1">IFERROR(__xludf.DUMMYFUNCTION("""COMPUTED_VALUE"""),9)</f>
        <v>9</v>
      </c>
      <c r="K336" s="13">
        <f ca="1">IFERROR(__xludf.DUMMYFUNCTION("""COMPUTED_VALUE"""),2025)</f>
        <v>2025</v>
      </c>
      <c r="L336" s="15">
        <f ca="1"/>
        <v>45915</v>
      </c>
    </row>
    <row r="337" spans="1:12">
      <c r="A337" s="12" t="str">
        <f ca="1">IFERROR(__xludf.DUMMYFUNCTION("""COMPUTED_VALUE"""),"03-09-2025")</f>
        <v>03-09-2025</v>
      </c>
      <c r="B337" s="13" t="str">
        <f ca="1">IFERROR(__xludf.DUMMYFUNCTION("""COMPUTED_VALUE"""),"Medan")</f>
        <v>Medan</v>
      </c>
      <c r="C337" s="13" t="str">
        <f ca="1">IFERROR(__xludf.DUMMYFUNCTION("""COMPUTED_VALUE"""),"P03")</f>
        <v>P03</v>
      </c>
      <c r="D337" s="13">
        <f ca="1">IFERROR(__xludf.DUMMYFUNCTION("""COMPUTED_VALUE"""),1)</f>
        <v>1</v>
      </c>
      <c r="E337" s="14">
        <f ca="1">IFERROR(__xludf.DUMMYFUNCTION("""COMPUTED_VALUE"""),25000)</f>
        <v>25000</v>
      </c>
      <c r="F337" s="14">
        <f ca="1">IFERROR(__xludf.DUMMYFUNCTION("""COMPUTED_VALUE"""),25000)</f>
        <v>25000</v>
      </c>
      <c r="G337" s="13" t="str">
        <f ca="1"/>
        <v>Espresso</v>
      </c>
      <c r="H337" s="13" t="str">
        <f ca="1"/>
        <v>Coffee</v>
      </c>
      <c r="I337" s="13">
        <f ca="1">IFERROR(__xludf.DUMMYFUNCTION("""COMPUTED_VALUE"""),3)</f>
        <v>3</v>
      </c>
      <c r="J337" s="13">
        <f ca="1">IFERROR(__xludf.DUMMYFUNCTION("""COMPUTED_VALUE"""),9)</f>
        <v>9</v>
      </c>
      <c r="K337" s="13">
        <f ca="1">IFERROR(__xludf.DUMMYFUNCTION("""COMPUTED_VALUE"""),2025)</f>
        <v>2025</v>
      </c>
      <c r="L337" s="15">
        <f ca="1"/>
        <v>45903</v>
      </c>
    </row>
    <row r="338" spans="1:12">
      <c r="A338" s="12" t="str">
        <f ca="1">IFERROR(__xludf.DUMMYFUNCTION("""COMPUTED_VALUE"""),"01-09-2025")</f>
        <v>01-09-2025</v>
      </c>
      <c r="B338" s="13" t="str">
        <f ca="1">IFERROR(__xludf.DUMMYFUNCTION("""COMPUTED_VALUE"""),"Medan")</f>
        <v>Medan</v>
      </c>
      <c r="C338" s="13" t="str">
        <f ca="1">IFERROR(__xludf.DUMMYFUNCTION("""COMPUTED_VALUE"""),"P04")</f>
        <v>P04</v>
      </c>
      <c r="D338" s="13">
        <f ca="1">IFERROR(__xludf.DUMMYFUNCTION("""COMPUTED_VALUE"""),4)</f>
        <v>4</v>
      </c>
      <c r="E338" s="14">
        <f ca="1">IFERROR(__xludf.DUMMYFUNCTION("""COMPUTED_VALUE"""),20000)</f>
        <v>20000</v>
      </c>
      <c r="F338" s="14">
        <f ca="1">IFERROR(__xludf.DUMMYFUNCTION("""COMPUTED_VALUE"""),80000)</f>
        <v>80000</v>
      </c>
      <c r="G338" s="13" t="str">
        <f ca="1"/>
        <v>Americano</v>
      </c>
      <c r="H338" s="13" t="str">
        <f ca="1"/>
        <v>Coffee</v>
      </c>
      <c r="I338" s="13">
        <f ca="1">IFERROR(__xludf.DUMMYFUNCTION("""COMPUTED_VALUE"""),1)</f>
        <v>1</v>
      </c>
      <c r="J338" s="13">
        <f ca="1">IFERROR(__xludf.DUMMYFUNCTION("""COMPUTED_VALUE"""),9)</f>
        <v>9</v>
      </c>
      <c r="K338" s="13">
        <f ca="1">IFERROR(__xludf.DUMMYFUNCTION("""COMPUTED_VALUE"""),2025)</f>
        <v>2025</v>
      </c>
      <c r="L338" s="15">
        <f ca="1"/>
        <v>45901</v>
      </c>
    </row>
    <row r="339" spans="1:12">
      <c r="A339" s="12" t="str">
        <f ca="1">IFERROR(__xludf.DUMMYFUNCTION("""COMPUTED_VALUE"""),"17-09-2025")</f>
        <v>17-09-2025</v>
      </c>
      <c r="B339" s="13" t="str">
        <f ca="1">IFERROR(__xludf.DUMMYFUNCTION("""COMPUTED_VALUE"""),"Medan")</f>
        <v>Medan</v>
      </c>
      <c r="C339" s="13" t="str">
        <f ca="1">IFERROR(__xludf.DUMMYFUNCTION("""COMPUTED_VALUE"""),"P05")</f>
        <v>P05</v>
      </c>
      <c r="D339" s="13">
        <f ca="1">IFERROR(__xludf.DUMMYFUNCTION("""COMPUTED_VALUE"""),1)</f>
        <v>1</v>
      </c>
      <c r="E339" s="14">
        <f ca="1">IFERROR(__xludf.DUMMYFUNCTION("""COMPUTED_VALUE"""),35000)</f>
        <v>35000</v>
      </c>
      <c r="F339" s="14">
        <f ca="1">IFERROR(__xludf.DUMMYFUNCTION("""COMPUTED_VALUE"""),35000)</f>
        <v>35000</v>
      </c>
      <c r="G339" s="13" t="str">
        <f ca="1"/>
        <v>Mocha</v>
      </c>
      <c r="H339" s="13" t="str">
        <f ca="1"/>
        <v>Chocolate</v>
      </c>
      <c r="I339" s="13">
        <f ca="1">IFERROR(__xludf.DUMMYFUNCTION("""COMPUTED_VALUE"""),17)</f>
        <v>17</v>
      </c>
      <c r="J339" s="13">
        <f ca="1">IFERROR(__xludf.DUMMYFUNCTION("""COMPUTED_VALUE"""),9)</f>
        <v>9</v>
      </c>
      <c r="K339" s="13">
        <f ca="1">IFERROR(__xludf.DUMMYFUNCTION("""COMPUTED_VALUE"""),2025)</f>
        <v>2025</v>
      </c>
      <c r="L339" s="15">
        <f ca="1"/>
        <v>45917</v>
      </c>
    </row>
    <row r="340" spans="1:12">
      <c r="A340" s="12" t="str">
        <f ca="1">IFERROR(__xludf.DUMMYFUNCTION("""COMPUTED_VALUE"""),"10-09-2025")</f>
        <v>10-09-2025</v>
      </c>
      <c r="B340" s="13" t="str">
        <f ca="1">IFERROR(__xludf.DUMMYFUNCTION("""COMPUTED_VALUE"""),"Medan")</f>
        <v>Medan</v>
      </c>
      <c r="C340" s="13" t="str">
        <f ca="1">IFERROR(__xludf.DUMMYFUNCTION("""COMPUTED_VALUE"""),"P03")</f>
        <v>P03</v>
      </c>
      <c r="D340" s="13">
        <f ca="1">IFERROR(__xludf.DUMMYFUNCTION("""COMPUTED_VALUE"""),3)</f>
        <v>3</v>
      </c>
      <c r="E340" s="14">
        <f ca="1">IFERROR(__xludf.DUMMYFUNCTION("""COMPUTED_VALUE"""),25000)</f>
        <v>25000</v>
      </c>
      <c r="F340" s="14">
        <f ca="1">IFERROR(__xludf.DUMMYFUNCTION("""COMPUTED_VALUE"""),75000)</f>
        <v>75000</v>
      </c>
      <c r="G340" s="13" t="str">
        <f ca="1"/>
        <v>Espresso</v>
      </c>
      <c r="H340" s="13" t="str">
        <f ca="1"/>
        <v>Coffee</v>
      </c>
      <c r="I340" s="13">
        <f ca="1">IFERROR(__xludf.DUMMYFUNCTION("""COMPUTED_VALUE"""),10)</f>
        <v>10</v>
      </c>
      <c r="J340" s="13">
        <f ca="1">IFERROR(__xludf.DUMMYFUNCTION("""COMPUTED_VALUE"""),9)</f>
        <v>9</v>
      </c>
      <c r="K340" s="13">
        <f ca="1">IFERROR(__xludf.DUMMYFUNCTION("""COMPUTED_VALUE"""),2025)</f>
        <v>2025</v>
      </c>
      <c r="L340" s="15">
        <f ca="1"/>
        <v>45910</v>
      </c>
    </row>
    <row r="341" spans="1:12">
      <c r="A341" s="12" t="str">
        <f ca="1">IFERROR(__xludf.DUMMYFUNCTION("""COMPUTED_VALUE"""),"22-09-2025")</f>
        <v>22-09-2025</v>
      </c>
      <c r="B341" s="13" t="str">
        <f ca="1">IFERROR(__xludf.DUMMYFUNCTION("""COMPUTED_VALUE"""),"Medan")</f>
        <v>Medan</v>
      </c>
      <c r="C341" s="13" t="str">
        <f ca="1">IFERROR(__xludf.DUMMYFUNCTION("""COMPUTED_VALUE"""),"P04")</f>
        <v>P04</v>
      </c>
      <c r="D341" s="13">
        <f ca="1">IFERROR(__xludf.DUMMYFUNCTION("""COMPUTED_VALUE"""),5)</f>
        <v>5</v>
      </c>
      <c r="E341" s="14">
        <f ca="1">IFERROR(__xludf.DUMMYFUNCTION("""COMPUTED_VALUE"""),25000)</f>
        <v>25000</v>
      </c>
      <c r="F341" s="14">
        <f ca="1">IFERROR(__xludf.DUMMYFUNCTION("""COMPUTED_VALUE"""),125000)</f>
        <v>125000</v>
      </c>
      <c r="G341" s="13" t="str">
        <f ca="1"/>
        <v>Americano</v>
      </c>
      <c r="H341" s="13" t="str">
        <f ca="1"/>
        <v>Coffee</v>
      </c>
      <c r="I341" s="13">
        <f ca="1">IFERROR(__xludf.DUMMYFUNCTION("""COMPUTED_VALUE"""),22)</f>
        <v>22</v>
      </c>
      <c r="J341" s="13">
        <f ca="1">IFERROR(__xludf.DUMMYFUNCTION("""COMPUTED_VALUE"""),9)</f>
        <v>9</v>
      </c>
      <c r="K341" s="13">
        <f ca="1">IFERROR(__xludf.DUMMYFUNCTION("""COMPUTED_VALUE"""),2025)</f>
        <v>2025</v>
      </c>
      <c r="L341" s="15">
        <f ca="1"/>
        <v>45922</v>
      </c>
    </row>
    <row r="342" spans="1:12">
      <c r="A342" s="12" t="str">
        <f ca="1">IFERROR(__xludf.DUMMYFUNCTION("""COMPUTED_VALUE"""),"08-09-2025")</f>
        <v>08-09-2025</v>
      </c>
      <c r="B342" s="13" t="str">
        <f ca="1">IFERROR(__xludf.DUMMYFUNCTION("""COMPUTED_VALUE"""),"Medan")</f>
        <v>Medan</v>
      </c>
      <c r="C342" s="13" t="str">
        <f ca="1">IFERROR(__xludf.DUMMYFUNCTION("""COMPUTED_VALUE"""),"P05")</f>
        <v>P05</v>
      </c>
      <c r="D342" s="13">
        <f ca="1">IFERROR(__xludf.DUMMYFUNCTION("""COMPUTED_VALUE"""),2)</f>
        <v>2</v>
      </c>
      <c r="E342" s="14">
        <f ca="1">IFERROR(__xludf.DUMMYFUNCTION("""COMPUTED_VALUE"""),35000)</f>
        <v>35000</v>
      </c>
      <c r="F342" s="14">
        <f ca="1">IFERROR(__xludf.DUMMYFUNCTION("""COMPUTED_VALUE"""),70000)</f>
        <v>70000</v>
      </c>
      <c r="G342" s="13" t="str">
        <f ca="1"/>
        <v>Mocha</v>
      </c>
      <c r="H342" s="13" t="str">
        <f ca="1"/>
        <v>Chocolate</v>
      </c>
      <c r="I342" s="13">
        <f ca="1">IFERROR(__xludf.DUMMYFUNCTION("""COMPUTED_VALUE"""),8)</f>
        <v>8</v>
      </c>
      <c r="J342" s="13">
        <f ca="1">IFERROR(__xludf.DUMMYFUNCTION("""COMPUTED_VALUE"""),9)</f>
        <v>9</v>
      </c>
      <c r="K342" s="13">
        <f ca="1">IFERROR(__xludf.DUMMYFUNCTION("""COMPUTED_VALUE"""),2025)</f>
        <v>2025</v>
      </c>
      <c r="L342" s="15">
        <f ca="1"/>
        <v>45908</v>
      </c>
    </row>
    <row r="343" spans="1:12">
      <c r="A343" s="12" t="str">
        <f ca="1">IFERROR(__xludf.DUMMYFUNCTION("""COMPUTED_VALUE"""),"03-09-2025")</f>
        <v>03-09-2025</v>
      </c>
      <c r="B343" s="13" t="str">
        <f ca="1">IFERROR(__xludf.DUMMYFUNCTION("""COMPUTED_VALUE"""),"Medan")</f>
        <v>Medan</v>
      </c>
      <c r="C343" s="13" t="str">
        <f ca="1">IFERROR(__xludf.DUMMYFUNCTION("""COMPUTED_VALUE"""),"P01")</f>
        <v>P01</v>
      </c>
      <c r="D343" s="13">
        <f ca="1">IFERROR(__xludf.DUMMYFUNCTION("""COMPUTED_VALUE"""),1)</f>
        <v>1</v>
      </c>
      <c r="E343" s="14">
        <f ca="1">IFERROR(__xludf.DUMMYFUNCTION("""COMPUTED_VALUE"""),30000)</f>
        <v>30000</v>
      </c>
      <c r="F343" s="14">
        <f ca="1">IFERROR(__xludf.DUMMYFUNCTION("""COMPUTED_VALUE"""),30000)</f>
        <v>30000</v>
      </c>
      <c r="G343" s="13" t="str">
        <f ca="1"/>
        <v>Cappuccino</v>
      </c>
      <c r="H343" s="13" t="str">
        <f ca="1"/>
        <v>Coffee</v>
      </c>
      <c r="I343" s="13">
        <f ca="1">IFERROR(__xludf.DUMMYFUNCTION("""COMPUTED_VALUE"""),3)</f>
        <v>3</v>
      </c>
      <c r="J343" s="13">
        <f ca="1">IFERROR(__xludf.DUMMYFUNCTION("""COMPUTED_VALUE"""),9)</f>
        <v>9</v>
      </c>
      <c r="K343" s="13">
        <f ca="1">IFERROR(__xludf.DUMMYFUNCTION("""COMPUTED_VALUE"""),2025)</f>
        <v>2025</v>
      </c>
      <c r="L343" s="15">
        <f ca="1"/>
        <v>45903</v>
      </c>
    </row>
    <row r="344" spans="1:12">
      <c r="A344" s="12" t="str">
        <f ca="1">IFERROR(__xludf.DUMMYFUNCTION("""COMPUTED_VALUE"""),"12-09-2025")</f>
        <v>12-09-2025</v>
      </c>
      <c r="B344" s="13" t="str">
        <f ca="1">IFERROR(__xludf.DUMMYFUNCTION("""COMPUTED_VALUE"""),"Medan")</f>
        <v>Medan</v>
      </c>
      <c r="C344" s="13" t="str">
        <f ca="1">IFERROR(__xludf.DUMMYFUNCTION("""COMPUTED_VALUE"""),"P02")</f>
        <v>P02</v>
      </c>
      <c r="D344" s="13">
        <f ca="1">IFERROR(__xludf.DUMMYFUNCTION("""COMPUTED_VALUE"""),1)</f>
        <v>1</v>
      </c>
      <c r="E344" s="14">
        <f ca="1">IFERROR(__xludf.DUMMYFUNCTION("""COMPUTED_VALUE"""),25000)</f>
        <v>25000</v>
      </c>
      <c r="F344" s="14">
        <f ca="1">IFERROR(__xludf.DUMMYFUNCTION("""COMPUTED_VALUE"""),25000)</f>
        <v>25000</v>
      </c>
      <c r="G344" s="13" t="str">
        <f ca="1"/>
        <v>Latte</v>
      </c>
      <c r="H344" s="13" t="str">
        <f ca="1"/>
        <v>Coffee</v>
      </c>
      <c r="I344" s="13">
        <f ca="1">IFERROR(__xludf.DUMMYFUNCTION("""COMPUTED_VALUE"""),12)</f>
        <v>12</v>
      </c>
      <c r="J344" s="13">
        <f ca="1">IFERROR(__xludf.DUMMYFUNCTION("""COMPUTED_VALUE"""),9)</f>
        <v>9</v>
      </c>
      <c r="K344" s="13">
        <f ca="1">IFERROR(__xludf.DUMMYFUNCTION("""COMPUTED_VALUE"""),2025)</f>
        <v>2025</v>
      </c>
      <c r="L344" s="15">
        <f ca="1"/>
        <v>45912</v>
      </c>
    </row>
    <row r="345" spans="1:12">
      <c r="A345" s="12" t="str">
        <f ca="1">IFERROR(__xludf.DUMMYFUNCTION("""COMPUTED_VALUE"""),"25-09-2025")</f>
        <v>25-09-2025</v>
      </c>
      <c r="B345" s="13" t="str">
        <f ca="1">IFERROR(__xludf.DUMMYFUNCTION("""COMPUTED_VALUE"""),"Medan")</f>
        <v>Medan</v>
      </c>
      <c r="C345" s="13" t="str">
        <f ca="1">IFERROR(__xludf.DUMMYFUNCTION("""COMPUTED_VALUE"""),"P03")</f>
        <v>P03</v>
      </c>
      <c r="D345" s="13">
        <f ca="1">IFERROR(__xludf.DUMMYFUNCTION("""COMPUTED_VALUE"""),4)</f>
        <v>4</v>
      </c>
      <c r="E345" s="14">
        <f ca="1">IFERROR(__xludf.DUMMYFUNCTION("""COMPUTED_VALUE"""),35000)</f>
        <v>35000</v>
      </c>
      <c r="F345" s="14">
        <f ca="1">IFERROR(__xludf.DUMMYFUNCTION("""COMPUTED_VALUE"""),140000)</f>
        <v>140000</v>
      </c>
      <c r="G345" s="13" t="str">
        <f ca="1"/>
        <v>Espresso</v>
      </c>
      <c r="H345" s="13" t="str">
        <f ca="1"/>
        <v>Coffee</v>
      </c>
      <c r="I345" s="13">
        <f ca="1">IFERROR(__xludf.DUMMYFUNCTION("""COMPUTED_VALUE"""),25)</f>
        <v>25</v>
      </c>
      <c r="J345" s="13">
        <f ca="1">IFERROR(__xludf.DUMMYFUNCTION("""COMPUTED_VALUE"""),9)</f>
        <v>9</v>
      </c>
      <c r="K345" s="13">
        <f ca="1">IFERROR(__xludf.DUMMYFUNCTION("""COMPUTED_VALUE"""),2025)</f>
        <v>2025</v>
      </c>
      <c r="L345" s="15">
        <f ca="1"/>
        <v>45925</v>
      </c>
    </row>
    <row r="346" spans="1:12">
      <c r="A346" s="12" t="str">
        <f ca="1">IFERROR(__xludf.DUMMYFUNCTION("""COMPUTED_VALUE"""),"07-09-2025")</f>
        <v>07-09-2025</v>
      </c>
      <c r="B346" s="13" t="str">
        <f ca="1">IFERROR(__xludf.DUMMYFUNCTION("""COMPUTED_VALUE"""),"Medan")</f>
        <v>Medan</v>
      </c>
      <c r="C346" s="13" t="str">
        <f ca="1">IFERROR(__xludf.DUMMYFUNCTION("""COMPUTED_VALUE"""),"P04")</f>
        <v>P04</v>
      </c>
      <c r="D346" s="13">
        <f ca="1">IFERROR(__xludf.DUMMYFUNCTION("""COMPUTED_VALUE"""),1)</f>
        <v>1</v>
      </c>
      <c r="E346" s="14">
        <f ca="1">IFERROR(__xludf.DUMMYFUNCTION("""COMPUTED_VALUE"""),30000)</f>
        <v>30000</v>
      </c>
      <c r="F346" s="14">
        <f ca="1">IFERROR(__xludf.DUMMYFUNCTION("""COMPUTED_VALUE"""),30000)</f>
        <v>30000</v>
      </c>
      <c r="G346" s="13" t="str">
        <f ca="1"/>
        <v>Americano</v>
      </c>
      <c r="H346" s="13" t="str">
        <f ca="1"/>
        <v>Coffee</v>
      </c>
      <c r="I346" s="13">
        <f ca="1">IFERROR(__xludf.DUMMYFUNCTION("""COMPUTED_VALUE"""),7)</f>
        <v>7</v>
      </c>
      <c r="J346" s="13">
        <f ca="1">IFERROR(__xludf.DUMMYFUNCTION("""COMPUTED_VALUE"""),9)</f>
        <v>9</v>
      </c>
      <c r="K346" s="13">
        <f ca="1">IFERROR(__xludf.DUMMYFUNCTION("""COMPUTED_VALUE"""),2025)</f>
        <v>2025</v>
      </c>
      <c r="L346" s="15">
        <f ca="1"/>
        <v>45907</v>
      </c>
    </row>
    <row r="347" spans="1:12">
      <c r="A347" s="12" t="str">
        <f ca="1">IFERROR(__xludf.DUMMYFUNCTION("""COMPUTED_VALUE"""),"16-09-2025")</f>
        <v>16-09-2025</v>
      </c>
      <c r="B347" s="13" t="str">
        <f ca="1">IFERROR(__xludf.DUMMYFUNCTION("""COMPUTED_VALUE"""),"Medan")</f>
        <v>Medan</v>
      </c>
      <c r="C347" s="13" t="str">
        <f ca="1">IFERROR(__xludf.DUMMYFUNCTION("""COMPUTED_VALUE"""),"P05")</f>
        <v>P05</v>
      </c>
      <c r="D347" s="13">
        <f ca="1">IFERROR(__xludf.DUMMYFUNCTION("""COMPUTED_VALUE"""),3)</f>
        <v>3</v>
      </c>
      <c r="E347" s="14">
        <f ca="1">IFERROR(__xludf.DUMMYFUNCTION("""COMPUTED_VALUE"""),28000)</f>
        <v>28000</v>
      </c>
      <c r="F347" s="14">
        <f ca="1">IFERROR(__xludf.DUMMYFUNCTION("""COMPUTED_VALUE"""),84000)</f>
        <v>84000</v>
      </c>
      <c r="G347" s="13" t="str">
        <f ca="1"/>
        <v>Mocha</v>
      </c>
      <c r="H347" s="13" t="str">
        <f ca="1"/>
        <v>Chocolate</v>
      </c>
      <c r="I347" s="13">
        <f ca="1">IFERROR(__xludf.DUMMYFUNCTION("""COMPUTED_VALUE"""),16)</f>
        <v>16</v>
      </c>
      <c r="J347" s="13">
        <f ca="1">IFERROR(__xludf.DUMMYFUNCTION("""COMPUTED_VALUE"""),9)</f>
        <v>9</v>
      </c>
      <c r="K347" s="13">
        <f ca="1">IFERROR(__xludf.DUMMYFUNCTION("""COMPUTED_VALUE"""),2025)</f>
        <v>2025</v>
      </c>
      <c r="L347" s="15">
        <f ca="1"/>
        <v>45916</v>
      </c>
    </row>
    <row r="348" spans="1:12">
      <c r="A348" s="12" t="str">
        <f ca="1">IFERROR(__xludf.DUMMYFUNCTION("""COMPUTED_VALUE"""),"06-09-2025")</f>
        <v>06-09-2025</v>
      </c>
      <c r="B348" s="13" t="str">
        <f ca="1">IFERROR(__xludf.DUMMYFUNCTION("""COMPUTED_VALUE"""),"Medan")</f>
        <v>Medan</v>
      </c>
      <c r="C348" s="13" t="str">
        <f ca="1">IFERROR(__xludf.DUMMYFUNCTION("""COMPUTED_VALUE"""),"P01")</f>
        <v>P01</v>
      </c>
      <c r="D348" s="13">
        <f ca="1">IFERROR(__xludf.DUMMYFUNCTION("""COMPUTED_VALUE"""),2)</f>
        <v>2</v>
      </c>
      <c r="E348" s="14">
        <f ca="1">IFERROR(__xludf.DUMMYFUNCTION("""COMPUTED_VALUE"""),20000)</f>
        <v>20000</v>
      </c>
      <c r="F348" s="14">
        <f ca="1">IFERROR(__xludf.DUMMYFUNCTION("""COMPUTED_VALUE"""),40000)</f>
        <v>40000</v>
      </c>
      <c r="G348" s="13" t="str">
        <f ca="1"/>
        <v>Cappuccino</v>
      </c>
      <c r="H348" s="13" t="str">
        <f ca="1"/>
        <v>Coffee</v>
      </c>
      <c r="I348" s="13">
        <f ca="1">IFERROR(__xludf.DUMMYFUNCTION("""COMPUTED_VALUE"""),6)</f>
        <v>6</v>
      </c>
      <c r="J348" s="13">
        <f ca="1">IFERROR(__xludf.DUMMYFUNCTION("""COMPUTED_VALUE"""),9)</f>
        <v>9</v>
      </c>
      <c r="K348" s="13">
        <f ca="1">IFERROR(__xludf.DUMMYFUNCTION("""COMPUTED_VALUE"""),2025)</f>
        <v>2025</v>
      </c>
      <c r="L348" s="15">
        <f ca="1"/>
        <v>45906</v>
      </c>
    </row>
    <row r="349" spans="1:12">
      <c r="A349" s="12" t="str">
        <f ca="1">IFERROR(__xludf.DUMMYFUNCTION("""COMPUTED_VALUE"""),"10-09-2025")</f>
        <v>10-09-2025</v>
      </c>
      <c r="B349" s="13" t="str">
        <f ca="1">IFERROR(__xludf.DUMMYFUNCTION("""COMPUTED_VALUE"""),"Medan")</f>
        <v>Medan</v>
      </c>
      <c r="C349" s="13" t="str">
        <f ca="1">IFERROR(__xludf.DUMMYFUNCTION("""COMPUTED_VALUE"""),"P01")</f>
        <v>P01</v>
      </c>
      <c r="D349" s="13">
        <f ca="1">IFERROR(__xludf.DUMMYFUNCTION("""COMPUTED_VALUE"""),2)</f>
        <v>2</v>
      </c>
      <c r="E349" s="14">
        <f ca="1">IFERROR(__xludf.DUMMYFUNCTION("""COMPUTED_VALUE"""),28000)</f>
        <v>28000</v>
      </c>
      <c r="F349" s="14">
        <f ca="1">IFERROR(__xludf.DUMMYFUNCTION("""COMPUTED_VALUE"""),56000)</f>
        <v>56000</v>
      </c>
      <c r="G349" s="13" t="str">
        <f ca="1"/>
        <v>Cappuccino</v>
      </c>
      <c r="H349" s="13" t="str">
        <f ca="1"/>
        <v>Coffee</v>
      </c>
      <c r="I349" s="13">
        <f ca="1">IFERROR(__xludf.DUMMYFUNCTION("""COMPUTED_VALUE"""),10)</f>
        <v>10</v>
      </c>
      <c r="J349" s="13">
        <f ca="1">IFERROR(__xludf.DUMMYFUNCTION("""COMPUTED_VALUE"""),9)</f>
        <v>9</v>
      </c>
      <c r="K349" s="13">
        <f ca="1">IFERROR(__xludf.DUMMYFUNCTION("""COMPUTED_VALUE"""),2025)</f>
        <v>2025</v>
      </c>
      <c r="L349" s="15">
        <f ca="1"/>
        <v>45910</v>
      </c>
    </row>
    <row r="350" spans="1:12">
      <c r="A350" s="12" t="str">
        <f ca="1">IFERROR(__xludf.DUMMYFUNCTION("""COMPUTED_VALUE"""),"27-09-2025")</f>
        <v>27-09-2025</v>
      </c>
      <c r="B350" s="13" t="str">
        <f ca="1">IFERROR(__xludf.DUMMYFUNCTION("""COMPUTED_VALUE"""),"Medan")</f>
        <v>Medan</v>
      </c>
      <c r="C350" s="13" t="str">
        <f ca="1">IFERROR(__xludf.DUMMYFUNCTION("""COMPUTED_VALUE"""),"P02")</f>
        <v>P02</v>
      </c>
      <c r="D350" s="13">
        <f ca="1">IFERROR(__xludf.DUMMYFUNCTION("""COMPUTED_VALUE"""),1)</f>
        <v>1</v>
      </c>
      <c r="E350" s="14">
        <f ca="1">IFERROR(__xludf.DUMMYFUNCTION("""COMPUTED_VALUE"""),28000)</f>
        <v>28000</v>
      </c>
      <c r="F350" s="14">
        <f ca="1">IFERROR(__xludf.DUMMYFUNCTION("""COMPUTED_VALUE"""),28000)</f>
        <v>28000</v>
      </c>
      <c r="G350" s="13" t="str">
        <f ca="1"/>
        <v>Latte</v>
      </c>
      <c r="H350" s="13" t="str">
        <f ca="1"/>
        <v>Coffee</v>
      </c>
      <c r="I350" s="13">
        <f ca="1">IFERROR(__xludf.DUMMYFUNCTION("""COMPUTED_VALUE"""),27)</f>
        <v>27</v>
      </c>
      <c r="J350" s="13">
        <f ca="1">IFERROR(__xludf.DUMMYFUNCTION("""COMPUTED_VALUE"""),9)</f>
        <v>9</v>
      </c>
      <c r="K350" s="13">
        <f ca="1">IFERROR(__xludf.DUMMYFUNCTION("""COMPUTED_VALUE"""),2025)</f>
        <v>2025</v>
      </c>
      <c r="L350" s="15">
        <f ca="1"/>
        <v>45927</v>
      </c>
    </row>
    <row r="351" spans="1:12">
      <c r="A351" s="12" t="str">
        <f ca="1">IFERROR(__xludf.DUMMYFUNCTION("""COMPUTED_VALUE"""),"01-09-2025")</f>
        <v>01-09-2025</v>
      </c>
      <c r="B351" s="13" t="str">
        <f ca="1">IFERROR(__xludf.DUMMYFUNCTION("""COMPUTED_VALUE"""),"Medan")</f>
        <v>Medan</v>
      </c>
      <c r="C351" s="13" t="str">
        <f ca="1">IFERROR(__xludf.DUMMYFUNCTION("""COMPUTED_VALUE"""),"P03")</f>
        <v>P03</v>
      </c>
      <c r="D351" s="13">
        <f ca="1">IFERROR(__xludf.DUMMYFUNCTION("""COMPUTED_VALUE"""),1)</f>
        <v>1</v>
      </c>
      <c r="E351" s="14">
        <f ca="1">IFERROR(__xludf.DUMMYFUNCTION("""COMPUTED_VALUE"""),20000)</f>
        <v>20000</v>
      </c>
      <c r="F351" s="14">
        <f ca="1">IFERROR(__xludf.DUMMYFUNCTION("""COMPUTED_VALUE"""),20000)</f>
        <v>20000</v>
      </c>
      <c r="G351" s="13" t="str">
        <f ca="1"/>
        <v>Espresso</v>
      </c>
      <c r="H351" s="13" t="str">
        <f ca="1"/>
        <v>Coffee</v>
      </c>
      <c r="I351" s="13">
        <f ca="1">IFERROR(__xludf.DUMMYFUNCTION("""COMPUTED_VALUE"""),1)</f>
        <v>1</v>
      </c>
      <c r="J351" s="13">
        <f ca="1">IFERROR(__xludf.DUMMYFUNCTION("""COMPUTED_VALUE"""),9)</f>
        <v>9</v>
      </c>
      <c r="K351" s="13">
        <f ca="1">IFERROR(__xludf.DUMMYFUNCTION("""COMPUTED_VALUE"""),2025)</f>
        <v>2025</v>
      </c>
      <c r="L351" s="15">
        <f ca="1"/>
        <v>45901</v>
      </c>
    </row>
    <row r="352" spans="1:12">
      <c r="A352" s="12" t="str">
        <f ca="1">IFERROR(__xludf.DUMMYFUNCTION("""COMPUTED_VALUE"""),"22-09-2025")</f>
        <v>22-09-2025</v>
      </c>
      <c r="B352" s="13" t="str">
        <f ca="1">IFERROR(__xludf.DUMMYFUNCTION("""COMPUTED_VALUE"""),"Medan")</f>
        <v>Medan</v>
      </c>
      <c r="C352" s="13" t="str">
        <f ca="1">IFERROR(__xludf.DUMMYFUNCTION("""COMPUTED_VALUE"""),"P04")</f>
        <v>P04</v>
      </c>
      <c r="D352" s="13">
        <f ca="1">IFERROR(__xludf.DUMMYFUNCTION("""COMPUTED_VALUE"""),3)</f>
        <v>3</v>
      </c>
      <c r="E352" s="14">
        <f ca="1">IFERROR(__xludf.DUMMYFUNCTION("""COMPUTED_VALUE"""),20000)</f>
        <v>20000</v>
      </c>
      <c r="F352" s="14">
        <f ca="1">IFERROR(__xludf.DUMMYFUNCTION("""COMPUTED_VALUE"""),60000)</f>
        <v>60000</v>
      </c>
      <c r="G352" s="13" t="str">
        <f ca="1"/>
        <v>Americano</v>
      </c>
      <c r="H352" s="13" t="str">
        <f ca="1"/>
        <v>Coffee</v>
      </c>
      <c r="I352" s="13">
        <f ca="1">IFERROR(__xludf.DUMMYFUNCTION("""COMPUTED_VALUE"""),22)</f>
        <v>22</v>
      </c>
      <c r="J352" s="13">
        <f ca="1">IFERROR(__xludf.DUMMYFUNCTION("""COMPUTED_VALUE"""),9)</f>
        <v>9</v>
      </c>
      <c r="K352" s="13">
        <f ca="1">IFERROR(__xludf.DUMMYFUNCTION("""COMPUTED_VALUE"""),2025)</f>
        <v>2025</v>
      </c>
      <c r="L352" s="15">
        <f ca="1"/>
        <v>45922</v>
      </c>
    </row>
    <row r="353" spans="1:12">
      <c r="A353" s="12" t="str">
        <f ca="1">IFERROR(__xludf.DUMMYFUNCTION("""COMPUTED_VALUE"""),"27-09-2025")</f>
        <v>27-09-2025</v>
      </c>
      <c r="B353" s="13" t="str">
        <f ca="1">IFERROR(__xludf.DUMMYFUNCTION("""COMPUTED_VALUE"""),"Medan")</f>
        <v>Medan</v>
      </c>
      <c r="C353" s="13" t="str">
        <f ca="1">IFERROR(__xludf.DUMMYFUNCTION("""COMPUTED_VALUE"""),"P05")</f>
        <v>P05</v>
      </c>
      <c r="D353" s="13">
        <f ca="1">IFERROR(__xludf.DUMMYFUNCTION("""COMPUTED_VALUE"""),3)</f>
        <v>3</v>
      </c>
      <c r="E353" s="14">
        <f ca="1">IFERROR(__xludf.DUMMYFUNCTION("""COMPUTED_VALUE"""),28000)</f>
        <v>28000</v>
      </c>
      <c r="F353" s="14">
        <f ca="1">IFERROR(__xludf.DUMMYFUNCTION("""COMPUTED_VALUE"""),84000)</f>
        <v>84000</v>
      </c>
      <c r="G353" s="13" t="str">
        <f ca="1"/>
        <v>Mocha</v>
      </c>
      <c r="H353" s="13" t="str">
        <f ca="1"/>
        <v>Chocolate</v>
      </c>
      <c r="I353" s="13">
        <f ca="1">IFERROR(__xludf.DUMMYFUNCTION("""COMPUTED_VALUE"""),27)</f>
        <v>27</v>
      </c>
      <c r="J353" s="13">
        <f ca="1">IFERROR(__xludf.DUMMYFUNCTION("""COMPUTED_VALUE"""),9)</f>
        <v>9</v>
      </c>
      <c r="K353" s="13">
        <f ca="1">IFERROR(__xludf.DUMMYFUNCTION("""COMPUTED_VALUE"""),2025)</f>
        <v>2025</v>
      </c>
      <c r="L353" s="15">
        <f ca="1"/>
        <v>45927</v>
      </c>
    </row>
    <row r="354" spans="1:12">
      <c r="A354" s="12" t="str">
        <f ca="1">IFERROR(__xludf.DUMMYFUNCTION("""COMPUTED_VALUE"""),"21-09-2025")</f>
        <v>21-09-2025</v>
      </c>
      <c r="B354" s="13" t="str">
        <f ca="1">IFERROR(__xludf.DUMMYFUNCTION("""COMPUTED_VALUE"""),"Medan")</f>
        <v>Medan</v>
      </c>
      <c r="C354" s="13" t="str">
        <f ca="1">IFERROR(__xludf.DUMMYFUNCTION("""COMPUTED_VALUE"""),"P03")</f>
        <v>P03</v>
      </c>
      <c r="D354" s="13">
        <f ca="1">IFERROR(__xludf.DUMMYFUNCTION("""COMPUTED_VALUE"""),3)</f>
        <v>3</v>
      </c>
      <c r="E354" s="14">
        <f ca="1">IFERROR(__xludf.DUMMYFUNCTION("""COMPUTED_VALUE"""),25000)</f>
        <v>25000</v>
      </c>
      <c r="F354" s="14">
        <f ca="1">IFERROR(__xludf.DUMMYFUNCTION("""COMPUTED_VALUE"""),75000)</f>
        <v>75000</v>
      </c>
      <c r="G354" s="13" t="str">
        <f ca="1"/>
        <v>Espresso</v>
      </c>
      <c r="H354" s="13" t="str">
        <f ca="1"/>
        <v>Coffee</v>
      </c>
      <c r="I354" s="13">
        <f ca="1">IFERROR(__xludf.DUMMYFUNCTION("""COMPUTED_VALUE"""),21)</f>
        <v>21</v>
      </c>
      <c r="J354" s="13">
        <f ca="1">IFERROR(__xludf.DUMMYFUNCTION("""COMPUTED_VALUE"""),9)</f>
        <v>9</v>
      </c>
      <c r="K354" s="13">
        <f ca="1">IFERROR(__xludf.DUMMYFUNCTION("""COMPUTED_VALUE"""),2025)</f>
        <v>2025</v>
      </c>
      <c r="L354" s="15">
        <f ca="1"/>
        <v>45921</v>
      </c>
    </row>
    <row r="355" spans="1:12">
      <c r="A355" s="12" t="str">
        <f ca="1">IFERROR(__xludf.DUMMYFUNCTION("""COMPUTED_VALUE"""),"24-09-2025")</f>
        <v>24-09-2025</v>
      </c>
      <c r="B355" s="13" t="str">
        <f ca="1">IFERROR(__xludf.DUMMYFUNCTION("""COMPUTED_VALUE"""),"Medan")</f>
        <v>Medan</v>
      </c>
      <c r="C355" s="13" t="str">
        <f ca="1">IFERROR(__xludf.DUMMYFUNCTION("""COMPUTED_VALUE"""),"P04")</f>
        <v>P04</v>
      </c>
      <c r="D355" s="13">
        <f ca="1">IFERROR(__xludf.DUMMYFUNCTION("""COMPUTED_VALUE"""),2)</f>
        <v>2</v>
      </c>
      <c r="E355" s="14">
        <f ca="1">IFERROR(__xludf.DUMMYFUNCTION("""COMPUTED_VALUE"""),28000)</f>
        <v>28000</v>
      </c>
      <c r="F355" s="14">
        <f ca="1">IFERROR(__xludf.DUMMYFUNCTION("""COMPUTED_VALUE"""),56000)</f>
        <v>56000</v>
      </c>
      <c r="G355" s="13" t="str">
        <f ca="1"/>
        <v>Americano</v>
      </c>
      <c r="H355" s="13" t="str">
        <f ca="1"/>
        <v>Coffee</v>
      </c>
      <c r="I355" s="13">
        <f ca="1">IFERROR(__xludf.DUMMYFUNCTION("""COMPUTED_VALUE"""),24)</f>
        <v>24</v>
      </c>
      <c r="J355" s="13">
        <f ca="1">IFERROR(__xludf.DUMMYFUNCTION("""COMPUTED_VALUE"""),9)</f>
        <v>9</v>
      </c>
      <c r="K355" s="13">
        <f ca="1">IFERROR(__xludf.DUMMYFUNCTION("""COMPUTED_VALUE"""),2025)</f>
        <v>2025</v>
      </c>
      <c r="L355" s="15">
        <f ca="1"/>
        <v>45924</v>
      </c>
    </row>
    <row r="356" spans="1:12">
      <c r="A356" s="12" t="str">
        <f ca="1">IFERROR(__xludf.DUMMYFUNCTION("""COMPUTED_VALUE"""),"17-09-2025")</f>
        <v>17-09-2025</v>
      </c>
      <c r="B356" s="13" t="str">
        <f ca="1">IFERROR(__xludf.DUMMYFUNCTION("""COMPUTED_VALUE"""),"Medan")</f>
        <v>Medan</v>
      </c>
      <c r="C356" s="13" t="str">
        <f ca="1">IFERROR(__xludf.DUMMYFUNCTION("""COMPUTED_VALUE"""),"P05")</f>
        <v>P05</v>
      </c>
      <c r="D356" s="13">
        <f ca="1">IFERROR(__xludf.DUMMYFUNCTION("""COMPUTED_VALUE"""),1)</f>
        <v>1</v>
      </c>
      <c r="E356" s="14">
        <f ca="1">IFERROR(__xludf.DUMMYFUNCTION("""COMPUTED_VALUE"""),28000)</f>
        <v>28000</v>
      </c>
      <c r="F356" s="14">
        <f ca="1">IFERROR(__xludf.DUMMYFUNCTION("""COMPUTED_VALUE"""),28000)</f>
        <v>28000</v>
      </c>
      <c r="G356" s="13" t="str">
        <f ca="1"/>
        <v>Mocha</v>
      </c>
      <c r="H356" s="13" t="str">
        <f ca="1"/>
        <v>Chocolate</v>
      </c>
      <c r="I356" s="13">
        <f ca="1">IFERROR(__xludf.DUMMYFUNCTION("""COMPUTED_VALUE"""),17)</f>
        <v>17</v>
      </c>
      <c r="J356" s="13">
        <f ca="1">IFERROR(__xludf.DUMMYFUNCTION("""COMPUTED_VALUE"""),9)</f>
        <v>9</v>
      </c>
      <c r="K356" s="13">
        <f ca="1">IFERROR(__xludf.DUMMYFUNCTION("""COMPUTED_VALUE"""),2025)</f>
        <v>2025</v>
      </c>
      <c r="L356" s="15">
        <f ca="1"/>
        <v>45917</v>
      </c>
    </row>
    <row r="357" spans="1:12">
      <c r="A357" s="12" t="str">
        <f ca="1">IFERROR(__xludf.DUMMYFUNCTION("""COMPUTED_VALUE"""),"06-09-2025")</f>
        <v>06-09-2025</v>
      </c>
      <c r="B357" s="13" t="str">
        <f ca="1">IFERROR(__xludf.DUMMYFUNCTION("""COMPUTED_VALUE"""),"Medan")</f>
        <v>Medan</v>
      </c>
      <c r="C357" s="13" t="str">
        <f ca="1">IFERROR(__xludf.DUMMYFUNCTION("""COMPUTED_VALUE"""),"P01")</f>
        <v>P01</v>
      </c>
      <c r="D357" s="13">
        <f ca="1">IFERROR(__xludf.DUMMYFUNCTION("""COMPUTED_VALUE"""),5)</f>
        <v>5</v>
      </c>
      <c r="E357" s="14"/>
      <c r="F357" s="14">
        <f ca="1">IFERROR(__xludf.DUMMYFUNCTION("""COMPUTED_VALUE"""),100000)</f>
        <v>100000</v>
      </c>
      <c r="G357" s="13" t="str">
        <f ca="1"/>
        <v>Cappuccino</v>
      </c>
      <c r="H357" s="13" t="str">
        <f ca="1"/>
        <v>Coffee</v>
      </c>
      <c r="I357" s="13">
        <f ca="1">IFERROR(__xludf.DUMMYFUNCTION("""COMPUTED_VALUE"""),6)</f>
        <v>6</v>
      </c>
      <c r="J357" s="13">
        <f ca="1">IFERROR(__xludf.DUMMYFUNCTION("""COMPUTED_VALUE"""),9)</f>
        <v>9</v>
      </c>
      <c r="K357" s="13">
        <f ca="1">IFERROR(__xludf.DUMMYFUNCTION("""COMPUTED_VALUE"""),2025)</f>
        <v>2025</v>
      </c>
      <c r="L357" s="15">
        <f ca="1"/>
        <v>45906</v>
      </c>
    </row>
    <row r="358" spans="1:12">
      <c r="A358" s="12" t="str">
        <f ca="1">IFERROR(__xludf.DUMMYFUNCTION("""COMPUTED_VALUE"""),"14-09-2025")</f>
        <v>14-09-2025</v>
      </c>
      <c r="B358" s="13" t="str">
        <f ca="1">IFERROR(__xludf.DUMMYFUNCTION("""COMPUTED_VALUE"""),"Medan")</f>
        <v>Medan</v>
      </c>
      <c r="C358" s="13" t="str">
        <f ca="1">IFERROR(__xludf.DUMMYFUNCTION("""COMPUTED_VALUE"""),"P02")</f>
        <v>P02</v>
      </c>
      <c r="D358" s="13">
        <f ca="1">IFERROR(__xludf.DUMMYFUNCTION("""COMPUTED_VALUE"""),1)</f>
        <v>1</v>
      </c>
      <c r="E358" s="14">
        <f ca="1">IFERROR(__xludf.DUMMYFUNCTION("""COMPUTED_VALUE"""),35000)</f>
        <v>35000</v>
      </c>
      <c r="F358" s="14">
        <f ca="1">IFERROR(__xludf.DUMMYFUNCTION("""COMPUTED_VALUE"""),35000)</f>
        <v>35000</v>
      </c>
      <c r="G358" s="13" t="str">
        <f ca="1"/>
        <v>Latte</v>
      </c>
      <c r="H358" s="13" t="str">
        <f ca="1"/>
        <v>Coffee</v>
      </c>
      <c r="I358" s="13">
        <f ca="1">IFERROR(__xludf.DUMMYFUNCTION("""COMPUTED_VALUE"""),14)</f>
        <v>14</v>
      </c>
      <c r="J358" s="13">
        <f ca="1">IFERROR(__xludf.DUMMYFUNCTION("""COMPUTED_VALUE"""),9)</f>
        <v>9</v>
      </c>
      <c r="K358" s="13">
        <f ca="1">IFERROR(__xludf.DUMMYFUNCTION("""COMPUTED_VALUE"""),2025)</f>
        <v>2025</v>
      </c>
      <c r="L358" s="15">
        <f ca="1"/>
        <v>45914</v>
      </c>
    </row>
    <row r="359" spans="1:12">
      <c r="A359" s="12" t="str">
        <f ca="1">IFERROR(__xludf.DUMMYFUNCTION("""COMPUTED_VALUE"""),"03-09-2025")</f>
        <v>03-09-2025</v>
      </c>
      <c r="B359" s="13" t="str">
        <f ca="1">IFERROR(__xludf.DUMMYFUNCTION("""COMPUTED_VALUE"""),"Medan")</f>
        <v>Medan</v>
      </c>
      <c r="C359" s="13" t="str">
        <f ca="1">IFERROR(__xludf.DUMMYFUNCTION("""COMPUTED_VALUE"""),"P03")</f>
        <v>P03</v>
      </c>
      <c r="D359" s="13">
        <f ca="1">IFERROR(__xludf.DUMMYFUNCTION("""COMPUTED_VALUE"""),3)</f>
        <v>3</v>
      </c>
      <c r="E359" s="14">
        <f ca="1">IFERROR(__xludf.DUMMYFUNCTION("""COMPUTED_VALUE"""),20000)</f>
        <v>20000</v>
      </c>
      <c r="F359" s="14">
        <f ca="1">IFERROR(__xludf.DUMMYFUNCTION("""COMPUTED_VALUE"""),60000)</f>
        <v>60000</v>
      </c>
      <c r="G359" s="13" t="str">
        <f ca="1"/>
        <v>Espresso</v>
      </c>
      <c r="H359" s="13" t="str">
        <f ca="1"/>
        <v>Coffee</v>
      </c>
      <c r="I359" s="13">
        <f ca="1">IFERROR(__xludf.DUMMYFUNCTION("""COMPUTED_VALUE"""),3)</f>
        <v>3</v>
      </c>
      <c r="J359" s="13">
        <f ca="1">IFERROR(__xludf.DUMMYFUNCTION("""COMPUTED_VALUE"""),9)</f>
        <v>9</v>
      </c>
      <c r="K359" s="13">
        <f ca="1">IFERROR(__xludf.DUMMYFUNCTION("""COMPUTED_VALUE"""),2025)</f>
        <v>2025</v>
      </c>
      <c r="L359" s="15">
        <f ca="1"/>
        <v>45903</v>
      </c>
    </row>
    <row r="360" spans="1:12">
      <c r="A360" s="12" t="str">
        <f ca="1">IFERROR(__xludf.DUMMYFUNCTION("""COMPUTED_VALUE"""),"01-09-2025")</f>
        <v>01-09-2025</v>
      </c>
      <c r="B360" s="13" t="str">
        <f ca="1">IFERROR(__xludf.DUMMYFUNCTION("""COMPUTED_VALUE"""),"Medan")</f>
        <v>Medan</v>
      </c>
      <c r="C360" s="13" t="str">
        <f ca="1">IFERROR(__xludf.DUMMYFUNCTION("""COMPUTED_VALUE"""),"P04")</f>
        <v>P04</v>
      </c>
      <c r="D360" s="13">
        <f ca="1">IFERROR(__xludf.DUMMYFUNCTION("""COMPUTED_VALUE"""),3)</f>
        <v>3</v>
      </c>
      <c r="E360" s="14">
        <f ca="1">IFERROR(__xludf.DUMMYFUNCTION("""COMPUTED_VALUE"""),20000)</f>
        <v>20000</v>
      </c>
      <c r="F360" s="14">
        <f ca="1">IFERROR(__xludf.DUMMYFUNCTION("""COMPUTED_VALUE"""),60000)</f>
        <v>60000</v>
      </c>
      <c r="G360" s="13" t="str">
        <f ca="1"/>
        <v>Americano</v>
      </c>
      <c r="H360" s="13" t="str">
        <f ca="1"/>
        <v>Coffee</v>
      </c>
      <c r="I360" s="13">
        <f ca="1">IFERROR(__xludf.DUMMYFUNCTION("""COMPUTED_VALUE"""),1)</f>
        <v>1</v>
      </c>
      <c r="J360" s="13">
        <f ca="1">IFERROR(__xludf.DUMMYFUNCTION("""COMPUTED_VALUE"""),9)</f>
        <v>9</v>
      </c>
      <c r="K360" s="13">
        <f ca="1">IFERROR(__xludf.DUMMYFUNCTION("""COMPUTED_VALUE"""),2025)</f>
        <v>2025</v>
      </c>
      <c r="L360" s="15">
        <f ca="1"/>
        <v>45901</v>
      </c>
    </row>
    <row r="361" spans="1:12">
      <c r="A361" s="12" t="str">
        <f ca="1">IFERROR(__xludf.DUMMYFUNCTION("""COMPUTED_VALUE"""),"13-09-2025")</f>
        <v>13-09-2025</v>
      </c>
      <c r="B361" s="13" t="str">
        <f ca="1">IFERROR(__xludf.DUMMYFUNCTION("""COMPUTED_VALUE"""),"Medan")</f>
        <v>Medan</v>
      </c>
      <c r="C361" s="13" t="str">
        <f ca="1">IFERROR(__xludf.DUMMYFUNCTION("""COMPUTED_VALUE"""),"P05")</f>
        <v>P05</v>
      </c>
      <c r="D361" s="13">
        <f ca="1">IFERROR(__xludf.DUMMYFUNCTION("""COMPUTED_VALUE"""),1)</f>
        <v>1</v>
      </c>
      <c r="E361" s="14">
        <f ca="1">IFERROR(__xludf.DUMMYFUNCTION("""COMPUTED_VALUE"""),30000)</f>
        <v>30000</v>
      </c>
      <c r="F361" s="14">
        <f ca="1">IFERROR(__xludf.DUMMYFUNCTION("""COMPUTED_VALUE"""),30000)</f>
        <v>30000</v>
      </c>
      <c r="G361" s="13" t="str">
        <f ca="1"/>
        <v>Mocha</v>
      </c>
      <c r="H361" s="13" t="str">
        <f ca="1"/>
        <v>Chocolate</v>
      </c>
      <c r="I361" s="13">
        <f ca="1">IFERROR(__xludf.DUMMYFUNCTION("""COMPUTED_VALUE"""),13)</f>
        <v>13</v>
      </c>
      <c r="J361" s="13">
        <f ca="1">IFERROR(__xludf.DUMMYFUNCTION("""COMPUTED_VALUE"""),9)</f>
        <v>9</v>
      </c>
      <c r="K361" s="13">
        <f ca="1">IFERROR(__xludf.DUMMYFUNCTION("""COMPUTED_VALUE"""),2025)</f>
        <v>2025</v>
      </c>
      <c r="L361" s="15">
        <f ca="1"/>
        <v>45913</v>
      </c>
    </row>
    <row r="362" spans="1:12">
      <c r="A362" s="12" t="str">
        <f ca="1">IFERROR(__xludf.DUMMYFUNCTION("""COMPUTED_VALUE"""),"17-09-2025")</f>
        <v>17-09-2025</v>
      </c>
      <c r="B362" s="13" t="str">
        <f ca="1">IFERROR(__xludf.DUMMYFUNCTION("""COMPUTED_VALUE"""),"Bandung")</f>
        <v>Bandung</v>
      </c>
      <c r="C362" s="13" t="str">
        <f ca="1">IFERROR(__xludf.DUMMYFUNCTION("""COMPUTED_VALUE"""),"P03")</f>
        <v>P03</v>
      </c>
      <c r="D362" s="13">
        <f ca="1">IFERROR(__xludf.DUMMYFUNCTION("""COMPUTED_VALUE"""),3)</f>
        <v>3</v>
      </c>
      <c r="E362" s="14">
        <f ca="1">IFERROR(__xludf.DUMMYFUNCTION("""COMPUTED_VALUE"""),20000)</f>
        <v>20000</v>
      </c>
      <c r="F362" s="14">
        <f ca="1">IFERROR(__xludf.DUMMYFUNCTION("""COMPUTED_VALUE"""),60000)</f>
        <v>60000</v>
      </c>
      <c r="G362" s="13" t="str">
        <f ca="1"/>
        <v>Espresso</v>
      </c>
      <c r="H362" s="13" t="str">
        <f ca="1"/>
        <v>Coffee</v>
      </c>
      <c r="I362" s="13">
        <f ca="1">IFERROR(__xludf.DUMMYFUNCTION("""COMPUTED_VALUE"""),17)</f>
        <v>17</v>
      </c>
      <c r="J362" s="13">
        <f ca="1">IFERROR(__xludf.DUMMYFUNCTION("""COMPUTED_VALUE"""),9)</f>
        <v>9</v>
      </c>
      <c r="K362" s="13">
        <f ca="1">IFERROR(__xludf.DUMMYFUNCTION("""COMPUTED_VALUE"""),2025)</f>
        <v>2025</v>
      </c>
      <c r="L362" s="15">
        <f ca="1"/>
        <v>45917</v>
      </c>
    </row>
    <row r="363" spans="1:12">
      <c r="A363" s="12" t="str">
        <f ca="1">IFERROR(__xludf.DUMMYFUNCTION("""COMPUTED_VALUE"""),"11-09-2025")</f>
        <v>11-09-2025</v>
      </c>
      <c r="B363" s="13" t="str">
        <f ca="1">IFERROR(__xludf.DUMMYFUNCTION("""COMPUTED_VALUE"""),"Bandung")</f>
        <v>Bandung</v>
      </c>
      <c r="C363" s="13" t="str">
        <f ca="1">IFERROR(__xludf.DUMMYFUNCTION("""COMPUTED_VALUE"""),"P01")</f>
        <v>P01</v>
      </c>
      <c r="D363" s="13">
        <f ca="1">IFERROR(__xludf.DUMMYFUNCTION("""COMPUTED_VALUE"""),5)</f>
        <v>5</v>
      </c>
      <c r="E363" s="14">
        <f ca="1">IFERROR(__xludf.DUMMYFUNCTION("""COMPUTED_VALUE"""),30000)</f>
        <v>30000</v>
      </c>
      <c r="F363" s="14">
        <f ca="1">IFERROR(__xludf.DUMMYFUNCTION("""COMPUTED_VALUE"""),150000)</f>
        <v>150000</v>
      </c>
      <c r="G363" s="13" t="str">
        <f ca="1"/>
        <v>Cappuccino</v>
      </c>
      <c r="H363" s="13" t="str">
        <f ca="1"/>
        <v>Coffee</v>
      </c>
      <c r="I363" s="13">
        <f ca="1">IFERROR(__xludf.DUMMYFUNCTION("""COMPUTED_VALUE"""),11)</f>
        <v>11</v>
      </c>
      <c r="J363" s="13">
        <f ca="1">IFERROR(__xludf.DUMMYFUNCTION("""COMPUTED_VALUE"""),9)</f>
        <v>9</v>
      </c>
      <c r="K363" s="13">
        <f ca="1">IFERROR(__xludf.DUMMYFUNCTION("""COMPUTED_VALUE"""),2025)</f>
        <v>2025</v>
      </c>
      <c r="L363" s="15">
        <f ca="1"/>
        <v>45911</v>
      </c>
    </row>
    <row r="364" spans="1:12">
      <c r="A364" s="12" t="str">
        <f ca="1">IFERROR(__xludf.DUMMYFUNCTION("""COMPUTED_VALUE"""),"29-09-2025")</f>
        <v>29-09-2025</v>
      </c>
      <c r="B364" s="13" t="str">
        <f ca="1">IFERROR(__xludf.DUMMYFUNCTION("""COMPUTED_VALUE"""),"Bandung")</f>
        <v>Bandung</v>
      </c>
      <c r="C364" s="13" t="str">
        <f ca="1">IFERROR(__xludf.DUMMYFUNCTION("""COMPUTED_VALUE"""),"P05")</f>
        <v>P05</v>
      </c>
      <c r="D364" s="13">
        <f ca="1">IFERROR(__xludf.DUMMYFUNCTION("""COMPUTED_VALUE"""),1)</f>
        <v>1</v>
      </c>
      <c r="E364" s="14">
        <f ca="1">IFERROR(__xludf.DUMMYFUNCTION("""COMPUTED_VALUE"""),28000)</f>
        <v>28000</v>
      </c>
      <c r="F364" s="14">
        <f ca="1">IFERROR(__xludf.DUMMYFUNCTION("""COMPUTED_VALUE"""),28000)</f>
        <v>28000</v>
      </c>
      <c r="G364" s="13" t="str">
        <f ca="1"/>
        <v>Mocha</v>
      </c>
      <c r="H364" s="13" t="str">
        <f ca="1"/>
        <v>Chocolate</v>
      </c>
      <c r="I364" s="13">
        <f ca="1">IFERROR(__xludf.DUMMYFUNCTION("""COMPUTED_VALUE"""),29)</f>
        <v>29</v>
      </c>
      <c r="J364" s="13">
        <f ca="1">IFERROR(__xludf.DUMMYFUNCTION("""COMPUTED_VALUE"""),9)</f>
        <v>9</v>
      </c>
      <c r="K364" s="13">
        <f ca="1">IFERROR(__xludf.DUMMYFUNCTION("""COMPUTED_VALUE"""),2025)</f>
        <v>2025</v>
      </c>
      <c r="L364" s="15">
        <f ca="1"/>
        <v>45929</v>
      </c>
    </row>
    <row r="365" spans="1:12">
      <c r="A365" s="12" t="str">
        <f ca="1">IFERROR(__xludf.DUMMYFUNCTION("""COMPUTED_VALUE"""),"29-09-2025")</f>
        <v>29-09-2025</v>
      </c>
      <c r="B365" s="13" t="str">
        <f ca="1">IFERROR(__xludf.DUMMYFUNCTION("""COMPUTED_VALUE"""),"Bandung")</f>
        <v>Bandung</v>
      </c>
      <c r="C365" s="13" t="str">
        <f ca="1">IFERROR(__xludf.DUMMYFUNCTION("""COMPUTED_VALUE"""),"P01")</f>
        <v>P01</v>
      </c>
      <c r="D365" s="13">
        <f ca="1">IFERROR(__xludf.DUMMYFUNCTION("""COMPUTED_VALUE"""),2)</f>
        <v>2</v>
      </c>
      <c r="E365" s="14">
        <f ca="1">IFERROR(__xludf.DUMMYFUNCTION("""COMPUTED_VALUE"""),30000)</f>
        <v>30000</v>
      </c>
      <c r="F365" s="14">
        <f ca="1">IFERROR(__xludf.DUMMYFUNCTION("""COMPUTED_VALUE"""),60000)</f>
        <v>60000</v>
      </c>
      <c r="G365" s="13" t="str">
        <f ca="1"/>
        <v>Cappuccino</v>
      </c>
      <c r="H365" s="13" t="str">
        <f ca="1"/>
        <v>Coffee</v>
      </c>
      <c r="I365" s="13">
        <f ca="1">IFERROR(__xludf.DUMMYFUNCTION("""COMPUTED_VALUE"""),29)</f>
        <v>29</v>
      </c>
      <c r="J365" s="13">
        <f ca="1">IFERROR(__xludf.DUMMYFUNCTION("""COMPUTED_VALUE"""),9)</f>
        <v>9</v>
      </c>
      <c r="K365" s="13">
        <f ca="1">IFERROR(__xludf.DUMMYFUNCTION("""COMPUTED_VALUE"""),2025)</f>
        <v>2025</v>
      </c>
      <c r="L365" s="15">
        <f ca="1"/>
        <v>45929</v>
      </c>
    </row>
    <row r="366" spans="1:12">
      <c r="A366" s="12" t="str">
        <f ca="1">IFERROR(__xludf.DUMMYFUNCTION("""COMPUTED_VALUE"""),"07-09-2025")</f>
        <v>07-09-2025</v>
      </c>
      <c r="B366" s="13" t="str">
        <f ca="1">IFERROR(__xludf.DUMMYFUNCTION("""COMPUTED_VALUE"""),"Bandung")</f>
        <v>Bandung</v>
      </c>
      <c r="C366" s="13" t="str">
        <f ca="1">IFERROR(__xludf.DUMMYFUNCTION("""COMPUTED_VALUE"""),"P02")</f>
        <v>P02</v>
      </c>
      <c r="D366" s="13">
        <f ca="1">IFERROR(__xludf.DUMMYFUNCTION("""COMPUTED_VALUE"""),2)</f>
        <v>2</v>
      </c>
      <c r="E366" s="14">
        <f ca="1">IFERROR(__xludf.DUMMYFUNCTION("""COMPUTED_VALUE"""),35000)</f>
        <v>35000</v>
      </c>
      <c r="F366" s="14">
        <f ca="1">IFERROR(__xludf.DUMMYFUNCTION("""COMPUTED_VALUE"""),70000)</f>
        <v>70000</v>
      </c>
      <c r="G366" s="13" t="str">
        <f ca="1"/>
        <v>Latte</v>
      </c>
      <c r="H366" s="13" t="str">
        <f ca="1"/>
        <v>Coffee</v>
      </c>
      <c r="I366" s="13">
        <f ca="1">IFERROR(__xludf.DUMMYFUNCTION("""COMPUTED_VALUE"""),7)</f>
        <v>7</v>
      </c>
      <c r="J366" s="13">
        <f ca="1">IFERROR(__xludf.DUMMYFUNCTION("""COMPUTED_VALUE"""),9)</f>
        <v>9</v>
      </c>
      <c r="K366" s="13">
        <f ca="1">IFERROR(__xludf.DUMMYFUNCTION("""COMPUTED_VALUE"""),2025)</f>
        <v>2025</v>
      </c>
      <c r="L366" s="15">
        <f ca="1"/>
        <v>45907</v>
      </c>
    </row>
    <row r="367" spans="1:12">
      <c r="A367" s="12" t="str">
        <f ca="1">IFERROR(__xludf.DUMMYFUNCTION("""COMPUTED_VALUE"""),"29-09-2025")</f>
        <v>29-09-2025</v>
      </c>
      <c r="B367" s="13" t="str">
        <f ca="1">IFERROR(__xludf.DUMMYFUNCTION("""COMPUTED_VALUE"""),"Bandung")</f>
        <v>Bandung</v>
      </c>
      <c r="C367" s="13" t="str">
        <f ca="1">IFERROR(__xludf.DUMMYFUNCTION("""COMPUTED_VALUE"""),"P03")</f>
        <v>P03</v>
      </c>
      <c r="D367" s="13">
        <f ca="1">IFERROR(__xludf.DUMMYFUNCTION("""COMPUTED_VALUE"""),3)</f>
        <v>3</v>
      </c>
      <c r="E367" s="14">
        <f ca="1">IFERROR(__xludf.DUMMYFUNCTION("""COMPUTED_VALUE"""),25000)</f>
        <v>25000</v>
      </c>
      <c r="F367" s="14">
        <f ca="1">IFERROR(__xludf.DUMMYFUNCTION("""COMPUTED_VALUE"""),75000)</f>
        <v>75000</v>
      </c>
      <c r="G367" s="13" t="str">
        <f ca="1"/>
        <v>Espresso</v>
      </c>
      <c r="H367" s="13" t="str">
        <f ca="1"/>
        <v>Coffee</v>
      </c>
      <c r="I367" s="13">
        <f ca="1">IFERROR(__xludf.DUMMYFUNCTION("""COMPUTED_VALUE"""),29)</f>
        <v>29</v>
      </c>
      <c r="J367" s="13">
        <f ca="1">IFERROR(__xludf.DUMMYFUNCTION("""COMPUTED_VALUE"""),9)</f>
        <v>9</v>
      </c>
      <c r="K367" s="13">
        <f ca="1">IFERROR(__xludf.DUMMYFUNCTION("""COMPUTED_VALUE"""),2025)</f>
        <v>2025</v>
      </c>
      <c r="L367" s="15">
        <f ca="1"/>
        <v>45929</v>
      </c>
    </row>
    <row r="368" spans="1:12">
      <c r="A368" s="12" t="str">
        <f ca="1">IFERROR(__xludf.DUMMYFUNCTION("""COMPUTED_VALUE"""),"16-09-2025")</f>
        <v>16-09-2025</v>
      </c>
      <c r="B368" s="13" t="str">
        <f ca="1">IFERROR(__xludf.DUMMYFUNCTION("""COMPUTED_VALUE"""),"Bandung")</f>
        <v>Bandung</v>
      </c>
      <c r="C368" s="13" t="str">
        <f ca="1">IFERROR(__xludf.DUMMYFUNCTION("""COMPUTED_VALUE"""),"P04")</f>
        <v>P04</v>
      </c>
      <c r="D368" s="13">
        <f ca="1">IFERROR(__xludf.DUMMYFUNCTION("""COMPUTED_VALUE"""),1)</f>
        <v>1</v>
      </c>
      <c r="E368" s="14">
        <f ca="1">IFERROR(__xludf.DUMMYFUNCTION("""COMPUTED_VALUE"""),20000)</f>
        <v>20000</v>
      </c>
      <c r="F368" s="14">
        <f ca="1">IFERROR(__xludf.DUMMYFUNCTION("""COMPUTED_VALUE"""),20000)</f>
        <v>20000</v>
      </c>
      <c r="G368" s="13" t="str">
        <f ca="1"/>
        <v>Americano</v>
      </c>
      <c r="H368" s="13" t="str">
        <f ca="1"/>
        <v>Coffee</v>
      </c>
      <c r="I368" s="13">
        <f ca="1">IFERROR(__xludf.DUMMYFUNCTION("""COMPUTED_VALUE"""),16)</f>
        <v>16</v>
      </c>
      <c r="J368" s="13">
        <f ca="1">IFERROR(__xludf.DUMMYFUNCTION("""COMPUTED_VALUE"""),9)</f>
        <v>9</v>
      </c>
      <c r="K368" s="13">
        <f ca="1">IFERROR(__xludf.DUMMYFUNCTION("""COMPUTED_VALUE"""),2025)</f>
        <v>2025</v>
      </c>
      <c r="L368" s="15">
        <f ca="1"/>
        <v>45916</v>
      </c>
    </row>
    <row r="369" spans="1:12">
      <c r="A369" s="12" t="str">
        <f ca="1">IFERROR(__xludf.DUMMYFUNCTION("""COMPUTED_VALUE"""),"13-09-2025")</f>
        <v>13-09-2025</v>
      </c>
      <c r="B369" s="13" t="str">
        <f ca="1">IFERROR(__xludf.DUMMYFUNCTION("""COMPUTED_VALUE"""),"Bandung")</f>
        <v>Bandung</v>
      </c>
      <c r="C369" s="13" t="str">
        <f ca="1">IFERROR(__xludf.DUMMYFUNCTION("""COMPUTED_VALUE"""),"P05")</f>
        <v>P05</v>
      </c>
      <c r="D369" s="13">
        <f ca="1">IFERROR(__xludf.DUMMYFUNCTION("""COMPUTED_VALUE"""),1)</f>
        <v>1</v>
      </c>
      <c r="E369" s="14">
        <f ca="1">IFERROR(__xludf.DUMMYFUNCTION("""COMPUTED_VALUE"""),35000)</f>
        <v>35000</v>
      </c>
      <c r="F369" s="14">
        <f ca="1">IFERROR(__xludf.DUMMYFUNCTION("""COMPUTED_VALUE"""),35000)</f>
        <v>35000</v>
      </c>
      <c r="G369" s="13" t="str">
        <f ca="1"/>
        <v>Mocha</v>
      </c>
      <c r="H369" s="13" t="str">
        <f ca="1"/>
        <v>Chocolate</v>
      </c>
      <c r="I369" s="13">
        <f ca="1">IFERROR(__xludf.DUMMYFUNCTION("""COMPUTED_VALUE"""),13)</f>
        <v>13</v>
      </c>
      <c r="J369" s="13">
        <f ca="1">IFERROR(__xludf.DUMMYFUNCTION("""COMPUTED_VALUE"""),9)</f>
        <v>9</v>
      </c>
      <c r="K369" s="13">
        <f ca="1">IFERROR(__xludf.DUMMYFUNCTION("""COMPUTED_VALUE"""),2025)</f>
        <v>2025</v>
      </c>
      <c r="L369" s="15">
        <f ca="1"/>
        <v>45913</v>
      </c>
    </row>
    <row r="370" spans="1:12">
      <c r="A370" s="12" t="str">
        <f ca="1">IFERROR(__xludf.DUMMYFUNCTION("""COMPUTED_VALUE"""),"21-09-2025")</f>
        <v>21-09-2025</v>
      </c>
      <c r="B370" s="13" t="str">
        <f ca="1">IFERROR(__xludf.DUMMYFUNCTION("""COMPUTED_VALUE"""),"Bandung")</f>
        <v>Bandung</v>
      </c>
      <c r="C370" s="13" t="str">
        <f ca="1">IFERROR(__xludf.DUMMYFUNCTION("""COMPUTED_VALUE"""),"P01")</f>
        <v>P01</v>
      </c>
      <c r="D370" s="13">
        <f ca="1">IFERROR(__xludf.DUMMYFUNCTION("""COMPUTED_VALUE"""),5)</f>
        <v>5</v>
      </c>
      <c r="E370" s="14">
        <f ca="1">IFERROR(__xludf.DUMMYFUNCTION("""COMPUTED_VALUE"""),30000)</f>
        <v>30000</v>
      </c>
      <c r="F370" s="14">
        <f ca="1">IFERROR(__xludf.DUMMYFUNCTION("""COMPUTED_VALUE"""),150000)</f>
        <v>150000</v>
      </c>
      <c r="G370" s="13" t="str">
        <f ca="1"/>
        <v>Cappuccino</v>
      </c>
      <c r="H370" s="13" t="str">
        <f ca="1"/>
        <v>Coffee</v>
      </c>
      <c r="I370" s="13">
        <f ca="1">IFERROR(__xludf.DUMMYFUNCTION("""COMPUTED_VALUE"""),21)</f>
        <v>21</v>
      </c>
      <c r="J370" s="13">
        <f ca="1">IFERROR(__xludf.DUMMYFUNCTION("""COMPUTED_VALUE"""),9)</f>
        <v>9</v>
      </c>
      <c r="K370" s="13">
        <f ca="1">IFERROR(__xludf.DUMMYFUNCTION("""COMPUTED_VALUE"""),2025)</f>
        <v>2025</v>
      </c>
      <c r="L370" s="15">
        <f ca="1"/>
        <v>45921</v>
      </c>
    </row>
    <row r="371" spans="1:12">
      <c r="A371" s="12" t="str">
        <f ca="1">IFERROR(__xludf.DUMMYFUNCTION("""COMPUTED_VALUE"""),"29-09-2025")</f>
        <v>29-09-2025</v>
      </c>
      <c r="B371" s="13" t="str">
        <f ca="1">IFERROR(__xludf.DUMMYFUNCTION("""COMPUTED_VALUE"""),"Bandung")</f>
        <v>Bandung</v>
      </c>
      <c r="C371" s="13" t="str">
        <f ca="1">IFERROR(__xludf.DUMMYFUNCTION("""COMPUTED_VALUE"""),"P02")</f>
        <v>P02</v>
      </c>
      <c r="D371" s="13">
        <f ca="1">IFERROR(__xludf.DUMMYFUNCTION("""COMPUTED_VALUE"""),1)</f>
        <v>1</v>
      </c>
      <c r="E371" s="14">
        <f ca="1">IFERROR(__xludf.DUMMYFUNCTION("""COMPUTED_VALUE"""),28000)</f>
        <v>28000</v>
      </c>
      <c r="F371" s="14">
        <f ca="1">IFERROR(__xludf.DUMMYFUNCTION("""COMPUTED_VALUE"""),28000)</f>
        <v>28000</v>
      </c>
      <c r="G371" s="13" t="str">
        <f ca="1"/>
        <v>Latte</v>
      </c>
      <c r="H371" s="13" t="str">
        <f ca="1"/>
        <v>Coffee</v>
      </c>
      <c r="I371" s="13">
        <f ca="1">IFERROR(__xludf.DUMMYFUNCTION("""COMPUTED_VALUE"""),29)</f>
        <v>29</v>
      </c>
      <c r="J371" s="13">
        <f ca="1">IFERROR(__xludf.DUMMYFUNCTION("""COMPUTED_VALUE"""),9)</f>
        <v>9</v>
      </c>
      <c r="K371" s="13">
        <f ca="1">IFERROR(__xludf.DUMMYFUNCTION("""COMPUTED_VALUE"""),2025)</f>
        <v>2025</v>
      </c>
      <c r="L371" s="15">
        <f ca="1"/>
        <v>45929</v>
      </c>
    </row>
    <row r="372" spans="1:12">
      <c r="A372" s="12" t="str">
        <f ca="1">IFERROR(__xludf.DUMMYFUNCTION("""COMPUTED_VALUE"""),"04-09-2025")</f>
        <v>04-09-2025</v>
      </c>
      <c r="B372" s="13" t="str">
        <f ca="1">IFERROR(__xludf.DUMMYFUNCTION("""COMPUTED_VALUE"""),"Bandung")</f>
        <v>Bandung</v>
      </c>
      <c r="C372" s="13" t="str">
        <f ca="1">IFERROR(__xludf.DUMMYFUNCTION("""COMPUTED_VALUE"""),"P03")</f>
        <v>P03</v>
      </c>
      <c r="D372" s="13">
        <f ca="1">IFERROR(__xludf.DUMMYFUNCTION("""COMPUTED_VALUE"""),1)</f>
        <v>1</v>
      </c>
      <c r="E372" s="14">
        <f ca="1">IFERROR(__xludf.DUMMYFUNCTION("""COMPUTED_VALUE"""),30000)</f>
        <v>30000</v>
      </c>
      <c r="F372" s="14">
        <f ca="1">IFERROR(__xludf.DUMMYFUNCTION("""COMPUTED_VALUE"""),30000)</f>
        <v>30000</v>
      </c>
      <c r="G372" s="13" t="str">
        <f ca="1"/>
        <v>Espresso</v>
      </c>
      <c r="H372" s="13" t="str">
        <f ca="1"/>
        <v>Coffee</v>
      </c>
      <c r="I372" s="13">
        <f ca="1">IFERROR(__xludf.DUMMYFUNCTION("""COMPUTED_VALUE"""),4)</f>
        <v>4</v>
      </c>
      <c r="J372" s="13">
        <f ca="1">IFERROR(__xludf.DUMMYFUNCTION("""COMPUTED_VALUE"""),9)</f>
        <v>9</v>
      </c>
      <c r="K372" s="13">
        <f ca="1">IFERROR(__xludf.DUMMYFUNCTION("""COMPUTED_VALUE"""),2025)</f>
        <v>2025</v>
      </c>
      <c r="L372" s="15">
        <f ca="1"/>
        <v>45904</v>
      </c>
    </row>
    <row r="373" spans="1:12">
      <c r="A373" s="12" t="str">
        <f ca="1">IFERROR(__xludf.DUMMYFUNCTION("""COMPUTED_VALUE"""),"20-09-2025")</f>
        <v>20-09-2025</v>
      </c>
      <c r="B373" s="13" t="str">
        <f ca="1">IFERROR(__xludf.DUMMYFUNCTION("""COMPUTED_VALUE"""),"Bandung")</f>
        <v>Bandung</v>
      </c>
      <c r="C373" s="13" t="str">
        <f ca="1">IFERROR(__xludf.DUMMYFUNCTION("""COMPUTED_VALUE"""),"P03")</f>
        <v>P03</v>
      </c>
      <c r="D373" s="13">
        <f ca="1">IFERROR(__xludf.DUMMYFUNCTION("""COMPUTED_VALUE"""),4)</f>
        <v>4</v>
      </c>
      <c r="E373" s="14">
        <f ca="1">IFERROR(__xludf.DUMMYFUNCTION("""COMPUTED_VALUE"""),25000)</f>
        <v>25000</v>
      </c>
      <c r="F373" s="14">
        <f ca="1">IFERROR(__xludf.DUMMYFUNCTION("""COMPUTED_VALUE"""),100000)</f>
        <v>100000</v>
      </c>
      <c r="G373" s="13" t="str">
        <f ca="1"/>
        <v>Espresso</v>
      </c>
      <c r="H373" s="13" t="str">
        <f ca="1"/>
        <v>Coffee</v>
      </c>
      <c r="I373" s="13">
        <f ca="1">IFERROR(__xludf.DUMMYFUNCTION("""COMPUTED_VALUE"""),20)</f>
        <v>20</v>
      </c>
      <c r="J373" s="13">
        <f ca="1">IFERROR(__xludf.DUMMYFUNCTION("""COMPUTED_VALUE"""),9)</f>
        <v>9</v>
      </c>
      <c r="K373" s="13">
        <f ca="1">IFERROR(__xludf.DUMMYFUNCTION("""COMPUTED_VALUE"""),2025)</f>
        <v>2025</v>
      </c>
      <c r="L373" s="15">
        <f ca="1"/>
        <v>45920</v>
      </c>
    </row>
    <row r="374" spans="1:12">
      <c r="A374" s="12" t="str">
        <f ca="1">IFERROR(__xludf.DUMMYFUNCTION("""COMPUTED_VALUE"""),"11-09-2025")</f>
        <v>11-09-2025</v>
      </c>
      <c r="B374" s="13" t="str">
        <f ca="1">IFERROR(__xludf.DUMMYFUNCTION("""COMPUTED_VALUE"""),"Bandung")</f>
        <v>Bandung</v>
      </c>
      <c r="C374" s="13" t="str">
        <f ca="1">IFERROR(__xludf.DUMMYFUNCTION("""COMPUTED_VALUE"""),"P01")</f>
        <v>P01</v>
      </c>
      <c r="D374" s="13">
        <f ca="1">IFERROR(__xludf.DUMMYFUNCTION("""COMPUTED_VALUE"""),3)</f>
        <v>3</v>
      </c>
      <c r="E374" s="14">
        <f ca="1">IFERROR(__xludf.DUMMYFUNCTION("""COMPUTED_VALUE"""),28000)</f>
        <v>28000</v>
      </c>
      <c r="F374" s="14">
        <f ca="1">IFERROR(__xludf.DUMMYFUNCTION("""COMPUTED_VALUE"""),84000)</f>
        <v>84000</v>
      </c>
      <c r="G374" s="13" t="str">
        <f ca="1"/>
        <v>Cappuccino</v>
      </c>
      <c r="H374" s="13" t="str">
        <f ca="1"/>
        <v>Coffee</v>
      </c>
      <c r="I374" s="13">
        <f ca="1">IFERROR(__xludf.DUMMYFUNCTION("""COMPUTED_VALUE"""),11)</f>
        <v>11</v>
      </c>
      <c r="J374" s="13">
        <f ca="1">IFERROR(__xludf.DUMMYFUNCTION("""COMPUTED_VALUE"""),9)</f>
        <v>9</v>
      </c>
      <c r="K374" s="13">
        <f ca="1">IFERROR(__xludf.DUMMYFUNCTION("""COMPUTED_VALUE"""),2025)</f>
        <v>2025</v>
      </c>
      <c r="L374" s="15">
        <f ca="1"/>
        <v>45911</v>
      </c>
    </row>
    <row r="375" spans="1:12">
      <c r="A375" s="12" t="str">
        <f ca="1">IFERROR(__xludf.DUMMYFUNCTION("""COMPUTED_VALUE"""),"20-09-2025")</f>
        <v>20-09-2025</v>
      </c>
      <c r="B375" s="13" t="str">
        <f ca="1">IFERROR(__xludf.DUMMYFUNCTION("""COMPUTED_VALUE"""),"Bandung")</f>
        <v>Bandung</v>
      </c>
      <c r="C375" s="13" t="str">
        <f ca="1">IFERROR(__xludf.DUMMYFUNCTION("""COMPUTED_VALUE"""),"P05")</f>
        <v>P05</v>
      </c>
      <c r="D375" s="13">
        <f ca="1">IFERROR(__xludf.DUMMYFUNCTION("""COMPUTED_VALUE"""),5)</f>
        <v>5</v>
      </c>
      <c r="E375" s="14">
        <f ca="1">IFERROR(__xludf.DUMMYFUNCTION("""COMPUTED_VALUE"""),20000)</f>
        <v>20000</v>
      </c>
      <c r="F375" s="14">
        <f ca="1">IFERROR(__xludf.DUMMYFUNCTION("""COMPUTED_VALUE"""),100000)</f>
        <v>100000</v>
      </c>
      <c r="G375" s="13" t="str">
        <f ca="1"/>
        <v>Mocha</v>
      </c>
      <c r="H375" s="13" t="str">
        <f ca="1"/>
        <v>Chocolate</v>
      </c>
      <c r="I375" s="13">
        <f ca="1">IFERROR(__xludf.DUMMYFUNCTION("""COMPUTED_VALUE"""),20)</f>
        <v>20</v>
      </c>
      <c r="J375" s="13">
        <f ca="1">IFERROR(__xludf.DUMMYFUNCTION("""COMPUTED_VALUE"""),9)</f>
        <v>9</v>
      </c>
      <c r="K375" s="13">
        <f ca="1">IFERROR(__xludf.DUMMYFUNCTION("""COMPUTED_VALUE"""),2025)</f>
        <v>2025</v>
      </c>
      <c r="L375" s="15">
        <f ca="1"/>
        <v>45920</v>
      </c>
    </row>
    <row r="376" spans="1:12">
      <c r="A376" s="12" t="str">
        <f ca="1">IFERROR(__xludf.DUMMYFUNCTION("""COMPUTED_VALUE"""),"30-09-2025")</f>
        <v>30-09-2025</v>
      </c>
      <c r="B376" s="13" t="str">
        <f ca="1">IFERROR(__xludf.DUMMYFUNCTION("""COMPUTED_VALUE"""),"Bandung")</f>
        <v>Bandung</v>
      </c>
      <c r="C376" s="13" t="str">
        <f ca="1">IFERROR(__xludf.DUMMYFUNCTION("""COMPUTED_VALUE"""),"P01")</f>
        <v>P01</v>
      </c>
      <c r="D376" s="13">
        <f ca="1">IFERROR(__xludf.DUMMYFUNCTION("""COMPUTED_VALUE"""),3)</f>
        <v>3</v>
      </c>
      <c r="E376" s="14">
        <f ca="1">IFERROR(__xludf.DUMMYFUNCTION("""COMPUTED_VALUE"""),30000)</f>
        <v>30000</v>
      </c>
      <c r="F376" s="14">
        <f ca="1">IFERROR(__xludf.DUMMYFUNCTION("""COMPUTED_VALUE"""),90000)</f>
        <v>90000</v>
      </c>
      <c r="G376" s="13" t="str">
        <f ca="1"/>
        <v>Cappuccino</v>
      </c>
      <c r="H376" s="13" t="str">
        <f ca="1"/>
        <v>Coffee</v>
      </c>
      <c r="I376" s="13">
        <f ca="1">IFERROR(__xludf.DUMMYFUNCTION("""COMPUTED_VALUE"""),30)</f>
        <v>30</v>
      </c>
      <c r="J376" s="13">
        <f ca="1">IFERROR(__xludf.DUMMYFUNCTION("""COMPUTED_VALUE"""),9)</f>
        <v>9</v>
      </c>
      <c r="K376" s="13">
        <f ca="1">IFERROR(__xludf.DUMMYFUNCTION("""COMPUTED_VALUE"""),2025)</f>
        <v>2025</v>
      </c>
      <c r="L376" s="15">
        <f ca="1"/>
        <v>45930</v>
      </c>
    </row>
    <row r="377" spans="1:12">
      <c r="A377" s="12" t="str">
        <f ca="1">IFERROR(__xludf.DUMMYFUNCTION("""COMPUTED_VALUE"""),"25-09-2025")</f>
        <v>25-09-2025</v>
      </c>
      <c r="B377" s="13" t="str">
        <f ca="1">IFERROR(__xludf.DUMMYFUNCTION("""COMPUTED_VALUE"""),"Bandung")</f>
        <v>Bandung</v>
      </c>
      <c r="C377" s="13" t="str">
        <f ca="1">IFERROR(__xludf.DUMMYFUNCTION("""COMPUTED_VALUE"""),"P02")</f>
        <v>P02</v>
      </c>
      <c r="D377" s="13">
        <f ca="1">IFERROR(__xludf.DUMMYFUNCTION("""COMPUTED_VALUE"""),5)</f>
        <v>5</v>
      </c>
      <c r="E377" s="14">
        <f ca="1">IFERROR(__xludf.DUMMYFUNCTION("""COMPUTED_VALUE"""),30000)</f>
        <v>30000</v>
      </c>
      <c r="F377" s="14">
        <f ca="1">IFERROR(__xludf.DUMMYFUNCTION("""COMPUTED_VALUE"""),150000)</f>
        <v>150000</v>
      </c>
      <c r="G377" s="13" t="str">
        <f ca="1"/>
        <v>Latte</v>
      </c>
      <c r="H377" s="13" t="str">
        <f ca="1"/>
        <v>Coffee</v>
      </c>
      <c r="I377" s="13">
        <f ca="1">IFERROR(__xludf.DUMMYFUNCTION("""COMPUTED_VALUE"""),25)</f>
        <v>25</v>
      </c>
      <c r="J377" s="13">
        <f ca="1">IFERROR(__xludf.DUMMYFUNCTION("""COMPUTED_VALUE"""),9)</f>
        <v>9</v>
      </c>
      <c r="K377" s="13">
        <f ca="1">IFERROR(__xludf.DUMMYFUNCTION("""COMPUTED_VALUE"""),2025)</f>
        <v>2025</v>
      </c>
      <c r="L377" s="15">
        <f ca="1"/>
        <v>45925</v>
      </c>
    </row>
    <row r="378" spans="1:12">
      <c r="A378" s="12" t="str">
        <f ca="1">IFERROR(__xludf.DUMMYFUNCTION("""COMPUTED_VALUE"""),"27-09-2025")</f>
        <v>27-09-2025</v>
      </c>
      <c r="B378" s="13" t="str">
        <f ca="1">IFERROR(__xludf.DUMMYFUNCTION("""COMPUTED_VALUE"""),"Bandung")</f>
        <v>Bandung</v>
      </c>
      <c r="C378" s="13" t="str">
        <f ca="1">IFERROR(__xludf.DUMMYFUNCTION("""COMPUTED_VALUE"""),"P03")</f>
        <v>P03</v>
      </c>
      <c r="D378" s="13">
        <f ca="1">IFERROR(__xludf.DUMMYFUNCTION("""COMPUTED_VALUE"""),5)</f>
        <v>5</v>
      </c>
      <c r="E378" s="14">
        <f ca="1">IFERROR(__xludf.DUMMYFUNCTION("""COMPUTED_VALUE"""),35000)</f>
        <v>35000</v>
      </c>
      <c r="F378" s="14">
        <f ca="1">IFERROR(__xludf.DUMMYFUNCTION("""COMPUTED_VALUE"""),175000)</f>
        <v>175000</v>
      </c>
      <c r="G378" s="13" t="str">
        <f ca="1"/>
        <v>Espresso</v>
      </c>
      <c r="H378" s="13" t="str">
        <f ca="1"/>
        <v>Coffee</v>
      </c>
      <c r="I378" s="13">
        <f ca="1">IFERROR(__xludf.DUMMYFUNCTION("""COMPUTED_VALUE"""),27)</f>
        <v>27</v>
      </c>
      <c r="J378" s="13">
        <f ca="1">IFERROR(__xludf.DUMMYFUNCTION("""COMPUTED_VALUE"""),9)</f>
        <v>9</v>
      </c>
      <c r="K378" s="13">
        <f ca="1">IFERROR(__xludf.DUMMYFUNCTION("""COMPUTED_VALUE"""),2025)</f>
        <v>2025</v>
      </c>
      <c r="L378" s="15">
        <f ca="1"/>
        <v>45927</v>
      </c>
    </row>
    <row r="379" spans="1:12">
      <c r="A379" s="12" t="str">
        <f ca="1">IFERROR(__xludf.DUMMYFUNCTION("""COMPUTED_VALUE"""),"19-09-2025")</f>
        <v>19-09-2025</v>
      </c>
      <c r="B379" s="13" t="str">
        <f ca="1">IFERROR(__xludf.DUMMYFUNCTION("""COMPUTED_VALUE"""),"Bandung")</f>
        <v>Bandung</v>
      </c>
      <c r="C379" s="13" t="str">
        <f ca="1">IFERROR(__xludf.DUMMYFUNCTION("""COMPUTED_VALUE"""),"P04")</f>
        <v>P04</v>
      </c>
      <c r="D379" s="13">
        <f ca="1">IFERROR(__xludf.DUMMYFUNCTION("""COMPUTED_VALUE"""),3)</f>
        <v>3</v>
      </c>
      <c r="E379" s="14">
        <f ca="1">IFERROR(__xludf.DUMMYFUNCTION("""COMPUTED_VALUE"""),30000)</f>
        <v>30000</v>
      </c>
      <c r="F379" s="14">
        <f ca="1">IFERROR(__xludf.DUMMYFUNCTION("""COMPUTED_VALUE"""),90000)</f>
        <v>90000</v>
      </c>
      <c r="G379" s="13" t="str">
        <f ca="1"/>
        <v>Americano</v>
      </c>
      <c r="H379" s="13" t="str">
        <f ca="1"/>
        <v>Coffee</v>
      </c>
      <c r="I379" s="13">
        <f ca="1">IFERROR(__xludf.DUMMYFUNCTION("""COMPUTED_VALUE"""),19)</f>
        <v>19</v>
      </c>
      <c r="J379" s="13">
        <f ca="1">IFERROR(__xludf.DUMMYFUNCTION("""COMPUTED_VALUE"""),9)</f>
        <v>9</v>
      </c>
      <c r="K379" s="13">
        <f ca="1">IFERROR(__xludf.DUMMYFUNCTION("""COMPUTED_VALUE"""),2025)</f>
        <v>2025</v>
      </c>
      <c r="L379" s="15">
        <f ca="1"/>
        <v>45919</v>
      </c>
    </row>
    <row r="380" spans="1:12">
      <c r="A380" s="12" t="str">
        <f ca="1">IFERROR(__xludf.DUMMYFUNCTION("""COMPUTED_VALUE"""),"23-09-2025")</f>
        <v>23-09-2025</v>
      </c>
      <c r="B380" s="13" t="str">
        <f ca="1">IFERROR(__xludf.DUMMYFUNCTION("""COMPUTED_VALUE"""),"Bandung")</f>
        <v>Bandung</v>
      </c>
      <c r="C380" s="13" t="str">
        <f ca="1">IFERROR(__xludf.DUMMYFUNCTION("""COMPUTED_VALUE"""),"P05")</f>
        <v>P05</v>
      </c>
      <c r="D380" s="13">
        <f ca="1">IFERROR(__xludf.DUMMYFUNCTION("""COMPUTED_VALUE"""),2)</f>
        <v>2</v>
      </c>
      <c r="E380" s="14">
        <f ca="1">IFERROR(__xludf.DUMMYFUNCTION("""COMPUTED_VALUE"""),30000)</f>
        <v>30000</v>
      </c>
      <c r="F380" s="14">
        <f ca="1">IFERROR(__xludf.DUMMYFUNCTION("""COMPUTED_VALUE"""),60000)</f>
        <v>60000</v>
      </c>
      <c r="G380" s="13" t="str">
        <f ca="1"/>
        <v>Mocha</v>
      </c>
      <c r="H380" s="13" t="str">
        <f ca="1"/>
        <v>Chocolate</v>
      </c>
      <c r="I380" s="13">
        <f ca="1">IFERROR(__xludf.DUMMYFUNCTION("""COMPUTED_VALUE"""),23)</f>
        <v>23</v>
      </c>
      <c r="J380" s="13">
        <f ca="1">IFERROR(__xludf.DUMMYFUNCTION("""COMPUTED_VALUE"""),9)</f>
        <v>9</v>
      </c>
      <c r="K380" s="13">
        <f ca="1">IFERROR(__xludf.DUMMYFUNCTION("""COMPUTED_VALUE"""),2025)</f>
        <v>2025</v>
      </c>
      <c r="L380" s="15">
        <f ca="1"/>
        <v>45923</v>
      </c>
    </row>
    <row r="381" spans="1:12">
      <c r="A381" s="12" t="str">
        <f ca="1">IFERROR(__xludf.DUMMYFUNCTION("""COMPUTED_VALUE"""),"16-09-2025")</f>
        <v>16-09-2025</v>
      </c>
      <c r="B381" s="13" t="str">
        <f ca="1">IFERROR(__xludf.DUMMYFUNCTION("""COMPUTED_VALUE"""),"Bandung")</f>
        <v>Bandung</v>
      </c>
      <c r="C381" s="13" t="str">
        <f ca="1">IFERROR(__xludf.DUMMYFUNCTION("""COMPUTED_VALUE"""),"P01")</f>
        <v>P01</v>
      </c>
      <c r="D381" s="13">
        <f ca="1">IFERROR(__xludf.DUMMYFUNCTION("""COMPUTED_VALUE"""),1)</f>
        <v>1</v>
      </c>
      <c r="E381" s="14">
        <f ca="1">IFERROR(__xludf.DUMMYFUNCTION("""COMPUTED_VALUE"""),25000)</f>
        <v>25000</v>
      </c>
      <c r="F381" s="14">
        <f ca="1">IFERROR(__xludf.DUMMYFUNCTION("""COMPUTED_VALUE"""),25000)</f>
        <v>25000</v>
      </c>
      <c r="G381" s="13" t="str">
        <f ca="1"/>
        <v>Cappuccino</v>
      </c>
      <c r="H381" s="13" t="str">
        <f ca="1"/>
        <v>Coffee</v>
      </c>
      <c r="I381" s="13">
        <f ca="1">IFERROR(__xludf.DUMMYFUNCTION("""COMPUTED_VALUE"""),16)</f>
        <v>16</v>
      </c>
      <c r="J381" s="13">
        <f ca="1">IFERROR(__xludf.DUMMYFUNCTION("""COMPUTED_VALUE"""),9)</f>
        <v>9</v>
      </c>
      <c r="K381" s="13">
        <f ca="1">IFERROR(__xludf.DUMMYFUNCTION("""COMPUTED_VALUE"""),2025)</f>
        <v>2025</v>
      </c>
      <c r="L381" s="15">
        <f ca="1"/>
        <v>45916</v>
      </c>
    </row>
    <row r="382" spans="1:12">
      <c r="A382" s="12" t="str">
        <f ca="1">IFERROR(__xludf.DUMMYFUNCTION("""COMPUTED_VALUE"""),"20-09-2025")</f>
        <v>20-09-2025</v>
      </c>
      <c r="B382" s="13" t="str">
        <f ca="1">IFERROR(__xludf.DUMMYFUNCTION("""COMPUTED_VALUE"""),"Bandung")</f>
        <v>Bandung</v>
      </c>
      <c r="C382" s="13" t="str">
        <f ca="1">IFERROR(__xludf.DUMMYFUNCTION("""COMPUTED_VALUE"""),"P02")</f>
        <v>P02</v>
      </c>
      <c r="D382" s="13">
        <f ca="1">IFERROR(__xludf.DUMMYFUNCTION("""COMPUTED_VALUE"""),3)</f>
        <v>3</v>
      </c>
      <c r="E382" s="14">
        <f ca="1">IFERROR(__xludf.DUMMYFUNCTION("""COMPUTED_VALUE"""),28000)</f>
        <v>28000</v>
      </c>
      <c r="F382" s="14">
        <f ca="1">IFERROR(__xludf.DUMMYFUNCTION("""COMPUTED_VALUE"""),84000)</f>
        <v>84000</v>
      </c>
      <c r="G382" s="13" t="str">
        <f ca="1"/>
        <v>Latte</v>
      </c>
      <c r="H382" s="13" t="str">
        <f ca="1"/>
        <v>Coffee</v>
      </c>
      <c r="I382" s="13">
        <f ca="1">IFERROR(__xludf.DUMMYFUNCTION("""COMPUTED_VALUE"""),20)</f>
        <v>20</v>
      </c>
      <c r="J382" s="13">
        <f ca="1">IFERROR(__xludf.DUMMYFUNCTION("""COMPUTED_VALUE"""),9)</f>
        <v>9</v>
      </c>
      <c r="K382" s="13">
        <f ca="1">IFERROR(__xludf.DUMMYFUNCTION("""COMPUTED_VALUE"""),2025)</f>
        <v>2025</v>
      </c>
      <c r="L382" s="15">
        <f ca="1"/>
        <v>45920</v>
      </c>
    </row>
    <row r="383" spans="1:12">
      <c r="A383" s="12" t="str">
        <f ca="1">IFERROR(__xludf.DUMMYFUNCTION("""COMPUTED_VALUE"""),"21-09-2025")</f>
        <v>21-09-2025</v>
      </c>
      <c r="B383" s="13" t="str">
        <f ca="1">IFERROR(__xludf.DUMMYFUNCTION("""COMPUTED_VALUE"""),"Bandung")</f>
        <v>Bandung</v>
      </c>
      <c r="C383" s="13" t="str">
        <f ca="1">IFERROR(__xludf.DUMMYFUNCTION("""COMPUTED_VALUE"""),"P03")</f>
        <v>P03</v>
      </c>
      <c r="D383" s="13">
        <f ca="1">IFERROR(__xludf.DUMMYFUNCTION("""COMPUTED_VALUE"""),1)</f>
        <v>1</v>
      </c>
      <c r="E383" s="14">
        <f ca="1">IFERROR(__xludf.DUMMYFUNCTION("""COMPUTED_VALUE"""),28000)</f>
        <v>28000</v>
      </c>
      <c r="F383" s="14">
        <f ca="1">IFERROR(__xludf.DUMMYFUNCTION("""COMPUTED_VALUE"""),28000)</f>
        <v>28000</v>
      </c>
      <c r="G383" s="13" t="str">
        <f ca="1"/>
        <v>Espresso</v>
      </c>
      <c r="H383" s="13" t="str">
        <f ca="1"/>
        <v>Coffee</v>
      </c>
      <c r="I383" s="13">
        <f ca="1">IFERROR(__xludf.DUMMYFUNCTION("""COMPUTED_VALUE"""),21)</f>
        <v>21</v>
      </c>
      <c r="J383" s="13">
        <f ca="1">IFERROR(__xludf.DUMMYFUNCTION("""COMPUTED_VALUE"""),9)</f>
        <v>9</v>
      </c>
      <c r="K383" s="13">
        <f ca="1">IFERROR(__xludf.DUMMYFUNCTION("""COMPUTED_VALUE"""),2025)</f>
        <v>2025</v>
      </c>
      <c r="L383" s="15">
        <f ca="1"/>
        <v>45921</v>
      </c>
    </row>
    <row r="384" spans="1:12">
      <c r="A384" s="12" t="str">
        <f ca="1">IFERROR(__xludf.DUMMYFUNCTION("""COMPUTED_VALUE"""),"25-09-2025")</f>
        <v>25-09-2025</v>
      </c>
      <c r="B384" s="13" t="str">
        <f ca="1">IFERROR(__xludf.DUMMYFUNCTION("""COMPUTED_VALUE"""),"Bandung")</f>
        <v>Bandung</v>
      </c>
      <c r="C384" s="13" t="str">
        <f ca="1">IFERROR(__xludf.DUMMYFUNCTION("""COMPUTED_VALUE"""),"P03")</f>
        <v>P03</v>
      </c>
      <c r="D384" s="13">
        <f ca="1">IFERROR(__xludf.DUMMYFUNCTION("""COMPUTED_VALUE"""),5)</f>
        <v>5</v>
      </c>
      <c r="E384" s="14">
        <f ca="1">IFERROR(__xludf.DUMMYFUNCTION("""COMPUTED_VALUE"""),30000)</f>
        <v>30000</v>
      </c>
      <c r="F384" s="14">
        <f ca="1">IFERROR(__xludf.DUMMYFUNCTION("""COMPUTED_VALUE"""),150000)</f>
        <v>150000</v>
      </c>
      <c r="G384" s="13" t="str">
        <f ca="1"/>
        <v>Espresso</v>
      </c>
      <c r="H384" s="13" t="str">
        <f ca="1"/>
        <v>Coffee</v>
      </c>
      <c r="I384" s="13">
        <f ca="1">IFERROR(__xludf.DUMMYFUNCTION("""COMPUTED_VALUE"""),25)</f>
        <v>25</v>
      </c>
      <c r="J384" s="13">
        <f ca="1">IFERROR(__xludf.DUMMYFUNCTION("""COMPUTED_VALUE"""),9)</f>
        <v>9</v>
      </c>
      <c r="K384" s="13">
        <f ca="1">IFERROR(__xludf.DUMMYFUNCTION("""COMPUTED_VALUE"""),2025)</f>
        <v>2025</v>
      </c>
      <c r="L384" s="15">
        <f ca="1"/>
        <v>45925</v>
      </c>
    </row>
    <row r="385" spans="1:12">
      <c r="A385" s="12" t="str">
        <f ca="1">IFERROR(__xludf.DUMMYFUNCTION("""COMPUTED_VALUE"""),"08-09-2025")</f>
        <v>08-09-2025</v>
      </c>
      <c r="B385" s="13" t="str">
        <f ca="1">IFERROR(__xludf.DUMMYFUNCTION("""COMPUTED_VALUE"""),"Bandung")</f>
        <v>Bandung</v>
      </c>
      <c r="C385" s="13" t="str">
        <f ca="1">IFERROR(__xludf.DUMMYFUNCTION("""COMPUTED_VALUE"""),"P01")</f>
        <v>P01</v>
      </c>
      <c r="D385" s="13">
        <f ca="1">IFERROR(__xludf.DUMMYFUNCTION("""COMPUTED_VALUE"""),2)</f>
        <v>2</v>
      </c>
      <c r="E385" s="14">
        <f ca="1">IFERROR(__xludf.DUMMYFUNCTION("""COMPUTED_VALUE"""),30000)</f>
        <v>30000</v>
      </c>
      <c r="F385" s="14">
        <f ca="1">IFERROR(__xludf.DUMMYFUNCTION("""COMPUTED_VALUE"""),60000)</f>
        <v>60000</v>
      </c>
      <c r="G385" s="13" t="str">
        <f ca="1"/>
        <v>Cappuccino</v>
      </c>
      <c r="H385" s="13" t="str">
        <f ca="1"/>
        <v>Coffee</v>
      </c>
      <c r="I385" s="13">
        <f ca="1">IFERROR(__xludf.DUMMYFUNCTION("""COMPUTED_VALUE"""),8)</f>
        <v>8</v>
      </c>
      <c r="J385" s="13">
        <f ca="1">IFERROR(__xludf.DUMMYFUNCTION("""COMPUTED_VALUE"""),9)</f>
        <v>9</v>
      </c>
      <c r="K385" s="13">
        <f ca="1">IFERROR(__xludf.DUMMYFUNCTION("""COMPUTED_VALUE"""),2025)</f>
        <v>2025</v>
      </c>
      <c r="L385" s="15">
        <f ca="1"/>
        <v>45908</v>
      </c>
    </row>
    <row r="386" spans="1:12">
      <c r="A386" s="12" t="str">
        <f ca="1">IFERROR(__xludf.DUMMYFUNCTION("""COMPUTED_VALUE"""),"09-09-2025")</f>
        <v>09-09-2025</v>
      </c>
      <c r="B386" s="13" t="str">
        <f ca="1">IFERROR(__xludf.DUMMYFUNCTION("""COMPUTED_VALUE"""),"Bandung")</f>
        <v>Bandung</v>
      </c>
      <c r="C386" s="13" t="str">
        <f ca="1">IFERROR(__xludf.DUMMYFUNCTION("""COMPUTED_VALUE"""),"P05")</f>
        <v>P05</v>
      </c>
      <c r="D386" s="13">
        <f ca="1">IFERROR(__xludf.DUMMYFUNCTION("""COMPUTED_VALUE"""),5)</f>
        <v>5</v>
      </c>
      <c r="E386" s="14">
        <f ca="1">IFERROR(__xludf.DUMMYFUNCTION("""COMPUTED_VALUE"""),20000)</f>
        <v>20000</v>
      </c>
      <c r="F386" s="14">
        <f ca="1">IFERROR(__xludf.DUMMYFUNCTION("""COMPUTED_VALUE"""),100000)</f>
        <v>100000</v>
      </c>
      <c r="G386" s="13" t="str">
        <f ca="1"/>
        <v>Mocha</v>
      </c>
      <c r="H386" s="13" t="str">
        <f ca="1"/>
        <v>Chocolate</v>
      </c>
      <c r="I386" s="13">
        <f ca="1">IFERROR(__xludf.DUMMYFUNCTION("""COMPUTED_VALUE"""),9)</f>
        <v>9</v>
      </c>
      <c r="J386" s="13">
        <f ca="1">IFERROR(__xludf.DUMMYFUNCTION("""COMPUTED_VALUE"""),9)</f>
        <v>9</v>
      </c>
      <c r="K386" s="13">
        <f ca="1">IFERROR(__xludf.DUMMYFUNCTION("""COMPUTED_VALUE"""),2025)</f>
        <v>2025</v>
      </c>
      <c r="L386" s="15">
        <f ca="1"/>
        <v>45909</v>
      </c>
    </row>
    <row r="387" spans="1:12">
      <c r="A387" s="12" t="str">
        <f ca="1">IFERROR(__xludf.DUMMYFUNCTION("""COMPUTED_VALUE"""),"01-09-2025")</f>
        <v>01-09-2025</v>
      </c>
      <c r="B387" s="13" t="str">
        <f ca="1">IFERROR(__xludf.DUMMYFUNCTION("""COMPUTED_VALUE"""),"Bandung")</f>
        <v>Bandung</v>
      </c>
      <c r="C387" s="13" t="str">
        <f ca="1">IFERROR(__xludf.DUMMYFUNCTION("""COMPUTED_VALUE"""),"P01")</f>
        <v>P01</v>
      </c>
      <c r="D387" s="13">
        <f ca="1">IFERROR(__xludf.DUMMYFUNCTION("""COMPUTED_VALUE"""),4)</f>
        <v>4</v>
      </c>
      <c r="E387" s="14">
        <f ca="1">IFERROR(__xludf.DUMMYFUNCTION("""COMPUTED_VALUE"""),20000)</f>
        <v>20000</v>
      </c>
      <c r="F387" s="14">
        <f ca="1">IFERROR(__xludf.DUMMYFUNCTION("""COMPUTED_VALUE"""),80000)</f>
        <v>80000</v>
      </c>
      <c r="G387" s="13" t="str">
        <f ca="1"/>
        <v>Cappuccino</v>
      </c>
      <c r="H387" s="13" t="str">
        <f ca="1"/>
        <v>Coffee</v>
      </c>
      <c r="I387" s="13">
        <f ca="1">IFERROR(__xludf.DUMMYFUNCTION("""COMPUTED_VALUE"""),1)</f>
        <v>1</v>
      </c>
      <c r="J387" s="13">
        <f ca="1">IFERROR(__xludf.DUMMYFUNCTION("""COMPUTED_VALUE"""),9)</f>
        <v>9</v>
      </c>
      <c r="K387" s="13">
        <f ca="1">IFERROR(__xludf.DUMMYFUNCTION("""COMPUTED_VALUE"""),2025)</f>
        <v>2025</v>
      </c>
      <c r="L387" s="15">
        <f ca="1"/>
        <v>45901</v>
      </c>
    </row>
    <row r="388" spans="1:12">
      <c r="A388" s="12" t="str">
        <f ca="1">IFERROR(__xludf.DUMMYFUNCTION("""COMPUTED_VALUE"""),"14-09-2025")</f>
        <v>14-09-2025</v>
      </c>
      <c r="B388" s="13" t="str">
        <f ca="1">IFERROR(__xludf.DUMMYFUNCTION("""COMPUTED_VALUE"""),"Bandung")</f>
        <v>Bandung</v>
      </c>
      <c r="C388" s="13" t="str">
        <f ca="1">IFERROR(__xludf.DUMMYFUNCTION("""COMPUTED_VALUE"""),"P02")</f>
        <v>P02</v>
      </c>
      <c r="D388" s="13">
        <f ca="1">IFERROR(__xludf.DUMMYFUNCTION("""COMPUTED_VALUE"""),2)</f>
        <v>2</v>
      </c>
      <c r="E388" s="14">
        <f ca="1">IFERROR(__xludf.DUMMYFUNCTION("""COMPUTED_VALUE"""),28000)</f>
        <v>28000</v>
      </c>
      <c r="F388" s="14">
        <f ca="1">IFERROR(__xludf.DUMMYFUNCTION("""COMPUTED_VALUE"""),56000)</f>
        <v>56000</v>
      </c>
      <c r="G388" s="13" t="str">
        <f ca="1"/>
        <v>Latte</v>
      </c>
      <c r="H388" s="13" t="str">
        <f ca="1"/>
        <v>Coffee</v>
      </c>
      <c r="I388" s="13">
        <f ca="1">IFERROR(__xludf.DUMMYFUNCTION("""COMPUTED_VALUE"""),14)</f>
        <v>14</v>
      </c>
      <c r="J388" s="13">
        <f ca="1">IFERROR(__xludf.DUMMYFUNCTION("""COMPUTED_VALUE"""),9)</f>
        <v>9</v>
      </c>
      <c r="K388" s="13">
        <f ca="1">IFERROR(__xludf.DUMMYFUNCTION("""COMPUTED_VALUE"""),2025)</f>
        <v>2025</v>
      </c>
      <c r="L388" s="15">
        <f ca="1"/>
        <v>45914</v>
      </c>
    </row>
    <row r="389" spans="1:12">
      <c r="A389" s="12" t="str">
        <f ca="1">IFERROR(__xludf.DUMMYFUNCTION("""COMPUTED_VALUE"""),"03-09-2025")</f>
        <v>03-09-2025</v>
      </c>
      <c r="B389" s="13" t="str">
        <f ca="1">IFERROR(__xludf.DUMMYFUNCTION("""COMPUTED_VALUE"""),"Bandung")</f>
        <v>Bandung</v>
      </c>
      <c r="C389" s="13" t="str">
        <f ca="1">IFERROR(__xludf.DUMMYFUNCTION("""COMPUTED_VALUE"""),"P03")</f>
        <v>P03</v>
      </c>
      <c r="D389" s="13">
        <f ca="1">IFERROR(__xludf.DUMMYFUNCTION("""COMPUTED_VALUE"""),3)</f>
        <v>3</v>
      </c>
      <c r="E389" s="14">
        <f ca="1">IFERROR(__xludf.DUMMYFUNCTION("""COMPUTED_VALUE"""),28000)</f>
        <v>28000</v>
      </c>
      <c r="F389" s="14">
        <f ca="1">IFERROR(__xludf.DUMMYFUNCTION("""COMPUTED_VALUE"""),84000)</f>
        <v>84000</v>
      </c>
      <c r="G389" s="13" t="str">
        <f ca="1"/>
        <v>Espresso</v>
      </c>
      <c r="H389" s="13" t="str">
        <f ca="1"/>
        <v>Coffee</v>
      </c>
      <c r="I389" s="13">
        <f ca="1">IFERROR(__xludf.DUMMYFUNCTION("""COMPUTED_VALUE"""),3)</f>
        <v>3</v>
      </c>
      <c r="J389" s="13">
        <f ca="1">IFERROR(__xludf.DUMMYFUNCTION("""COMPUTED_VALUE"""),9)</f>
        <v>9</v>
      </c>
      <c r="K389" s="13">
        <f ca="1">IFERROR(__xludf.DUMMYFUNCTION("""COMPUTED_VALUE"""),2025)</f>
        <v>2025</v>
      </c>
      <c r="L389" s="15">
        <f ca="1"/>
        <v>45903</v>
      </c>
    </row>
    <row r="390" spans="1:12">
      <c r="A390" s="12" t="str">
        <f ca="1">IFERROR(__xludf.DUMMYFUNCTION("""COMPUTED_VALUE"""),"19-09-2025")</f>
        <v>19-09-2025</v>
      </c>
      <c r="B390" s="13" t="str">
        <f ca="1">IFERROR(__xludf.DUMMYFUNCTION("""COMPUTED_VALUE"""),"Bandung")</f>
        <v>Bandung</v>
      </c>
      <c r="C390" s="13" t="str">
        <f ca="1">IFERROR(__xludf.DUMMYFUNCTION("""COMPUTED_VALUE"""),"P04")</f>
        <v>P04</v>
      </c>
      <c r="D390" s="13">
        <f ca="1">IFERROR(__xludf.DUMMYFUNCTION("""COMPUTED_VALUE"""),5)</f>
        <v>5</v>
      </c>
      <c r="E390" s="14">
        <f ca="1">IFERROR(__xludf.DUMMYFUNCTION("""COMPUTED_VALUE"""),35000)</f>
        <v>35000</v>
      </c>
      <c r="F390" s="14">
        <f ca="1">IFERROR(__xludf.DUMMYFUNCTION("""COMPUTED_VALUE"""),175000)</f>
        <v>175000</v>
      </c>
      <c r="G390" s="13" t="str">
        <f ca="1"/>
        <v>Americano</v>
      </c>
      <c r="H390" s="13" t="str">
        <f ca="1"/>
        <v>Coffee</v>
      </c>
      <c r="I390" s="13">
        <f ca="1">IFERROR(__xludf.DUMMYFUNCTION("""COMPUTED_VALUE"""),19)</f>
        <v>19</v>
      </c>
      <c r="J390" s="13">
        <f ca="1">IFERROR(__xludf.DUMMYFUNCTION("""COMPUTED_VALUE"""),9)</f>
        <v>9</v>
      </c>
      <c r="K390" s="13">
        <f ca="1">IFERROR(__xludf.DUMMYFUNCTION("""COMPUTED_VALUE"""),2025)</f>
        <v>2025</v>
      </c>
      <c r="L390" s="15">
        <f ca="1"/>
        <v>45919</v>
      </c>
    </row>
    <row r="391" spans="1:12">
      <c r="A391" s="12" t="str">
        <f ca="1">IFERROR(__xludf.DUMMYFUNCTION("""COMPUTED_VALUE"""),"30-09-2025")</f>
        <v>30-09-2025</v>
      </c>
      <c r="B391" s="13" t="str">
        <f ca="1">IFERROR(__xludf.DUMMYFUNCTION("""COMPUTED_VALUE"""),"Bandung")</f>
        <v>Bandung</v>
      </c>
      <c r="C391" s="13" t="str">
        <f ca="1">IFERROR(__xludf.DUMMYFUNCTION("""COMPUTED_VALUE"""),"P05")</f>
        <v>P05</v>
      </c>
      <c r="D391" s="13">
        <f ca="1">IFERROR(__xludf.DUMMYFUNCTION("""COMPUTED_VALUE"""),5)</f>
        <v>5</v>
      </c>
      <c r="E391" s="14">
        <f ca="1">IFERROR(__xludf.DUMMYFUNCTION("""COMPUTED_VALUE"""),35000)</f>
        <v>35000</v>
      </c>
      <c r="F391" s="14">
        <f ca="1">IFERROR(__xludf.DUMMYFUNCTION("""COMPUTED_VALUE"""),175000)</f>
        <v>175000</v>
      </c>
      <c r="G391" s="13" t="str">
        <f ca="1"/>
        <v>Mocha</v>
      </c>
      <c r="H391" s="13" t="str">
        <f ca="1"/>
        <v>Chocolate</v>
      </c>
      <c r="I391" s="13">
        <f ca="1">IFERROR(__xludf.DUMMYFUNCTION("""COMPUTED_VALUE"""),30)</f>
        <v>30</v>
      </c>
      <c r="J391" s="13">
        <f ca="1">IFERROR(__xludf.DUMMYFUNCTION("""COMPUTED_VALUE"""),9)</f>
        <v>9</v>
      </c>
      <c r="K391" s="13">
        <f ca="1">IFERROR(__xludf.DUMMYFUNCTION("""COMPUTED_VALUE"""),2025)</f>
        <v>2025</v>
      </c>
      <c r="L391" s="15">
        <f ca="1"/>
        <v>45930</v>
      </c>
    </row>
    <row r="392" spans="1:12">
      <c r="A392" s="12" t="str">
        <f ca="1">IFERROR(__xludf.DUMMYFUNCTION("""COMPUTED_VALUE"""),"06-09-2025")</f>
        <v>06-09-2025</v>
      </c>
      <c r="B392" s="13" t="str">
        <f ca="1">IFERROR(__xludf.DUMMYFUNCTION("""COMPUTED_VALUE"""),"Bandung")</f>
        <v>Bandung</v>
      </c>
      <c r="C392" s="13" t="str">
        <f ca="1">IFERROR(__xludf.DUMMYFUNCTION("""COMPUTED_VALUE"""),"P01")</f>
        <v>P01</v>
      </c>
      <c r="D392" s="13">
        <f ca="1">IFERROR(__xludf.DUMMYFUNCTION("""COMPUTED_VALUE"""),1)</f>
        <v>1</v>
      </c>
      <c r="E392" s="14">
        <f ca="1">IFERROR(__xludf.DUMMYFUNCTION("""COMPUTED_VALUE"""),35000)</f>
        <v>35000</v>
      </c>
      <c r="F392" s="14">
        <f ca="1">IFERROR(__xludf.DUMMYFUNCTION("""COMPUTED_VALUE"""),35000)</f>
        <v>35000</v>
      </c>
      <c r="G392" s="13" t="str">
        <f ca="1"/>
        <v>Cappuccino</v>
      </c>
      <c r="H392" s="13" t="str">
        <f ca="1"/>
        <v>Coffee</v>
      </c>
      <c r="I392" s="13">
        <f ca="1">IFERROR(__xludf.DUMMYFUNCTION("""COMPUTED_VALUE"""),6)</f>
        <v>6</v>
      </c>
      <c r="J392" s="13">
        <f ca="1">IFERROR(__xludf.DUMMYFUNCTION("""COMPUTED_VALUE"""),9)</f>
        <v>9</v>
      </c>
      <c r="K392" s="13">
        <f ca="1">IFERROR(__xludf.DUMMYFUNCTION("""COMPUTED_VALUE"""),2025)</f>
        <v>2025</v>
      </c>
      <c r="L392" s="15">
        <f ca="1"/>
        <v>45906</v>
      </c>
    </row>
    <row r="393" spans="1:12">
      <c r="A393" s="12" t="str">
        <f ca="1">IFERROR(__xludf.DUMMYFUNCTION("""COMPUTED_VALUE"""),"28-09-2025")</f>
        <v>28-09-2025</v>
      </c>
      <c r="B393" s="13" t="str">
        <f ca="1">IFERROR(__xludf.DUMMYFUNCTION("""COMPUTED_VALUE"""),"Bandung")</f>
        <v>Bandung</v>
      </c>
      <c r="C393" s="13" t="str">
        <f ca="1">IFERROR(__xludf.DUMMYFUNCTION("""COMPUTED_VALUE"""),"P02")</f>
        <v>P02</v>
      </c>
      <c r="D393" s="13">
        <f ca="1">IFERROR(__xludf.DUMMYFUNCTION("""COMPUTED_VALUE"""),4)</f>
        <v>4</v>
      </c>
      <c r="E393" s="14">
        <f ca="1">IFERROR(__xludf.DUMMYFUNCTION("""COMPUTED_VALUE"""),35000)</f>
        <v>35000</v>
      </c>
      <c r="F393" s="14">
        <f ca="1">IFERROR(__xludf.DUMMYFUNCTION("""COMPUTED_VALUE"""),140000)</f>
        <v>140000</v>
      </c>
      <c r="G393" s="13" t="str">
        <f ca="1"/>
        <v>Latte</v>
      </c>
      <c r="H393" s="13" t="str">
        <f ca="1"/>
        <v>Coffee</v>
      </c>
      <c r="I393" s="13">
        <f ca="1">IFERROR(__xludf.DUMMYFUNCTION("""COMPUTED_VALUE"""),28)</f>
        <v>28</v>
      </c>
      <c r="J393" s="13">
        <f ca="1">IFERROR(__xludf.DUMMYFUNCTION("""COMPUTED_VALUE"""),9)</f>
        <v>9</v>
      </c>
      <c r="K393" s="13">
        <f ca="1">IFERROR(__xludf.DUMMYFUNCTION("""COMPUTED_VALUE"""),2025)</f>
        <v>2025</v>
      </c>
      <c r="L393" s="15">
        <f ca="1"/>
        <v>45928</v>
      </c>
    </row>
    <row r="394" spans="1:12">
      <c r="A394" s="12" t="str">
        <f ca="1">IFERROR(__xludf.DUMMYFUNCTION("""COMPUTED_VALUE"""),"01-09-2025")</f>
        <v>01-09-2025</v>
      </c>
      <c r="B394" s="13" t="str">
        <f ca="1">IFERROR(__xludf.DUMMYFUNCTION("""COMPUTED_VALUE"""),"Bandung")</f>
        <v>Bandung</v>
      </c>
      <c r="C394" s="13" t="str">
        <f ca="1">IFERROR(__xludf.DUMMYFUNCTION("""COMPUTED_VALUE"""),"P03")</f>
        <v>P03</v>
      </c>
      <c r="D394" s="13">
        <f ca="1">IFERROR(__xludf.DUMMYFUNCTION("""COMPUTED_VALUE"""),1)</f>
        <v>1</v>
      </c>
      <c r="E394" s="14">
        <f ca="1">IFERROR(__xludf.DUMMYFUNCTION("""COMPUTED_VALUE"""),20000)</f>
        <v>20000</v>
      </c>
      <c r="F394" s="14">
        <f ca="1">IFERROR(__xludf.DUMMYFUNCTION("""COMPUTED_VALUE"""),20000)</f>
        <v>20000</v>
      </c>
      <c r="G394" s="13" t="str">
        <f ca="1"/>
        <v>Espresso</v>
      </c>
      <c r="H394" s="13" t="str">
        <f ca="1"/>
        <v>Coffee</v>
      </c>
      <c r="I394" s="13">
        <f ca="1">IFERROR(__xludf.DUMMYFUNCTION("""COMPUTED_VALUE"""),1)</f>
        <v>1</v>
      </c>
      <c r="J394" s="13">
        <f ca="1">IFERROR(__xludf.DUMMYFUNCTION("""COMPUTED_VALUE"""),9)</f>
        <v>9</v>
      </c>
      <c r="K394" s="13">
        <f ca="1">IFERROR(__xludf.DUMMYFUNCTION("""COMPUTED_VALUE"""),2025)</f>
        <v>2025</v>
      </c>
      <c r="L394" s="15">
        <f ca="1"/>
        <v>45901</v>
      </c>
    </row>
    <row r="395" spans="1:12">
      <c r="A395" s="12" t="str">
        <f ca="1">IFERROR(__xludf.DUMMYFUNCTION("""COMPUTED_VALUE"""),"15-09-2025")</f>
        <v>15-09-2025</v>
      </c>
      <c r="B395" s="13" t="str">
        <f ca="1">IFERROR(__xludf.DUMMYFUNCTION("""COMPUTED_VALUE"""),"Bandung")</f>
        <v>Bandung</v>
      </c>
      <c r="C395" s="13" t="str">
        <f ca="1">IFERROR(__xludf.DUMMYFUNCTION("""COMPUTED_VALUE"""),"P03")</f>
        <v>P03</v>
      </c>
      <c r="D395" s="13">
        <f ca="1">IFERROR(__xludf.DUMMYFUNCTION("""COMPUTED_VALUE"""),5)</f>
        <v>5</v>
      </c>
      <c r="E395" s="14">
        <f ca="1">IFERROR(__xludf.DUMMYFUNCTION("""COMPUTED_VALUE"""),30000)</f>
        <v>30000</v>
      </c>
      <c r="F395" s="14">
        <f ca="1">IFERROR(__xludf.DUMMYFUNCTION("""COMPUTED_VALUE"""),150000)</f>
        <v>150000</v>
      </c>
      <c r="G395" s="13" t="str">
        <f ca="1"/>
        <v>Espresso</v>
      </c>
      <c r="H395" s="13" t="str">
        <f ca="1"/>
        <v>Coffee</v>
      </c>
      <c r="I395" s="13">
        <f ca="1">IFERROR(__xludf.DUMMYFUNCTION("""COMPUTED_VALUE"""),15)</f>
        <v>15</v>
      </c>
      <c r="J395" s="13">
        <f ca="1">IFERROR(__xludf.DUMMYFUNCTION("""COMPUTED_VALUE"""),9)</f>
        <v>9</v>
      </c>
      <c r="K395" s="13">
        <f ca="1">IFERROR(__xludf.DUMMYFUNCTION("""COMPUTED_VALUE"""),2025)</f>
        <v>2025</v>
      </c>
      <c r="L395" s="15">
        <f ca="1"/>
        <v>45915</v>
      </c>
    </row>
    <row r="396" spans="1:12">
      <c r="A396" s="12" t="str">
        <f ca="1">IFERROR(__xludf.DUMMYFUNCTION("""COMPUTED_VALUE"""),"09-09-2025")</f>
        <v>09-09-2025</v>
      </c>
      <c r="B396" s="13" t="str">
        <f ca="1">IFERROR(__xludf.DUMMYFUNCTION("""COMPUTED_VALUE"""),"Bandung")</f>
        <v>Bandung</v>
      </c>
      <c r="C396" s="13" t="str">
        <f ca="1">IFERROR(__xludf.DUMMYFUNCTION("""COMPUTED_VALUE"""),"P01")</f>
        <v>P01</v>
      </c>
      <c r="D396" s="13">
        <f ca="1">IFERROR(__xludf.DUMMYFUNCTION("""COMPUTED_VALUE"""),1)</f>
        <v>1</v>
      </c>
      <c r="E396" s="14">
        <f ca="1">IFERROR(__xludf.DUMMYFUNCTION("""COMPUTED_VALUE"""),35000)</f>
        <v>35000</v>
      </c>
      <c r="F396" s="14">
        <f ca="1">IFERROR(__xludf.DUMMYFUNCTION("""COMPUTED_VALUE"""),35000)</f>
        <v>35000</v>
      </c>
      <c r="G396" s="13" t="str">
        <f ca="1"/>
        <v>Cappuccino</v>
      </c>
      <c r="H396" s="13" t="str">
        <f ca="1"/>
        <v>Coffee</v>
      </c>
      <c r="I396" s="13">
        <f ca="1">IFERROR(__xludf.DUMMYFUNCTION("""COMPUTED_VALUE"""),9)</f>
        <v>9</v>
      </c>
      <c r="J396" s="13">
        <f ca="1">IFERROR(__xludf.DUMMYFUNCTION("""COMPUTED_VALUE"""),9)</f>
        <v>9</v>
      </c>
      <c r="K396" s="13">
        <f ca="1">IFERROR(__xludf.DUMMYFUNCTION("""COMPUTED_VALUE"""),2025)</f>
        <v>2025</v>
      </c>
      <c r="L396" s="15">
        <f ca="1"/>
        <v>45909</v>
      </c>
    </row>
    <row r="397" spans="1:12">
      <c r="A397" s="12" t="str">
        <f ca="1">IFERROR(__xludf.DUMMYFUNCTION("""COMPUTED_VALUE"""),"08-09-2025")</f>
        <v>08-09-2025</v>
      </c>
      <c r="B397" s="13" t="str">
        <f ca="1">IFERROR(__xludf.DUMMYFUNCTION("""COMPUTED_VALUE"""),"Bandung")</f>
        <v>Bandung</v>
      </c>
      <c r="C397" s="13" t="str">
        <f ca="1">IFERROR(__xludf.DUMMYFUNCTION("""COMPUTED_VALUE"""),"P05")</f>
        <v>P05</v>
      </c>
      <c r="D397" s="13">
        <f ca="1">IFERROR(__xludf.DUMMYFUNCTION("""COMPUTED_VALUE"""),3)</f>
        <v>3</v>
      </c>
      <c r="E397" s="14">
        <f ca="1">IFERROR(__xludf.DUMMYFUNCTION("""COMPUTED_VALUE"""),30000)</f>
        <v>30000</v>
      </c>
      <c r="F397" s="14">
        <f ca="1">IFERROR(__xludf.DUMMYFUNCTION("""COMPUTED_VALUE"""),90000)</f>
        <v>90000</v>
      </c>
      <c r="G397" s="13" t="str">
        <f ca="1"/>
        <v>Mocha</v>
      </c>
      <c r="H397" s="13" t="str">
        <f ca="1"/>
        <v>Chocolate</v>
      </c>
      <c r="I397" s="13">
        <f ca="1">IFERROR(__xludf.DUMMYFUNCTION("""COMPUTED_VALUE"""),8)</f>
        <v>8</v>
      </c>
      <c r="J397" s="13">
        <f ca="1">IFERROR(__xludf.DUMMYFUNCTION("""COMPUTED_VALUE"""),9)</f>
        <v>9</v>
      </c>
      <c r="K397" s="13">
        <f ca="1">IFERROR(__xludf.DUMMYFUNCTION("""COMPUTED_VALUE"""),2025)</f>
        <v>2025</v>
      </c>
      <c r="L397" s="15">
        <f ca="1"/>
        <v>45908</v>
      </c>
    </row>
    <row r="398" spans="1:12">
      <c r="A398" s="12" t="str">
        <f ca="1">IFERROR(__xludf.DUMMYFUNCTION("""COMPUTED_VALUE"""),"09-09-2025")</f>
        <v>09-09-2025</v>
      </c>
      <c r="B398" s="13" t="str">
        <f ca="1">IFERROR(__xludf.DUMMYFUNCTION("""COMPUTED_VALUE"""),"Bandung")</f>
        <v>Bandung</v>
      </c>
      <c r="C398" s="13" t="str">
        <f ca="1">IFERROR(__xludf.DUMMYFUNCTION("""COMPUTED_VALUE"""),"P01")</f>
        <v>P01</v>
      </c>
      <c r="D398" s="13">
        <f ca="1">IFERROR(__xludf.DUMMYFUNCTION("""COMPUTED_VALUE"""),1)</f>
        <v>1</v>
      </c>
      <c r="E398" s="14">
        <f ca="1">IFERROR(__xludf.DUMMYFUNCTION("""COMPUTED_VALUE"""),25000)</f>
        <v>25000</v>
      </c>
      <c r="F398" s="14">
        <f ca="1">IFERROR(__xludf.DUMMYFUNCTION("""COMPUTED_VALUE"""),25000)</f>
        <v>25000</v>
      </c>
      <c r="G398" s="13" t="str">
        <f ca="1"/>
        <v>Cappuccino</v>
      </c>
      <c r="H398" s="13" t="str">
        <f ca="1"/>
        <v>Coffee</v>
      </c>
      <c r="I398" s="13">
        <f ca="1">IFERROR(__xludf.DUMMYFUNCTION("""COMPUTED_VALUE"""),9)</f>
        <v>9</v>
      </c>
      <c r="J398" s="13">
        <f ca="1">IFERROR(__xludf.DUMMYFUNCTION("""COMPUTED_VALUE"""),9)</f>
        <v>9</v>
      </c>
      <c r="K398" s="13">
        <f ca="1">IFERROR(__xludf.DUMMYFUNCTION("""COMPUTED_VALUE"""),2025)</f>
        <v>2025</v>
      </c>
      <c r="L398" s="15">
        <f ca="1"/>
        <v>45909</v>
      </c>
    </row>
    <row r="399" spans="1:12">
      <c r="A399" s="12" t="str">
        <f ca="1">IFERROR(__xludf.DUMMYFUNCTION("""COMPUTED_VALUE"""),"12-09-2025")</f>
        <v>12-09-2025</v>
      </c>
      <c r="B399" s="13" t="str">
        <f ca="1">IFERROR(__xludf.DUMMYFUNCTION("""COMPUTED_VALUE"""),"Bandung")</f>
        <v>Bandung</v>
      </c>
      <c r="C399" s="13" t="str">
        <f ca="1">IFERROR(__xludf.DUMMYFUNCTION("""COMPUTED_VALUE"""),"P02")</f>
        <v>P02</v>
      </c>
      <c r="D399" s="13">
        <f ca="1">IFERROR(__xludf.DUMMYFUNCTION("""COMPUTED_VALUE"""),1)</f>
        <v>1</v>
      </c>
      <c r="E399" s="14">
        <f ca="1">IFERROR(__xludf.DUMMYFUNCTION("""COMPUTED_VALUE"""),35000)</f>
        <v>35000</v>
      </c>
      <c r="F399" s="14">
        <f ca="1">IFERROR(__xludf.DUMMYFUNCTION("""COMPUTED_VALUE"""),35000)</f>
        <v>35000</v>
      </c>
      <c r="G399" s="13" t="str">
        <f ca="1"/>
        <v>Latte</v>
      </c>
      <c r="H399" s="13" t="str">
        <f ca="1"/>
        <v>Coffee</v>
      </c>
      <c r="I399" s="13">
        <f ca="1">IFERROR(__xludf.DUMMYFUNCTION("""COMPUTED_VALUE"""),12)</f>
        <v>12</v>
      </c>
      <c r="J399" s="13">
        <f ca="1">IFERROR(__xludf.DUMMYFUNCTION("""COMPUTED_VALUE"""),9)</f>
        <v>9</v>
      </c>
      <c r="K399" s="13">
        <f ca="1">IFERROR(__xludf.DUMMYFUNCTION("""COMPUTED_VALUE"""),2025)</f>
        <v>2025</v>
      </c>
      <c r="L399" s="15">
        <f ca="1"/>
        <v>45912</v>
      </c>
    </row>
    <row r="400" spans="1:12">
      <c r="A400" s="12" t="str">
        <f ca="1">IFERROR(__xludf.DUMMYFUNCTION("""COMPUTED_VALUE"""),"10-09-2025")</f>
        <v>10-09-2025</v>
      </c>
      <c r="B400" s="13" t="str">
        <f ca="1">IFERROR(__xludf.DUMMYFUNCTION("""COMPUTED_VALUE"""),"Bandung")</f>
        <v>Bandung</v>
      </c>
      <c r="C400" s="13" t="str">
        <f ca="1">IFERROR(__xludf.DUMMYFUNCTION("""COMPUTED_VALUE"""),"P03")</f>
        <v>P03</v>
      </c>
      <c r="D400" s="13">
        <f ca="1">IFERROR(__xludf.DUMMYFUNCTION("""COMPUTED_VALUE"""),2)</f>
        <v>2</v>
      </c>
      <c r="E400" s="14">
        <f ca="1">IFERROR(__xludf.DUMMYFUNCTION("""COMPUTED_VALUE"""),20000)</f>
        <v>20000</v>
      </c>
      <c r="F400" s="14">
        <f ca="1">IFERROR(__xludf.DUMMYFUNCTION("""COMPUTED_VALUE"""),40000)</f>
        <v>40000</v>
      </c>
      <c r="G400" s="13" t="str">
        <f ca="1"/>
        <v>Espresso</v>
      </c>
      <c r="H400" s="13" t="str">
        <f ca="1"/>
        <v>Coffee</v>
      </c>
      <c r="I400" s="13">
        <f ca="1">IFERROR(__xludf.DUMMYFUNCTION("""COMPUTED_VALUE"""),10)</f>
        <v>10</v>
      </c>
      <c r="J400" s="13">
        <f ca="1">IFERROR(__xludf.DUMMYFUNCTION("""COMPUTED_VALUE"""),9)</f>
        <v>9</v>
      </c>
      <c r="K400" s="13">
        <f ca="1">IFERROR(__xludf.DUMMYFUNCTION("""COMPUTED_VALUE"""),2025)</f>
        <v>2025</v>
      </c>
      <c r="L400" s="15">
        <f ca="1"/>
        <v>45910</v>
      </c>
    </row>
    <row r="401" spans="1:12">
      <c r="A401" s="12" t="str">
        <f ca="1">IFERROR(__xludf.DUMMYFUNCTION("""COMPUTED_VALUE"""),"26-09-2025")</f>
        <v>26-09-2025</v>
      </c>
      <c r="B401" s="13" t="str">
        <f ca="1">IFERROR(__xludf.DUMMYFUNCTION("""COMPUTED_VALUE"""),"Bandung")</f>
        <v>Bandung</v>
      </c>
      <c r="C401" s="13" t="str">
        <f ca="1">IFERROR(__xludf.DUMMYFUNCTION("""COMPUTED_VALUE"""),"P04")</f>
        <v>P04</v>
      </c>
      <c r="D401" s="13">
        <f ca="1">IFERROR(__xludf.DUMMYFUNCTION("""COMPUTED_VALUE"""),5)</f>
        <v>5</v>
      </c>
      <c r="E401" s="14">
        <f ca="1">IFERROR(__xludf.DUMMYFUNCTION("""COMPUTED_VALUE"""),35000)</f>
        <v>35000</v>
      </c>
      <c r="F401" s="14">
        <f ca="1">IFERROR(__xludf.DUMMYFUNCTION("""COMPUTED_VALUE"""),175000)</f>
        <v>175000</v>
      </c>
      <c r="G401" s="13" t="str">
        <f ca="1"/>
        <v>Americano</v>
      </c>
      <c r="H401" s="13" t="str">
        <f ca="1"/>
        <v>Coffee</v>
      </c>
      <c r="I401" s="13">
        <f ca="1">IFERROR(__xludf.DUMMYFUNCTION("""COMPUTED_VALUE"""),26)</f>
        <v>26</v>
      </c>
      <c r="J401" s="13">
        <f ca="1">IFERROR(__xludf.DUMMYFUNCTION("""COMPUTED_VALUE"""),9)</f>
        <v>9</v>
      </c>
      <c r="K401" s="13">
        <f ca="1">IFERROR(__xludf.DUMMYFUNCTION("""COMPUTED_VALUE"""),2025)</f>
        <v>2025</v>
      </c>
      <c r="L401" s="15">
        <f ca="1"/>
        <v>45926</v>
      </c>
    </row>
    <row r="402" spans="1:12">
      <c r="A402" s="12" t="str">
        <f ca="1">IFERROR(__xludf.DUMMYFUNCTION("""COMPUTED_VALUE"""),"04-09-2025")</f>
        <v>04-09-2025</v>
      </c>
      <c r="B402" s="13" t="str">
        <f ca="1">IFERROR(__xludf.DUMMYFUNCTION("""COMPUTED_VALUE"""),"Bandung")</f>
        <v>Bandung</v>
      </c>
      <c r="C402" s="13" t="str">
        <f ca="1">IFERROR(__xludf.DUMMYFUNCTION("""COMPUTED_VALUE"""),"P05")</f>
        <v>P05</v>
      </c>
      <c r="D402" s="13">
        <f ca="1">IFERROR(__xludf.DUMMYFUNCTION("""COMPUTED_VALUE"""),1)</f>
        <v>1</v>
      </c>
      <c r="E402" s="14">
        <f ca="1">IFERROR(__xludf.DUMMYFUNCTION("""COMPUTED_VALUE"""),28000)</f>
        <v>28000</v>
      </c>
      <c r="F402" s="14">
        <f ca="1">IFERROR(__xludf.DUMMYFUNCTION("""COMPUTED_VALUE"""),28000)</f>
        <v>28000</v>
      </c>
      <c r="G402" s="13" t="str">
        <f ca="1"/>
        <v>Mocha</v>
      </c>
      <c r="H402" s="13" t="str">
        <f ca="1"/>
        <v>Chocolate</v>
      </c>
      <c r="I402" s="13">
        <f ca="1">IFERROR(__xludf.DUMMYFUNCTION("""COMPUTED_VALUE"""),4)</f>
        <v>4</v>
      </c>
      <c r="J402" s="13">
        <f ca="1">IFERROR(__xludf.DUMMYFUNCTION("""COMPUTED_VALUE"""),9)</f>
        <v>9</v>
      </c>
      <c r="K402" s="13">
        <f ca="1">IFERROR(__xludf.DUMMYFUNCTION("""COMPUTED_VALUE"""),2025)</f>
        <v>2025</v>
      </c>
      <c r="L402" s="15">
        <f ca="1"/>
        <v>45904</v>
      </c>
    </row>
    <row r="403" spans="1:12">
      <c r="A403" s="12" t="str">
        <f ca="1">IFERROR(__xludf.DUMMYFUNCTION("""COMPUTED_VALUE"""),"10-09-2025")</f>
        <v>10-09-2025</v>
      </c>
      <c r="B403" s="13" t="str">
        <f ca="1">IFERROR(__xludf.DUMMYFUNCTION("""COMPUTED_VALUE"""),"Bandung")</f>
        <v>Bandung</v>
      </c>
      <c r="C403" s="13" t="str">
        <f ca="1">IFERROR(__xludf.DUMMYFUNCTION("""COMPUTED_VALUE"""),"P01")</f>
        <v>P01</v>
      </c>
      <c r="D403" s="13">
        <f ca="1">IFERROR(__xludf.DUMMYFUNCTION("""COMPUTED_VALUE"""),1)</f>
        <v>1</v>
      </c>
      <c r="E403" s="14">
        <f ca="1">IFERROR(__xludf.DUMMYFUNCTION("""COMPUTED_VALUE"""),30000)</f>
        <v>30000</v>
      </c>
      <c r="F403" s="14">
        <f ca="1">IFERROR(__xludf.DUMMYFUNCTION("""COMPUTED_VALUE"""),30000)</f>
        <v>30000</v>
      </c>
      <c r="G403" s="13" t="str">
        <f ca="1"/>
        <v>Cappuccino</v>
      </c>
      <c r="H403" s="13" t="str">
        <f ca="1"/>
        <v>Coffee</v>
      </c>
      <c r="I403" s="13">
        <f ca="1">IFERROR(__xludf.DUMMYFUNCTION("""COMPUTED_VALUE"""),10)</f>
        <v>10</v>
      </c>
      <c r="J403" s="13">
        <f ca="1">IFERROR(__xludf.DUMMYFUNCTION("""COMPUTED_VALUE"""),9)</f>
        <v>9</v>
      </c>
      <c r="K403" s="13">
        <f ca="1">IFERROR(__xludf.DUMMYFUNCTION("""COMPUTED_VALUE"""),2025)</f>
        <v>2025</v>
      </c>
      <c r="L403" s="15">
        <f ca="1"/>
        <v>45910</v>
      </c>
    </row>
    <row r="404" spans="1:12">
      <c r="A404" s="12" t="str">
        <f ca="1">IFERROR(__xludf.DUMMYFUNCTION("""COMPUTED_VALUE"""),"27-09-2025")</f>
        <v>27-09-2025</v>
      </c>
      <c r="B404" s="13" t="str">
        <f ca="1">IFERROR(__xludf.DUMMYFUNCTION("""COMPUTED_VALUE"""),"Bandung")</f>
        <v>Bandung</v>
      </c>
      <c r="C404" s="13" t="str">
        <f ca="1">IFERROR(__xludf.DUMMYFUNCTION("""COMPUTED_VALUE"""),"P02")</f>
        <v>P02</v>
      </c>
      <c r="D404" s="13">
        <f ca="1">IFERROR(__xludf.DUMMYFUNCTION("""COMPUTED_VALUE"""),4)</f>
        <v>4</v>
      </c>
      <c r="E404" s="14">
        <f ca="1">IFERROR(__xludf.DUMMYFUNCTION("""COMPUTED_VALUE"""),35000)</f>
        <v>35000</v>
      </c>
      <c r="F404" s="14">
        <f ca="1">IFERROR(__xludf.DUMMYFUNCTION("""COMPUTED_VALUE"""),140000)</f>
        <v>140000</v>
      </c>
      <c r="G404" s="13" t="str">
        <f ca="1"/>
        <v>Latte</v>
      </c>
      <c r="H404" s="13" t="str">
        <f ca="1"/>
        <v>Coffee</v>
      </c>
      <c r="I404" s="13">
        <f ca="1">IFERROR(__xludf.DUMMYFUNCTION("""COMPUTED_VALUE"""),27)</f>
        <v>27</v>
      </c>
      <c r="J404" s="13">
        <f ca="1">IFERROR(__xludf.DUMMYFUNCTION("""COMPUTED_VALUE"""),9)</f>
        <v>9</v>
      </c>
      <c r="K404" s="13">
        <f ca="1">IFERROR(__xludf.DUMMYFUNCTION("""COMPUTED_VALUE"""),2025)</f>
        <v>2025</v>
      </c>
      <c r="L404" s="15">
        <f ca="1"/>
        <v>45927</v>
      </c>
    </row>
    <row r="405" spans="1:12">
      <c r="A405" s="12" t="str">
        <f ca="1">IFERROR(__xludf.DUMMYFUNCTION("""COMPUTED_VALUE"""),"27-09-2025")</f>
        <v>27-09-2025</v>
      </c>
      <c r="B405" s="13" t="str">
        <f ca="1">IFERROR(__xludf.DUMMYFUNCTION("""COMPUTED_VALUE"""),"Bandung")</f>
        <v>Bandung</v>
      </c>
      <c r="C405" s="13" t="str">
        <f ca="1">IFERROR(__xludf.DUMMYFUNCTION("""COMPUTED_VALUE"""),"P03")</f>
        <v>P03</v>
      </c>
      <c r="D405" s="13">
        <f ca="1">IFERROR(__xludf.DUMMYFUNCTION("""COMPUTED_VALUE"""),3)</f>
        <v>3</v>
      </c>
      <c r="E405" s="14">
        <f ca="1">IFERROR(__xludf.DUMMYFUNCTION("""COMPUTED_VALUE"""),20000)</f>
        <v>20000</v>
      </c>
      <c r="F405" s="14">
        <f ca="1">IFERROR(__xludf.DUMMYFUNCTION("""COMPUTED_VALUE"""),60000)</f>
        <v>60000</v>
      </c>
      <c r="G405" s="13" t="str">
        <f ca="1"/>
        <v>Espresso</v>
      </c>
      <c r="H405" s="13" t="str">
        <f ca="1"/>
        <v>Coffee</v>
      </c>
      <c r="I405" s="13">
        <f ca="1">IFERROR(__xludf.DUMMYFUNCTION("""COMPUTED_VALUE"""),27)</f>
        <v>27</v>
      </c>
      <c r="J405" s="13">
        <f ca="1">IFERROR(__xludf.DUMMYFUNCTION("""COMPUTED_VALUE"""),9)</f>
        <v>9</v>
      </c>
      <c r="K405" s="13">
        <f ca="1">IFERROR(__xludf.DUMMYFUNCTION("""COMPUTED_VALUE"""),2025)</f>
        <v>2025</v>
      </c>
      <c r="L405" s="15">
        <f ca="1"/>
        <v>45927</v>
      </c>
    </row>
    <row r="406" spans="1:12">
      <c r="A406" s="12" t="str">
        <f ca="1">IFERROR(__xludf.DUMMYFUNCTION("""COMPUTED_VALUE"""),"09-09-2025")</f>
        <v>09-09-2025</v>
      </c>
      <c r="B406" s="13" t="str">
        <f ca="1">IFERROR(__xludf.DUMMYFUNCTION("""COMPUTED_VALUE"""),"Bandung")</f>
        <v>Bandung</v>
      </c>
      <c r="C406" s="13" t="str">
        <f ca="1">IFERROR(__xludf.DUMMYFUNCTION("""COMPUTED_VALUE"""),"P01")</f>
        <v>P01</v>
      </c>
      <c r="D406" s="13">
        <f ca="1">IFERROR(__xludf.DUMMYFUNCTION("""COMPUTED_VALUE"""),3)</f>
        <v>3</v>
      </c>
      <c r="E406" s="14">
        <f ca="1">IFERROR(__xludf.DUMMYFUNCTION("""COMPUTED_VALUE"""),20000)</f>
        <v>20000</v>
      </c>
      <c r="F406" s="14">
        <f ca="1">IFERROR(__xludf.DUMMYFUNCTION("""COMPUTED_VALUE"""),60000)</f>
        <v>60000</v>
      </c>
      <c r="G406" s="13" t="str">
        <f ca="1"/>
        <v>Cappuccino</v>
      </c>
      <c r="H406" s="13" t="str">
        <f ca="1"/>
        <v>Coffee</v>
      </c>
      <c r="I406" s="13">
        <f ca="1">IFERROR(__xludf.DUMMYFUNCTION("""COMPUTED_VALUE"""),9)</f>
        <v>9</v>
      </c>
      <c r="J406" s="13">
        <f ca="1">IFERROR(__xludf.DUMMYFUNCTION("""COMPUTED_VALUE"""),9)</f>
        <v>9</v>
      </c>
      <c r="K406" s="13">
        <f ca="1">IFERROR(__xludf.DUMMYFUNCTION("""COMPUTED_VALUE"""),2025)</f>
        <v>2025</v>
      </c>
      <c r="L406" s="15">
        <f ca="1"/>
        <v>45909</v>
      </c>
    </row>
    <row r="407" spans="1:12">
      <c r="A407" s="12" t="str">
        <f ca="1">IFERROR(__xludf.DUMMYFUNCTION("""COMPUTED_VALUE"""),"10-09-2025")</f>
        <v>10-09-2025</v>
      </c>
      <c r="B407" s="13" t="str">
        <f ca="1">IFERROR(__xludf.DUMMYFUNCTION("""COMPUTED_VALUE"""),"Bandung")</f>
        <v>Bandung</v>
      </c>
      <c r="C407" s="13" t="str">
        <f ca="1">IFERROR(__xludf.DUMMYFUNCTION("""COMPUTED_VALUE"""),"P02")</f>
        <v>P02</v>
      </c>
      <c r="D407" s="13">
        <f ca="1">IFERROR(__xludf.DUMMYFUNCTION("""COMPUTED_VALUE"""),2)</f>
        <v>2</v>
      </c>
      <c r="E407" s="14">
        <f ca="1">IFERROR(__xludf.DUMMYFUNCTION("""COMPUTED_VALUE"""),30000)</f>
        <v>30000</v>
      </c>
      <c r="F407" s="14">
        <f ca="1">IFERROR(__xludf.DUMMYFUNCTION("""COMPUTED_VALUE"""),60000)</f>
        <v>60000</v>
      </c>
      <c r="G407" s="13" t="str">
        <f ca="1"/>
        <v>Latte</v>
      </c>
      <c r="H407" s="13" t="str">
        <f ca="1"/>
        <v>Coffee</v>
      </c>
      <c r="I407" s="13">
        <f ca="1">IFERROR(__xludf.DUMMYFUNCTION("""COMPUTED_VALUE"""),10)</f>
        <v>10</v>
      </c>
      <c r="J407" s="13">
        <f ca="1">IFERROR(__xludf.DUMMYFUNCTION("""COMPUTED_VALUE"""),9)</f>
        <v>9</v>
      </c>
      <c r="K407" s="13">
        <f ca="1">IFERROR(__xludf.DUMMYFUNCTION("""COMPUTED_VALUE"""),2025)</f>
        <v>2025</v>
      </c>
      <c r="L407" s="15">
        <f ca="1"/>
        <v>45910</v>
      </c>
    </row>
    <row r="408" spans="1:12">
      <c r="A408" s="12" t="str">
        <f ca="1">IFERROR(__xludf.DUMMYFUNCTION("""COMPUTED_VALUE"""),"12-09-2025")</f>
        <v>12-09-2025</v>
      </c>
      <c r="B408" s="13" t="str">
        <f ca="1">IFERROR(__xludf.DUMMYFUNCTION("""COMPUTED_VALUE"""),"Bandung")</f>
        <v>Bandung</v>
      </c>
      <c r="C408" s="13" t="str">
        <f ca="1">IFERROR(__xludf.DUMMYFUNCTION("""COMPUTED_VALUE"""),"P03")</f>
        <v>P03</v>
      </c>
      <c r="D408" s="13">
        <f ca="1">IFERROR(__xludf.DUMMYFUNCTION("""COMPUTED_VALUE"""),5)</f>
        <v>5</v>
      </c>
      <c r="E408" s="14">
        <f ca="1">IFERROR(__xludf.DUMMYFUNCTION("""COMPUTED_VALUE"""),20000)</f>
        <v>20000</v>
      </c>
      <c r="F408" s="14">
        <f ca="1">IFERROR(__xludf.DUMMYFUNCTION("""COMPUTED_VALUE"""),100000)</f>
        <v>100000</v>
      </c>
      <c r="G408" s="13" t="str">
        <f ca="1"/>
        <v>Espresso</v>
      </c>
      <c r="H408" s="13" t="str">
        <f ca="1"/>
        <v>Coffee</v>
      </c>
      <c r="I408" s="13">
        <f ca="1">IFERROR(__xludf.DUMMYFUNCTION("""COMPUTED_VALUE"""),12)</f>
        <v>12</v>
      </c>
      <c r="J408" s="13">
        <f ca="1">IFERROR(__xludf.DUMMYFUNCTION("""COMPUTED_VALUE"""),9)</f>
        <v>9</v>
      </c>
      <c r="K408" s="13">
        <f ca="1">IFERROR(__xludf.DUMMYFUNCTION("""COMPUTED_VALUE"""),2025)</f>
        <v>2025</v>
      </c>
      <c r="L408" s="15">
        <f ca="1"/>
        <v>45912</v>
      </c>
    </row>
    <row r="409" spans="1:12">
      <c r="A409" s="12" t="str">
        <f ca="1">IFERROR(__xludf.DUMMYFUNCTION("""COMPUTED_VALUE"""),"30-09-2025")</f>
        <v>30-09-2025</v>
      </c>
      <c r="B409" s="13" t="str">
        <f ca="1">IFERROR(__xludf.DUMMYFUNCTION("""COMPUTED_VALUE"""),"Bandung")</f>
        <v>Bandung</v>
      </c>
      <c r="C409" s="13" t="str">
        <f ca="1">IFERROR(__xludf.DUMMYFUNCTION("""COMPUTED_VALUE"""),"P04")</f>
        <v>P04</v>
      </c>
      <c r="D409" s="13">
        <f ca="1">IFERROR(__xludf.DUMMYFUNCTION("""COMPUTED_VALUE"""),5)</f>
        <v>5</v>
      </c>
      <c r="E409" s="14">
        <f ca="1">IFERROR(__xludf.DUMMYFUNCTION("""COMPUTED_VALUE"""),30000)</f>
        <v>30000</v>
      </c>
      <c r="F409" s="14">
        <f ca="1">IFERROR(__xludf.DUMMYFUNCTION("""COMPUTED_VALUE"""),150000)</f>
        <v>150000</v>
      </c>
      <c r="G409" s="13" t="str">
        <f ca="1"/>
        <v>Americano</v>
      </c>
      <c r="H409" s="13" t="str">
        <f ca="1"/>
        <v>Coffee</v>
      </c>
      <c r="I409" s="13">
        <f ca="1">IFERROR(__xludf.DUMMYFUNCTION("""COMPUTED_VALUE"""),30)</f>
        <v>30</v>
      </c>
      <c r="J409" s="13">
        <f ca="1">IFERROR(__xludf.DUMMYFUNCTION("""COMPUTED_VALUE"""),9)</f>
        <v>9</v>
      </c>
      <c r="K409" s="13">
        <f ca="1">IFERROR(__xludf.DUMMYFUNCTION("""COMPUTED_VALUE"""),2025)</f>
        <v>2025</v>
      </c>
      <c r="L409" s="15">
        <f ca="1"/>
        <v>45930</v>
      </c>
    </row>
    <row r="410" spans="1:12">
      <c r="A410" s="12" t="str">
        <f ca="1">IFERROR(__xludf.DUMMYFUNCTION("""COMPUTED_VALUE"""),"14-09-2025")</f>
        <v>14-09-2025</v>
      </c>
      <c r="B410" s="13" t="str">
        <f ca="1">IFERROR(__xludf.DUMMYFUNCTION("""COMPUTED_VALUE"""),"Bandung")</f>
        <v>Bandung</v>
      </c>
      <c r="C410" s="13" t="str">
        <f ca="1">IFERROR(__xludf.DUMMYFUNCTION("""COMPUTED_VALUE"""),"P05")</f>
        <v>P05</v>
      </c>
      <c r="D410" s="13">
        <f ca="1">IFERROR(__xludf.DUMMYFUNCTION("""COMPUTED_VALUE"""),1)</f>
        <v>1</v>
      </c>
      <c r="E410" s="14">
        <f ca="1">IFERROR(__xludf.DUMMYFUNCTION("""COMPUTED_VALUE"""),30000)</f>
        <v>30000</v>
      </c>
      <c r="F410" s="14">
        <f ca="1">IFERROR(__xludf.DUMMYFUNCTION("""COMPUTED_VALUE"""),30000)</f>
        <v>30000</v>
      </c>
      <c r="G410" s="13" t="str">
        <f ca="1"/>
        <v>Mocha</v>
      </c>
      <c r="H410" s="13" t="str">
        <f ca="1"/>
        <v>Chocolate</v>
      </c>
      <c r="I410" s="13">
        <f ca="1">IFERROR(__xludf.DUMMYFUNCTION("""COMPUTED_VALUE"""),14)</f>
        <v>14</v>
      </c>
      <c r="J410" s="13">
        <f ca="1">IFERROR(__xludf.DUMMYFUNCTION("""COMPUTED_VALUE"""),9)</f>
        <v>9</v>
      </c>
      <c r="K410" s="13">
        <f ca="1">IFERROR(__xludf.DUMMYFUNCTION("""COMPUTED_VALUE"""),2025)</f>
        <v>2025</v>
      </c>
      <c r="L410" s="15">
        <f ca="1"/>
        <v>45914</v>
      </c>
    </row>
    <row r="411" spans="1:12">
      <c r="A411" s="12" t="str">
        <f ca="1">IFERROR(__xludf.DUMMYFUNCTION("""COMPUTED_VALUE"""),"21-09-2025")</f>
        <v>21-09-2025</v>
      </c>
      <c r="B411" s="13" t="str">
        <f ca="1">IFERROR(__xludf.DUMMYFUNCTION("""COMPUTED_VALUE"""),"Bandung")</f>
        <v>Bandung</v>
      </c>
      <c r="C411" s="13" t="str">
        <f ca="1">IFERROR(__xludf.DUMMYFUNCTION("""COMPUTED_VALUE"""),"P01")</f>
        <v>P01</v>
      </c>
      <c r="D411" s="13">
        <f ca="1">IFERROR(__xludf.DUMMYFUNCTION("""COMPUTED_VALUE"""),1)</f>
        <v>1</v>
      </c>
      <c r="E411" s="14">
        <f ca="1">IFERROR(__xludf.DUMMYFUNCTION("""COMPUTED_VALUE"""),28000)</f>
        <v>28000</v>
      </c>
      <c r="F411" s="14">
        <f ca="1">IFERROR(__xludf.DUMMYFUNCTION("""COMPUTED_VALUE"""),28000)</f>
        <v>28000</v>
      </c>
      <c r="G411" s="13" t="str">
        <f ca="1"/>
        <v>Cappuccino</v>
      </c>
      <c r="H411" s="13" t="str">
        <f ca="1"/>
        <v>Coffee</v>
      </c>
      <c r="I411" s="13">
        <f ca="1">IFERROR(__xludf.DUMMYFUNCTION("""COMPUTED_VALUE"""),21)</f>
        <v>21</v>
      </c>
      <c r="J411" s="13">
        <f ca="1">IFERROR(__xludf.DUMMYFUNCTION("""COMPUTED_VALUE"""),9)</f>
        <v>9</v>
      </c>
      <c r="K411" s="13">
        <f ca="1">IFERROR(__xludf.DUMMYFUNCTION("""COMPUTED_VALUE"""),2025)</f>
        <v>2025</v>
      </c>
      <c r="L411" s="15">
        <f ca="1"/>
        <v>45921</v>
      </c>
    </row>
    <row r="412" spans="1:12">
      <c r="A412" s="12" t="str">
        <f ca="1">IFERROR(__xludf.DUMMYFUNCTION("""COMPUTED_VALUE"""),"17-09-2025")</f>
        <v>17-09-2025</v>
      </c>
      <c r="B412" s="13" t="str">
        <f ca="1">IFERROR(__xludf.DUMMYFUNCTION("""COMPUTED_VALUE"""),"Bandung")</f>
        <v>Bandung</v>
      </c>
      <c r="C412" s="13" t="str">
        <f ca="1">IFERROR(__xludf.DUMMYFUNCTION("""COMPUTED_VALUE"""),"P02")</f>
        <v>P02</v>
      </c>
      <c r="D412" s="13">
        <f ca="1">IFERROR(__xludf.DUMMYFUNCTION("""COMPUTED_VALUE"""),2)</f>
        <v>2</v>
      </c>
      <c r="E412" s="14">
        <f ca="1">IFERROR(__xludf.DUMMYFUNCTION("""COMPUTED_VALUE"""),28000)</f>
        <v>28000</v>
      </c>
      <c r="F412" s="14">
        <f ca="1">IFERROR(__xludf.DUMMYFUNCTION("""COMPUTED_VALUE"""),56000)</f>
        <v>56000</v>
      </c>
      <c r="G412" s="13" t="str">
        <f ca="1"/>
        <v>Latte</v>
      </c>
      <c r="H412" s="13" t="str">
        <f ca="1"/>
        <v>Coffee</v>
      </c>
      <c r="I412" s="13">
        <f ca="1">IFERROR(__xludf.DUMMYFUNCTION("""COMPUTED_VALUE"""),17)</f>
        <v>17</v>
      </c>
      <c r="J412" s="13">
        <f ca="1">IFERROR(__xludf.DUMMYFUNCTION("""COMPUTED_VALUE"""),9)</f>
        <v>9</v>
      </c>
      <c r="K412" s="13">
        <f ca="1">IFERROR(__xludf.DUMMYFUNCTION("""COMPUTED_VALUE"""),2025)</f>
        <v>2025</v>
      </c>
      <c r="L412" s="15">
        <f ca="1"/>
        <v>45917</v>
      </c>
    </row>
    <row r="413" spans="1:12">
      <c r="A413" s="12" t="str">
        <f ca="1">IFERROR(__xludf.DUMMYFUNCTION("""COMPUTED_VALUE"""),"11-09-2025")</f>
        <v>11-09-2025</v>
      </c>
      <c r="B413" s="13" t="str">
        <f ca="1">IFERROR(__xludf.DUMMYFUNCTION("""COMPUTED_VALUE"""),"Bandung")</f>
        <v>Bandung</v>
      </c>
      <c r="C413" s="13" t="str">
        <f ca="1">IFERROR(__xludf.DUMMYFUNCTION("""COMPUTED_VALUE"""),"P03")</f>
        <v>P03</v>
      </c>
      <c r="D413" s="13">
        <f ca="1">IFERROR(__xludf.DUMMYFUNCTION("""COMPUTED_VALUE"""),4)</f>
        <v>4</v>
      </c>
      <c r="E413" s="14">
        <f ca="1">IFERROR(__xludf.DUMMYFUNCTION("""COMPUTED_VALUE"""),35000)</f>
        <v>35000</v>
      </c>
      <c r="F413" s="14">
        <f ca="1">IFERROR(__xludf.DUMMYFUNCTION("""COMPUTED_VALUE"""),140000)</f>
        <v>140000</v>
      </c>
      <c r="G413" s="13" t="str">
        <f ca="1"/>
        <v>Espresso</v>
      </c>
      <c r="H413" s="13" t="str">
        <f ca="1"/>
        <v>Coffee</v>
      </c>
      <c r="I413" s="13">
        <f ca="1">IFERROR(__xludf.DUMMYFUNCTION("""COMPUTED_VALUE"""),11)</f>
        <v>11</v>
      </c>
      <c r="J413" s="13">
        <f ca="1">IFERROR(__xludf.DUMMYFUNCTION("""COMPUTED_VALUE"""),9)</f>
        <v>9</v>
      </c>
      <c r="K413" s="13">
        <f ca="1">IFERROR(__xludf.DUMMYFUNCTION("""COMPUTED_VALUE"""),2025)</f>
        <v>2025</v>
      </c>
      <c r="L413" s="15">
        <f ca="1"/>
        <v>45911</v>
      </c>
    </row>
    <row r="414" spans="1:12">
      <c r="A414" s="12" t="str">
        <f ca="1">IFERROR(__xludf.DUMMYFUNCTION("""COMPUTED_VALUE"""),"09-09-2025")</f>
        <v>09-09-2025</v>
      </c>
      <c r="B414" s="13" t="str">
        <f ca="1">IFERROR(__xludf.DUMMYFUNCTION("""COMPUTED_VALUE"""),"Bandung")</f>
        <v>Bandung</v>
      </c>
      <c r="C414" s="13" t="str">
        <f ca="1">IFERROR(__xludf.DUMMYFUNCTION("""COMPUTED_VALUE"""),"P04")</f>
        <v>P04</v>
      </c>
      <c r="D414" s="13">
        <f ca="1">IFERROR(__xludf.DUMMYFUNCTION("""COMPUTED_VALUE"""),1)</f>
        <v>1</v>
      </c>
      <c r="E414" s="14">
        <f ca="1">IFERROR(__xludf.DUMMYFUNCTION("""COMPUTED_VALUE"""),28000)</f>
        <v>28000</v>
      </c>
      <c r="F414" s="14">
        <f ca="1">IFERROR(__xludf.DUMMYFUNCTION("""COMPUTED_VALUE"""),28000)</f>
        <v>28000</v>
      </c>
      <c r="G414" s="13" t="str">
        <f ca="1"/>
        <v>Americano</v>
      </c>
      <c r="H414" s="13" t="str">
        <f ca="1"/>
        <v>Coffee</v>
      </c>
      <c r="I414" s="13">
        <f ca="1">IFERROR(__xludf.DUMMYFUNCTION("""COMPUTED_VALUE"""),9)</f>
        <v>9</v>
      </c>
      <c r="J414" s="13">
        <f ca="1">IFERROR(__xludf.DUMMYFUNCTION("""COMPUTED_VALUE"""),9)</f>
        <v>9</v>
      </c>
      <c r="K414" s="13">
        <f ca="1">IFERROR(__xludf.DUMMYFUNCTION("""COMPUTED_VALUE"""),2025)</f>
        <v>2025</v>
      </c>
      <c r="L414" s="15">
        <f ca="1"/>
        <v>45909</v>
      </c>
    </row>
    <row r="415" spans="1:12">
      <c r="A415" s="12" t="str">
        <f ca="1">IFERROR(__xludf.DUMMYFUNCTION("""COMPUTED_VALUE"""),"23-09-2025")</f>
        <v>23-09-2025</v>
      </c>
      <c r="B415" s="13" t="str">
        <f ca="1">IFERROR(__xludf.DUMMYFUNCTION("""COMPUTED_VALUE"""),"Bandung")</f>
        <v>Bandung</v>
      </c>
      <c r="C415" s="13" t="str">
        <f ca="1">IFERROR(__xludf.DUMMYFUNCTION("""COMPUTED_VALUE"""),"P05")</f>
        <v>P05</v>
      </c>
      <c r="D415" s="13">
        <f ca="1">IFERROR(__xludf.DUMMYFUNCTION("""COMPUTED_VALUE"""),4)</f>
        <v>4</v>
      </c>
      <c r="E415" s="14">
        <f ca="1">IFERROR(__xludf.DUMMYFUNCTION("""COMPUTED_VALUE"""),20000)</f>
        <v>20000</v>
      </c>
      <c r="F415" s="14">
        <f ca="1">IFERROR(__xludf.DUMMYFUNCTION("""COMPUTED_VALUE"""),80000)</f>
        <v>80000</v>
      </c>
      <c r="G415" s="13" t="str">
        <f ca="1"/>
        <v>Mocha</v>
      </c>
      <c r="H415" s="13" t="str">
        <f ca="1"/>
        <v>Chocolate</v>
      </c>
      <c r="I415" s="13">
        <f ca="1">IFERROR(__xludf.DUMMYFUNCTION("""COMPUTED_VALUE"""),23)</f>
        <v>23</v>
      </c>
      <c r="J415" s="13">
        <f ca="1">IFERROR(__xludf.DUMMYFUNCTION("""COMPUTED_VALUE"""),9)</f>
        <v>9</v>
      </c>
      <c r="K415" s="13">
        <f ca="1">IFERROR(__xludf.DUMMYFUNCTION("""COMPUTED_VALUE"""),2025)</f>
        <v>2025</v>
      </c>
      <c r="L415" s="15">
        <f ca="1"/>
        <v>45923</v>
      </c>
    </row>
    <row r="416" spans="1:12">
      <c r="A416" s="12" t="str">
        <f ca="1">IFERROR(__xludf.DUMMYFUNCTION("""COMPUTED_VALUE"""),"17-09-2025")</f>
        <v>17-09-2025</v>
      </c>
      <c r="B416" s="13" t="str">
        <f ca="1">IFERROR(__xludf.DUMMYFUNCTION("""COMPUTED_VALUE"""),"Bandung")</f>
        <v>Bandung</v>
      </c>
      <c r="C416" s="13" t="str">
        <f ca="1">IFERROR(__xludf.DUMMYFUNCTION("""COMPUTED_VALUE"""),"P01")</f>
        <v>P01</v>
      </c>
      <c r="D416" s="13">
        <f ca="1">IFERROR(__xludf.DUMMYFUNCTION("""COMPUTED_VALUE"""),3)</f>
        <v>3</v>
      </c>
      <c r="E416" s="14">
        <f ca="1">IFERROR(__xludf.DUMMYFUNCTION("""COMPUTED_VALUE"""),35000)</f>
        <v>35000</v>
      </c>
      <c r="F416" s="14">
        <f ca="1">IFERROR(__xludf.DUMMYFUNCTION("""COMPUTED_VALUE"""),105000)</f>
        <v>105000</v>
      </c>
      <c r="G416" s="13" t="str">
        <f ca="1"/>
        <v>Cappuccino</v>
      </c>
      <c r="H416" s="13" t="str">
        <f ca="1"/>
        <v>Coffee</v>
      </c>
      <c r="I416" s="13">
        <f ca="1">IFERROR(__xludf.DUMMYFUNCTION("""COMPUTED_VALUE"""),17)</f>
        <v>17</v>
      </c>
      <c r="J416" s="13">
        <f ca="1">IFERROR(__xludf.DUMMYFUNCTION("""COMPUTED_VALUE"""),9)</f>
        <v>9</v>
      </c>
      <c r="K416" s="13">
        <f ca="1">IFERROR(__xludf.DUMMYFUNCTION("""COMPUTED_VALUE"""),2025)</f>
        <v>2025</v>
      </c>
      <c r="L416" s="15">
        <f ca="1"/>
        <v>45917</v>
      </c>
    </row>
    <row r="417" spans="1:12">
      <c r="A417" s="12" t="str">
        <f ca="1">IFERROR(__xludf.DUMMYFUNCTION("""COMPUTED_VALUE"""),"12-09-2025")</f>
        <v>12-09-2025</v>
      </c>
      <c r="B417" s="13" t="str">
        <f ca="1">IFERROR(__xludf.DUMMYFUNCTION("""COMPUTED_VALUE"""),"Bandung")</f>
        <v>Bandung</v>
      </c>
      <c r="C417" s="13" t="str">
        <f ca="1">IFERROR(__xludf.DUMMYFUNCTION("""COMPUTED_VALUE"""),"P02")</f>
        <v>P02</v>
      </c>
      <c r="D417" s="13">
        <f ca="1">IFERROR(__xludf.DUMMYFUNCTION("""COMPUTED_VALUE"""),4)</f>
        <v>4</v>
      </c>
      <c r="E417" s="14">
        <f ca="1">IFERROR(__xludf.DUMMYFUNCTION("""COMPUTED_VALUE"""),35000)</f>
        <v>35000</v>
      </c>
      <c r="F417" s="14">
        <f ca="1">IFERROR(__xludf.DUMMYFUNCTION("""COMPUTED_VALUE"""),140000)</f>
        <v>140000</v>
      </c>
      <c r="G417" s="13" t="str">
        <f ca="1"/>
        <v>Latte</v>
      </c>
      <c r="H417" s="13" t="str">
        <f ca="1"/>
        <v>Coffee</v>
      </c>
      <c r="I417" s="13">
        <f ca="1">IFERROR(__xludf.DUMMYFUNCTION("""COMPUTED_VALUE"""),12)</f>
        <v>12</v>
      </c>
      <c r="J417" s="13">
        <f ca="1">IFERROR(__xludf.DUMMYFUNCTION("""COMPUTED_VALUE"""),9)</f>
        <v>9</v>
      </c>
      <c r="K417" s="13">
        <f ca="1">IFERROR(__xludf.DUMMYFUNCTION("""COMPUTED_VALUE"""),2025)</f>
        <v>2025</v>
      </c>
      <c r="L417" s="15">
        <f ca="1"/>
        <v>45912</v>
      </c>
    </row>
    <row r="418" spans="1:12">
      <c r="A418" s="12" t="str">
        <f ca="1">IFERROR(__xludf.DUMMYFUNCTION("""COMPUTED_VALUE"""),"25-09-2025")</f>
        <v>25-09-2025</v>
      </c>
      <c r="B418" s="13" t="str">
        <f ca="1">IFERROR(__xludf.DUMMYFUNCTION("""COMPUTED_VALUE"""),"Bandung")</f>
        <v>Bandung</v>
      </c>
      <c r="C418" s="13" t="str">
        <f ca="1">IFERROR(__xludf.DUMMYFUNCTION("""COMPUTED_VALUE"""),"P03")</f>
        <v>P03</v>
      </c>
      <c r="D418" s="13">
        <f ca="1">IFERROR(__xludf.DUMMYFUNCTION("""COMPUTED_VALUE"""),5)</f>
        <v>5</v>
      </c>
      <c r="E418" s="14">
        <f ca="1">IFERROR(__xludf.DUMMYFUNCTION("""COMPUTED_VALUE"""),28000)</f>
        <v>28000</v>
      </c>
      <c r="F418" s="14">
        <f ca="1">IFERROR(__xludf.DUMMYFUNCTION("""COMPUTED_VALUE"""),140000)</f>
        <v>140000</v>
      </c>
      <c r="G418" s="13" t="str">
        <f ca="1"/>
        <v>Espresso</v>
      </c>
      <c r="H418" s="13" t="str">
        <f ca="1"/>
        <v>Coffee</v>
      </c>
      <c r="I418" s="13">
        <f ca="1">IFERROR(__xludf.DUMMYFUNCTION("""COMPUTED_VALUE"""),25)</f>
        <v>25</v>
      </c>
      <c r="J418" s="13">
        <f ca="1">IFERROR(__xludf.DUMMYFUNCTION("""COMPUTED_VALUE"""),9)</f>
        <v>9</v>
      </c>
      <c r="K418" s="13">
        <f ca="1">IFERROR(__xludf.DUMMYFUNCTION("""COMPUTED_VALUE"""),2025)</f>
        <v>2025</v>
      </c>
      <c r="L418" s="15">
        <f ca="1"/>
        <v>45925</v>
      </c>
    </row>
    <row r="419" spans="1:12">
      <c r="A419" s="12" t="str">
        <f ca="1">IFERROR(__xludf.DUMMYFUNCTION("""COMPUTED_VALUE"""),"03-09-2025")</f>
        <v>03-09-2025</v>
      </c>
      <c r="B419" s="13" t="str">
        <f ca="1">IFERROR(__xludf.DUMMYFUNCTION("""COMPUTED_VALUE"""),"Bandung")</f>
        <v>Bandung</v>
      </c>
      <c r="C419" s="13" t="str">
        <f ca="1">IFERROR(__xludf.DUMMYFUNCTION("""COMPUTED_VALUE"""),"P04")</f>
        <v>P04</v>
      </c>
      <c r="D419" s="13">
        <f ca="1">IFERROR(__xludf.DUMMYFUNCTION("""COMPUTED_VALUE"""),1)</f>
        <v>1</v>
      </c>
      <c r="E419" s="14">
        <f ca="1">IFERROR(__xludf.DUMMYFUNCTION("""COMPUTED_VALUE"""),35000)</f>
        <v>35000</v>
      </c>
      <c r="F419" s="14">
        <f ca="1">IFERROR(__xludf.DUMMYFUNCTION("""COMPUTED_VALUE"""),35000)</f>
        <v>35000</v>
      </c>
      <c r="G419" s="13" t="str">
        <f ca="1"/>
        <v>Americano</v>
      </c>
      <c r="H419" s="13" t="str">
        <f ca="1"/>
        <v>Coffee</v>
      </c>
      <c r="I419" s="13">
        <f ca="1">IFERROR(__xludf.DUMMYFUNCTION("""COMPUTED_VALUE"""),3)</f>
        <v>3</v>
      </c>
      <c r="J419" s="13">
        <f ca="1">IFERROR(__xludf.DUMMYFUNCTION("""COMPUTED_VALUE"""),9)</f>
        <v>9</v>
      </c>
      <c r="K419" s="13">
        <f ca="1">IFERROR(__xludf.DUMMYFUNCTION("""COMPUTED_VALUE"""),2025)</f>
        <v>2025</v>
      </c>
      <c r="L419" s="15">
        <f ca="1"/>
        <v>45903</v>
      </c>
    </row>
    <row r="420" spans="1:12">
      <c r="A420" s="12" t="str">
        <f ca="1">IFERROR(__xludf.DUMMYFUNCTION("""COMPUTED_VALUE"""),"11-09-2025")</f>
        <v>11-09-2025</v>
      </c>
      <c r="B420" s="13" t="str">
        <f ca="1">IFERROR(__xludf.DUMMYFUNCTION("""COMPUTED_VALUE"""),"Bandung")</f>
        <v>Bandung</v>
      </c>
      <c r="C420" s="13" t="str">
        <f ca="1">IFERROR(__xludf.DUMMYFUNCTION("""COMPUTED_VALUE"""),"P05")</f>
        <v>P05</v>
      </c>
      <c r="D420" s="13">
        <f ca="1">IFERROR(__xludf.DUMMYFUNCTION("""COMPUTED_VALUE"""),2)</f>
        <v>2</v>
      </c>
      <c r="E420" s="14">
        <f ca="1">IFERROR(__xludf.DUMMYFUNCTION("""COMPUTED_VALUE"""),20000)</f>
        <v>20000</v>
      </c>
      <c r="F420" s="14">
        <f ca="1">IFERROR(__xludf.DUMMYFUNCTION("""COMPUTED_VALUE"""),40000)</f>
        <v>40000</v>
      </c>
      <c r="G420" s="13" t="str">
        <f ca="1"/>
        <v>Mocha</v>
      </c>
      <c r="H420" s="13" t="str">
        <f ca="1"/>
        <v>Chocolate</v>
      </c>
      <c r="I420" s="13">
        <f ca="1">IFERROR(__xludf.DUMMYFUNCTION("""COMPUTED_VALUE"""),11)</f>
        <v>11</v>
      </c>
      <c r="J420" s="13">
        <f ca="1">IFERROR(__xludf.DUMMYFUNCTION("""COMPUTED_VALUE"""),9)</f>
        <v>9</v>
      </c>
      <c r="K420" s="13">
        <f ca="1">IFERROR(__xludf.DUMMYFUNCTION("""COMPUTED_VALUE"""),2025)</f>
        <v>2025</v>
      </c>
      <c r="L420" s="15">
        <f ca="1"/>
        <v>45911</v>
      </c>
    </row>
    <row r="421" spans="1:12">
      <c r="A421" s="12" t="str">
        <f ca="1">IFERROR(__xludf.DUMMYFUNCTION("""COMPUTED_VALUE"""),"06-09-2025")</f>
        <v>06-09-2025</v>
      </c>
      <c r="B421" s="13" t="str">
        <f ca="1">IFERROR(__xludf.DUMMYFUNCTION("""COMPUTED_VALUE"""),"Bandung")</f>
        <v>Bandung</v>
      </c>
      <c r="C421" s="13" t="str">
        <f ca="1">IFERROR(__xludf.DUMMYFUNCTION("""COMPUTED_VALUE"""),"P01")</f>
        <v>P01</v>
      </c>
      <c r="D421" s="13">
        <f ca="1">IFERROR(__xludf.DUMMYFUNCTION("""COMPUTED_VALUE"""),5)</f>
        <v>5</v>
      </c>
      <c r="E421" s="14">
        <f ca="1">IFERROR(__xludf.DUMMYFUNCTION("""COMPUTED_VALUE"""),30000)</f>
        <v>30000</v>
      </c>
      <c r="F421" s="14">
        <f ca="1">IFERROR(__xludf.DUMMYFUNCTION("""COMPUTED_VALUE"""),150000)</f>
        <v>150000</v>
      </c>
      <c r="G421" s="13" t="str">
        <f ca="1"/>
        <v>Cappuccino</v>
      </c>
      <c r="H421" s="13" t="str">
        <f ca="1"/>
        <v>Coffee</v>
      </c>
      <c r="I421" s="13">
        <f ca="1">IFERROR(__xludf.DUMMYFUNCTION("""COMPUTED_VALUE"""),6)</f>
        <v>6</v>
      </c>
      <c r="J421" s="13">
        <f ca="1">IFERROR(__xludf.DUMMYFUNCTION("""COMPUTED_VALUE"""),9)</f>
        <v>9</v>
      </c>
      <c r="K421" s="13">
        <f ca="1">IFERROR(__xludf.DUMMYFUNCTION("""COMPUTED_VALUE"""),2025)</f>
        <v>2025</v>
      </c>
      <c r="L421" s="15">
        <f ca="1"/>
        <v>45906</v>
      </c>
    </row>
    <row r="422" spans="1:12">
      <c r="A422" s="12" t="str">
        <f ca="1">IFERROR(__xludf.DUMMYFUNCTION("""COMPUTED_VALUE"""),"14-09-2025")</f>
        <v>14-09-2025</v>
      </c>
      <c r="B422" s="13" t="str">
        <f ca="1">IFERROR(__xludf.DUMMYFUNCTION("""COMPUTED_VALUE"""),"Bandung")</f>
        <v>Bandung</v>
      </c>
      <c r="C422" s="13" t="str">
        <f ca="1">IFERROR(__xludf.DUMMYFUNCTION("""COMPUTED_VALUE"""),"P02")</f>
        <v>P02</v>
      </c>
      <c r="D422" s="13">
        <f ca="1">IFERROR(__xludf.DUMMYFUNCTION("""COMPUTED_VALUE"""),1)</f>
        <v>1</v>
      </c>
      <c r="E422" s="14">
        <f ca="1">IFERROR(__xludf.DUMMYFUNCTION("""COMPUTED_VALUE"""),30000)</f>
        <v>30000</v>
      </c>
      <c r="F422" s="14">
        <f ca="1">IFERROR(__xludf.DUMMYFUNCTION("""COMPUTED_VALUE"""),30000)</f>
        <v>30000</v>
      </c>
      <c r="G422" s="13" t="str">
        <f ca="1"/>
        <v>Latte</v>
      </c>
      <c r="H422" s="13" t="str">
        <f ca="1"/>
        <v>Coffee</v>
      </c>
      <c r="I422" s="13">
        <f ca="1">IFERROR(__xludf.DUMMYFUNCTION("""COMPUTED_VALUE"""),14)</f>
        <v>14</v>
      </c>
      <c r="J422" s="13">
        <f ca="1">IFERROR(__xludf.DUMMYFUNCTION("""COMPUTED_VALUE"""),9)</f>
        <v>9</v>
      </c>
      <c r="K422" s="13">
        <f ca="1">IFERROR(__xludf.DUMMYFUNCTION("""COMPUTED_VALUE"""),2025)</f>
        <v>2025</v>
      </c>
      <c r="L422" s="15">
        <f ca="1"/>
        <v>45914</v>
      </c>
    </row>
    <row r="423" spans="1:12">
      <c r="A423" s="12" t="str">
        <f ca="1">IFERROR(__xludf.DUMMYFUNCTION("""COMPUTED_VALUE"""),"21-09-2025")</f>
        <v>21-09-2025</v>
      </c>
      <c r="B423" s="13" t="str">
        <f ca="1">IFERROR(__xludf.DUMMYFUNCTION("""COMPUTED_VALUE"""),"Bandung")</f>
        <v>Bandung</v>
      </c>
      <c r="C423" s="13" t="str">
        <f ca="1">IFERROR(__xludf.DUMMYFUNCTION("""COMPUTED_VALUE"""),"P03")</f>
        <v>P03</v>
      </c>
      <c r="D423" s="13">
        <f ca="1">IFERROR(__xludf.DUMMYFUNCTION("""COMPUTED_VALUE"""),1)</f>
        <v>1</v>
      </c>
      <c r="E423" s="14">
        <f ca="1">IFERROR(__xludf.DUMMYFUNCTION("""COMPUTED_VALUE"""),28000)</f>
        <v>28000</v>
      </c>
      <c r="F423" s="14">
        <f ca="1">IFERROR(__xludf.DUMMYFUNCTION("""COMPUTED_VALUE"""),28000)</f>
        <v>28000</v>
      </c>
      <c r="G423" s="13" t="str">
        <f ca="1"/>
        <v>Espresso</v>
      </c>
      <c r="H423" s="13" t="str">
        <f ca="1"/>
        <v>Coffee</v>
      </c>
      <c r="I423" s="13">
        <f ca="1">IFERROR(__xludf.DUMMYFUNCTION("""COMPUTED_VALUE"""),21)</f>
        <v>21</v>
      </c>
      <c r="J423" s="13">
        <f ca="1">IFERROR(__xludf.DUMMYFUNCTION("""COMPUTED_VALUE"""),9)</f>
        <v>9</v>
      </c>
      <c r="K423" s="13">
        <f ca="1">IFERROR(__xludf.DUMMYFUNCTION("""COMPUTED_VALUE"""),2025)</f>
        <v>2025</v>
      </c>
      <c r="L423" s="15">
        <f ca="1"/>
        <v>45921</v>
      </c>
    </row>
    <row r="424" spans="1:12">
      <c r="A424" s="12" t="str">
        <f ca="1">IFERROR(__xludf.DUMMYFUNCTION("""COMPUTED_VALUE"""),"07-09-2025")</f>
        <v>07-09-2025</v>
      </c>
      <c r="B424" s="13" t="str">
        <f ca="1">IFERROR(__xludf.DUMMYFUNCTION("""COMPUTED_VALUE"""),"Bandung")</f>
        <v>Bandung</v>
      </c>
      <c r="C424" s="13" t="str">
        <f ca="1">IFERROR(__xludf.DUMMYFUNCTION("""COMPUTED_VALUE"""),"P04")</f>
        <v>P04</v>
      </c>
      <c r="D424" s="13">
        <f ca="1">IFERROR(__xludf.DUMMYFUNCTION("""COMPUTED_VALUE"""),3)</f>
        <v>3</v>
      </c>
      <c r="E424" s="14">
        <f ca="1">IFERROR(__xludf.DUMMYFUNCTION("""COMPUTED_VALUE"""),30000)</f>
        <v>30000</v>
      </c>
      <c r="F424" s="14">
        <f ca="1">IFERROR(__xludf.DUMMYFUNCTION("""COMPUTED_VALUE"""),90000)</f>
        <v>90000</v>
      </c>
      <c r="G424" s="13" t="str">
        <f ca="1"/>
        <v>Americano</v>
      </c>
      <c r="H424" s="13" t="str">
        <f ca="1"/>
        <v>Coffee</v>
      </c>
      <c r="I424" s="13">
        <f ca="1">IFERROR(__xludf.DUMMYFUNCTION("""COMPUTED_VALUE"""),7)</f>
        <v>7</v>
      </c>
      <c r="J424" s="13">
        <f ca="1">IFERROR(__xludf.DUMMYFUNCTION("""COMPUTED_VALUE"""),9)</f>
        <v>9</v>
      </c>
      <c r="K424" s="13">
        <f ca="1">IFERROR(__xludf.DUMMYFUNCTION("""COMPUTED_VALUE"""),2025)</f>
        <v>2025</v>
      </c>
      <c r="L424" s="15">
        <f ca="1"/>
        <v>45907</v>
      </c>
    </row>
    <row r="425" spans="1:12">
      <c r="A425" s="12" t="str">
        <f ca="1">IFERROR(__xludf.DUMMYFUNCTION("""COMPUTED_VALUE"""),"21-09-2025")</f>
        <v>21-09-2025</v>
      </c>
      <c r="B425" s="13" t="str">
        <f ca="1">IFERROR(__xludf.DUMMYFUNCTION("""COMPUTED_VALUE"""),"Bandung")</f>
        <v>Bandung</v>
      </c>
      <c r="C425" s="13" t="str">
        <f ca="1">IFERROR(__xludf.DUMMYFUNCTION("""COMPUTED_VALUE"""),"P05")</f>
        <v>P05</v>
      </c>
      <c r="D425" s="13">
        <f ca="1">IFERROR(__xludf.DUMMYFUNCTION("""COMPUTED_VALUE"""),1)</f>
        <v>1</v>
      </c>
      <c r="E425" s="14">
        <f ca="1">IFERROR(__xludf.DUMMYFUNCTION("""COMPUTED_VALUE"""),25000)</f>
        <v>25000</v>
      </c>
      <c r="F425" s="14">
        <f ca="1">IFERROR(__xludf.DUMMYFUNCTION("""COMPUTED_VALUE"""),25000)</f>
        <v>25000</v>
      </c>
      <c r="G425" s="13" t="str">
        <f ca="1"/>
        <v>Mocha</v>
      </c>
      <c r="H425" s="13" t="str">
        <f ca="1"/>
        <v>Chocolate</v>
      </c>
      <c r="I425" s="13">
        <f ca="1">IFERROR(__xludf.DUMMYFUNCTION("""COMPUTED_VALUE"""),21)</f>
        <v>21</v>
      </c>
      <c r="J425" s="13">
        <f ca="1">IFERROR(__xludf.DUMMYFUNCTION("""COMPUTED_VALUE"""),9)</f>
        <v>9</v>
      </c>
      <c r="K425" s="13">
        <f ca="1">IFERROR(__xludf.DUMMYFUNCTION("""COMPUTED_VALUE"""),2025)</f>
        <v>2025</v>
      </c>
      <c r="L425" s="15">
        <f ca="1"/>
        <v>45921</v>
      </c>
    </row>
    <row r="426" spans="1:12">
      <c r="A426" s="12" t="str">
        <f ca="1">IFERROR(__xludf.DUMMYFUNCTION("""COMPUTED_VALUE"""),"30-09-2025")</f>
        <v>30-09-2025</v>
      </c>
      <c r="B426" s="13" t="str">
        <f ca="1">IFERROR(__xludf.DUMMYFUNCTION("""COMPUTED_VALUE"""),"Bandung")</f>
        <v>Bandung</v>
      </c>
      <c r="C426" s="13" t="str">
        <f ca="1">IFERROR(__xludf.DUMMYFUNCTION("""COMPUTED_VALUE"""),"P03")</f>
        <v>P03</v>
      </c>
      <c r="D426" s="13">
        <f ca="1">IFERROR(__xludf.DUMMYFUNCTION("""COMPUTED_VALUE"""),1)</f>
        <v>1</v>
      </c>
      <c r="E426" s="14">
        <f ca="1">IFERROR(__xludf.DUMMYFUNCTION("""COMPUTED_VALUE"""),35000)</f>
        <v>35000</v>
      </c>
      <c r="F426" s="14">
        <f ca="1">IFERROR(__xludf.DUMMYFUNCTION("""COMPUTED_VALUE"""),35000)</f>
        <v>35000</v>
      </c>
      <c r="G426" s="13" t="str">
        <f ca="1"/>
        <v>Espresso</v>
      </c>
      <c r="H426" s="13" t="str">
        <f ca="1"/>
        <v>Coffee</v>
      </c>
      <c r="I426" s="13">
        <f ca="1">IFERROR(__xludf.DUMMYFUNCTION("""COMPUTED_VALUE"""),30)</f>
        <v>30</v>
      </c>
      <c r="J426" s="13">
        <f ca="1">IFERROR(__xludf.DUMMYFUNCTION("""COMPUTED_VALUE"""),9)</f>
        <v>9</v>
      </c>
      <c r="K426" s="13">
        <f ca="1">IFERROR(__xludf.DUMMYFUNCTION("""COMPUTED_VALUE"""),2025)</f>
        <v>2025</v>
      </c>
      <c r="L426" s="15">
        <f ca="1"/>
        <v>45930</v>
      </c>
    </row>
    <row r="427" spans="1:12">
      <c r="A427" s="12" t="str">
        <f ca="1">IFERROR(__xludf.DUMMYFUNCTION("""COMPUTED_VALUE"""),"05-09-2025")</f>
        <v>05-09-2025</v>
      </c>
      <c r="B427" s="13" t="str">
        <f ca="1">IFERROR(__xludf.DUMMYFUNCTION("""COMPUTED_VALUE"""),"Bandung")</f>
        <v>Bandung</v>
      </c>
      <c r="C427" s="13" t="str">
        <f ca="1">IFERROR(__xludf.DUMMYFUNCTION("""COMPUTED_VALUE"""),"P04")</f>
        <v>P04</v>
      </c>
      <c r="D427" s="13">
        <f ca="1">IFERROR(__xludf.DUMMYFUNCTION("""COMPUTED_VALUE"""),1)</f>
        <v>1</v>
      </c>
      <c r="E427" s="14">
        <f ca="1">IFERROR(__xludf.DUMMYFUNCTION("""COMPUTED_VALUE"""),20000)</f>
        <v>20000</v>
      </c>
      <c r="F427" s="14">
        <f ca="1">IFERROR(__xludf.DUMMYFUNCTION("""COMPUTED_VALUE"""),20000)</f>
        <v>20000</v>
      </c>
      <c r="G427" s="13" t="str">
        <f ca="1"/>
        <v>Americano</v>
      </c>
      <c r="H427" s="13" t="str">
        <f ca="1"/>
        <v>Coffee</v>
      </c>
      <c r="I427" s="13">
        <f ca="1">IFERROR(__xludf.DUMMYFUNCTION("""COMPUTED_VALUE"""),5)</f>
        <v>5</v>
      </c>
      <c r="J427" s="13">
        <f ca="1">IFERROR(__xludf.DUMMYFUNCTION("""COMPUTED_VALUE"""),9)</f>
        <v>9</v>
      </c>
      <c r="K427" s="13">
        <f ca="1">IFERROR(__xludf.DUMMYFUNCTION("""COMPUTED_VALUE"""),2025)</f>
        <v>2025</v>
      </c>
      <c r="L427" s="15">
        <f ca="1"/>
        <v>45905</v>
      </c>
    </row>
    <row r="428" spans="1:12">
      <c r="A428" s="12" t="str">
        <f ca="1">IFERROR(__xludf.DUMMYFUNCTION("""COMPUTED_VALUE"""),"26-09-2025")</f>
        <v>26-09-2025</v>
      </c>
      <c r="B428" s="13" t="str">
        <f ca="1">IFERROR(__xludf.DUMMYFUNCTION("""COMPUTED_VALUE"""),"Bandung")</f>
        <v>Bandung</v>
      </c>
      <c r="C428" s="13" t="str">
        <f ca="1">IFERROR(__xludf.DUMMYFUNCTION("""COMPUTED_VALUE"""),"P05")</f>
        <v>P05</v>
      </c>
      <c r="D428" s="13">
        <f ca="1">IFERROR(__xludf.DUMMYFUNCTION("""COMPUTED_VALUE"""),1)</f>
        <v>1</v>
      </c>
      <c r="E428" s="14">
        <f ca="1">IFERROR(__xludf.DUMMYFUNCTION("""COMPUTED_VALUE"""),35000)</f>
        <v>35000</v>
      </c>
      <c r="F428" s="14">
        <f ca="1">IFERROR(__xludf.DUMMYFUNCTION("""COMPUTED_VALUE"""),35000)</f>
        <v>35000</v>
      </c>
      <c r="G428" s="13" t="str">
        <f ca="1"/>
        <v>Mocha</v>
      </c>
      <c r="H428" s="13" t="str">
        <f ca="1"/>
        <v>Chocolate</v>
      </c>
      <c r="I428" s="13">
        <f ca="1">IFERROR(__xludf.DUMMYFUNCTION("""COMPUTED_VALUE"""),26)</f>
        <v>26</v>
      </c>
      <c r="J428" s="13">
        <f ca="1">IFERROR(__xludf.DUMMYFUNCTION("""COMPUTED_VALUE"""),9)</f>
        <v>9</v>
      </c>
      <c r="K428" s="13">
        <f ca="1">IFERROR(__xludf.DUMMYFUNCTION("""COMPUTED_VALUE"""),2025)</f>
        <v>2025</v>
      </c>
      <c r="L428" s="15">
        <f ca="1"/>
        <v>45926</v>
      </c>
    </row>
    <row r="429" spans="1:12">
      <c r="A429" s="12" t="str">
        <f ca="1">IFERROR(__xludf.DUMMYFUNCTION("""COMPUTED_VALUE"""),"19-09-2025")</f>
        <v>19-09-2025</v>
      </c>
      <c r="B429" s="13" t="str">
        <f ca="1">IFERROR(__xludf.DUMMYFUNCTION("""COMPUTED_VALUE"""),"Bandung")</f>
        <v>Bandung</v>
      </c>
      <c r="C429" s="13" t="str">
        <f ca="1">IFERROR(__xludf.DUMMYFUNCTION("""COMPUTED_VALUE"""),"P01")</f>
        <v>P01</v>
      </c>
      <c r="D429" s="13">
        <f ca="1">IFERROR(__xludf.DUMMYFUNCTION("""COMPUTED_VALUE"""),1)</f>
        <v>1</v>
      </c>
      <c r="E429" s="14">
        <f ca="1">IFERROR(__xludf.DUMMYFUNCTION("""COMPUTED_VALUE"""),28000)</f>
        <v>28000</v>
      </c>
      <c r="F429" s="14">
        <f ca="1">IFERROR(__xludf.DUMMYFUNCTION("""COMPUTED_VALUE"""),28000)</f>
        <v>28000</v>
      </c>
      <c r="G429" s="13" t="str">
        <f ca="1"/>
        <v>Cappuccino</v>
      </c>
      <c r="H429" s="13" t="str">
        <f ca="1"/>
        <v>Coffee</v>
      </c>
      <c r="I429" s="13">
        <f ca="1">IFERROR(__xludf.DUMMYFUNCTION("""COMPUTED_VALUE"""),19)</f>
        <v>19</v>
      </c>
      <c r="J429" s="13">
        <f ca="1">IFERROR(__xludf.DUMMYFUNCTION("""COMPUTED_VALUE"""),9)</f>
        <v>9</v>
      </c>
      <c r="K429" s="13">
        <f ca="1">IFERROR(__xludf.DUMMYFUNCTION("""COMPUTED_VALUE"""),2025)</f>
        <v>2025</v>
      </c>
      <c r="L429" s="15">
        <f ca="1"/>
        <v>45919</v>
      </c>
    </row>
    <row r="430" spans="1:12">
      <c r="A430" s="12" t="str">
        <f ca="1">IFERROR(__xludf.DUMMYFUNCTION("""COMPUTED_VALUE"""),"20-09-2025")</f>
        <v>20-09-2025</v>
      </c>
      <c r="B430" s="13" t="str">
        <f ca="1">IFERROR(__xludf.DUMMYFUNCTION("""COMPUTED_VALUE"""),"Bandung")</f>
        <v>Bandung</v>
      </c>
      <c r="C430" s="13" t="str">
        <f ca="1">IFERROR(__xludf.DUMMYFUNCTION("""COMPUTED_VALUE"""),"P02")</f>
        <v>P02</v>
      </c>
      <c r="D430" s="13">
        <f ca="1">IFERROR(__xludf.DUMMYFUNCTION("""COMPUTED_VALUE"""),1)</f>
        <v>1</v>
      </c>
      <c r="E430" s="14">
        <f ca="1">IFERROR(__xludf.DUMMYFUNCTION("""COMPUTED_VALUE"""),25000)</f>
        <v>25000</v>
      </c>
      <c r="F430" s="14">
        <f ca="1">IFERROR(__xludf.DUMMYFUNCTION("""COMPUTED_VALUE"""),25000)</f>
        <v>25000</v>
      </c>
      <c r="G430" s="13" t="str">
        <f ca="1"/>
        <v>Latte</v>
      </c>
      <c r="H430" s="13" t="str">
        <f ca="1"/>
        <v>Coffee</v>
      </c>
      <c r="I430" s="13">
        <f ca="1">IFERROR(__xludf.DUMMYFUNCTION("""COMPUTED_VALUE"""),20)</f>
        <v>20</v>
      </c>
      <c r="J430" s="13">
        <f ca="1">IFERROR(__xludf.DUMMYFUNCTION("""COMPUTED_VALUE"""),9)</f>
        <v>9</v>
      </c>
      <c r="K430" s="13">
        <f ca="1">IFERROR(__xludf.DUMMYFUNCTION("""COMPUTED_VALUE"""),2025)</f>
        <v>2025</v>
      </c>
      <c r="L430" s="15">
        <f ca="1"/>
        <v>45920</v>
      </c>
    </row>
    <row r="431" spans="1:12">
      <c r="A431" s="12" t="str">
        <f ca="1">IFERROR(__xludf.DUMMYFUNCTION("""COMPUTED_VALUE"""),"02-09-2025")</f>
        <v>02-09-2025</v>
      </c>
      <c r="B431" s="13" t="str">
        <f ca="1">IFERROR(__xludf.DUMMYFUNCTION("""COMPUTED_VALUE"""),"Bandung")</f>
        <v>Bandung</v>
      </c>
      <c r="C431" s="13" t="str">
        <f ca="1">IFERROR(__xludf.DUMMYFUNCTION("""COMPUTED_VALUE"""),"P03")</f>
        <v>P03</v>
      </c>
      <c r="D431" s="13">
        <f ca="1">IFERROR(__xludf.DUMMYFUNCTION("""COMPUTED_VALUE"""),1)</f>
        <v>1</v>
      </c>
      <c r="E431" s="14">
        <f ca="1">IFERROR(__xludf.DUMMYFUNCTION("""COMPUTED_VALUE"""),35000)</f>
        <v>35000</v>
      </c>
      <c r="F431" s="14">
        <f ca="1">IFERROR(__xludf.DUMMYFUNCTION("""COMPUTED_VALUE"""),35000)</f>
        <v>35000</v>
      </c>
      <c r="G431" s="13" t="str">
        <f ca="1"/>
        <v>Espresso</v>
      </c>
      <c r="H431" s="13" t="str">
        <f ca="1"/>
        <v>Coffee</v>
      </c>
      <c r="I431" s="13">
        <f ca="1">IFERROR(__xludf.DUMMYFUNCTION("""COMPUTED_VALUE"""),2)</f>
        <v>2</v>
      </c>
      <c r="J431" s="13">
        <f ca="1">IFERROR(__xludf.DUMMYFUNCTION("""COMPUTED_VALUE"""),9)</f>
        <v>9</v>
      </c>
      <c r="K431" s="13">
        <f ca="1">IFERROR(__xludf.DUMMYFUNCTION("""COMPUTED_VALUE"""),2025)</f>
        <v>2025</v>
      </c>
      <c r="L431" s="15">
        <f ca="1"/>
        <v>45902</v>
      </c>
    </row>
    <row r="432" spans="1:12">
      <c r="A432" s="12" t="str">
        <f ca="1">IFERROR(__xludf.DUMMYFUNCTION("""COMPUTED_VALUE"""),"23-09-2025")</f>
        <v>23-09-2025</v>
      </c>
      <c r="B432" s="13" t="str">
        <f ca="1">IFERROR(__xludf.DUMMYFUNCTION("""COMPUTED_VALUE"""),"Bandung")</f>
        <v>Bandung</v>
      </c>
      <c r="C432" s="13" t="str">
        <f ca="1">IFERROR(__xludf.DUMMYFUNCTION("""COMPUTED_VALUE"""),"P04")</f>
        <v>P04</v>
      </c>
      <c r="D432" s="13">
        <f ca="1">IFERROR(__xludf.DUMMYFUNCTION("""COMPUTED_VALUE"""),4)</f>
        <v>4</v>
      </c>
      <c r="E432" s="14">
        <f ca="1">IFERROR(__xludf.DUMMYFUNCTION("""COMPUTED_VALUE"""),28000)</f>
        <v>28000</v>
      </c>
      <c r="F432" s="14">
        <f ca="1">IFERROR(__xludf.DUMMYFUNCTION("""COMPUTED_VALUE"""),112000)</f>
        <v>112000</v>
      </c>
      <c r="G432" s="13" t="str">
        <f ca="1"/>
        <v>Americano</v>
      </c>
      <c r="H432" s="13" t="str">
        <f ca="1"/>
        <v>Coffee</v>
      </c>
      <c r="I432" s="13">
        <f ca="1">IFERROR(__xludf.DUMMYFUNCTION("""COMPUTED_VALUE"""),23)</f>
        <v>23</v>
      </c>
      <c r="J432" s="13">
        <f ca="1">IFERROR(__xludf.DUMMYFUNCTION("""COMPUTED_VALUE"""),9)</f>
        <v>9</v>
      </c>
      <c r="K432" s="13">
        <f ca="1">IFERROR(__xludf.DUMMYFUNCTION("""COMPUTED_VALUE"""),2025)</f>
        <v>2025</v>
      </c>
      <c r="L432" s="15">
        <f ca="1"/>
        <v>45923</v>
      </c>
    </row>
    <row r="433" spans="1:12">
      <c r="A433" s="12" t="str">
        <f ca="1">IFERROR(__xludf.DUMMYFUNCTION("""COMPUTED_VALUE"""),"23-09-2025")</f>
        <v>23-09-2025</v>
      </c>
      <c r="B433" s="13" t="str">
        <f ca="1">IFERROR(__xludf.DUMMYFUNCTION("""COMPUTED_VALUE"""),"Bandung")</f>
        <v>Bandung</v>
      </c>
      <c r="C433" s="13" t="str">
        <f ca="1">IFERROR(__xludf.DUMMYFUNCTION("""COMPUTED_VALUE"""),"P05")</f>
        <v>P05</v>
      </c>
      <c r="D433" s="13">
        <f ca="1">IFERROR(__xludf.DUMMYFUNCTION("""COMPUTED_VALUE"""),1)</f>
        <v>1</v>
      </c>
      <c r="E433" s="14">
        <f ca="1">IFERROR(__xludf.DUMMYFUNCTION("""COMPUTED_VALUE"""),28000)</f>
        <v>28000</v>
      </c>
      <c r="F433" s="14">
        <f ca="1">IFERROR(__xludf.DUMMYFUNCTION("""COMPUTED_VALUE"""),28000)</f>
        <v>28000</v>
      </c>
      <c r="G433" s="13" t="str">
        <f ca="1"/>
        <v>Mocha</v>
      </c>
      <c r="H433" s="13" t="str">
        <f ca="1"/>
        <v>Chocolate</v>
      </c>
      <c r="I433" s="13">
        <f ca="1">IFERROR(__xludf.DUMMYFUNCTION("""COMPUTED_VALUE"""),23)</f>
        <v>23</v>
      </c>
      <c r="J433" s="13">
        <f ca="1">IFERROR(__xludf.DUMMYFUNCTION("""COMPUTED_VALUE"""),9)</f>
        <v>9</v>
      </c>
      <c r="K433" s="13">
        <f ca="1">IFERROR(__xludf.DUMMYFUNCTION("""COMPUTED_VALUE"""),2025)</f>
        <v>2025</v>
      </c>
      <c r="L433" s="15">
        <f ca="1"/>
        <v>45923</v>
      </c>
    </row>
    <row r="434" spans="1:12">
      <c r="A434" s="12" t="str">
        <f ca="1">IFERROR(__xludf.DUMMYFUNCTION("""COMPUTED_VALUE"""),"24-09-2025")</f>
        <v>24-09-2025</v>
      </c>
      <c r="B434" s="13" t="str">
        <f ca="1">IFERROR(__xludf.DUMMYFUNCTION("""COMPUTED_VALUE"""),"Bandung")</f>
        <v>Bandung</v>
      </c>
      <c r="C434" s="13" t="str">
        <f ca="1">IFERROR(__xludf.DUMMYFUNCTION("""COMPUTED_VALUE"""),"P01")</f>
        <v>P01</v>
      </c>
      <c r="D434" s="13">
        <f ca="1">IFERROR(__xludf.DUMMYFUNCTION("""COMPUTED_VALUE"""),5)</f>
        <v>5</v>
      </c>
      <c r="E434" s="14">
        <f ca="1">IFERROR(__xludf.DUMMYFUNCTION("""COMPUTED_VALUE"""),25000)</f>
        <v>25000</v>
      </c>
      <c r="F434" s="14">
        <f ca="1">IFERROR(__xludf.DUMMYFUNCTION("""COMPUTED_VALUE"""),125000)</f>
        <v>125000</v>
      </c>
      <c r="G434" s="13" t="str">
        <f ca="1"/>
        <v>Cappuccino</v>
      </c>
      <c r="H434" s="13" t="str">
        <f ca="1"/>
        <v>Coffee</v>
      </c>
      <c r="I434" s="13">
        <f ca="1">IFERROR(__xludf.DUMMYFUNCTION("""COMPUTED_VALUE"""),24)</f>
        <v>24</v>
      </c>
      <c r="J434" s="13">
        <f ca="1">IFERROR(__xludf.DUMMYFUNCTION("""COMPUTED_VALUE"""),9)</f>
        <v>9</v>
      </c>
      <c r="K434" s="13">
        <f ca="1">IFERROR(__xludf.DUMMYFUNCTION("""COMPUTED_VALUE"""),2025)</f>
        <v>2025</v>
      </c>
      <c r="L434" s="15">
        <f ca="1"/>
        <v>45924</v>
      </c>
    </row>
    <row r="435" spans="1:12">
      <c r="A435" s="12" t="str">
        <f ca="1">IFERROR(__xludf.DUMMYFUNCTION("""COMPUTED_VALUE"""),"30-09-2025")</f>
        <v>30-09-2025</v>
      </c>
      <c r="B435" s="13" t="str">
        <f ca="1">IFERROR(__xludf.DUMMYFUNCTION("""COMPUTED_VALUE"""),"Bandung")</f>
        <v>Bandung</v>
      </c>
      <c r="C435" s="13" t="str">
        <f ca="1">IFERROR(__xludf.DUMMYFUNCTION("""COMPUTED_VALUE"""),"P02")</f>
        <v>P02</v>
      </c>
      <c r="D435" s="13">
        <f ca="1">IFERROR(__xludf.DUMMYFUNCTION("""COMPUTED_VALUE"""),5)</f>
        <v>5</v>
      </c>
      <c r="E435" s="14">
        <f ca="1">IFERROR(__xludf.DUMMYFUNCTION("""COMPUTED_VALUE"""),28000)</f>
        <v>28000</v>
      </c>
      <c r="F435" s="14">
        <f ca="1">IFERROR(__xludf.DUMMYFUNCTION("""COMPUTED_VALUE"""),140000)</f>
        <v>140000</v>
      </c>
      <c r="G435" s="13" t="str">
        <f ca="1"/>
        <v>Latte</v>
      </c>
      <c r="H435" s="13" t="str">
        <f ca="1"/>
        <v>Coffee</v>
      </c>
      <c r="I435" s="13">
        <f ca="1">IFERROR(__xludf.DUMMYFUNCTION("""COMPUTED_VALUE"""),30)</f>
        <v>30</v>
      </c>
      <c r="J435" s="13">
        <f ca="1">IFERROR(__xludf.DUMMYFUNCTION("""COMPUTED_VALUE"""),9)</f>
        <v>9</v>
      </c>
      <c r="K435" s="13">
        <f ca="1">IFERROR(__xludf.DUMMYFUNCTION("""COMPUTED_VALUE"""),2025)</f>
        <v>2025</v>
      </c>
      <c r="L435" s="15">
        <f ca="1"/>
        <v>45930</v>
      </c>
    </row>
    <row r="436" spans="1:12">
      <c r="A436" s="12" t="str">
        <f ca="1">IFERROR(__xludf.DUMMYFUNCTION("""COMPUTED_VALUE"""),"09-09-2025")</f>
        <v>09-09-2025</v>
      </c>
      <c r="B436" s="13" t="str">
        <f ca="1">IFERROR(__xludf.DUMMYFUNCTION("""COMPUTED_VALUE"""),"Bandung")</f>
        <v>Bandung</v>
      </c>
      <c r="C436" s="13" t="str">
        <f ca="1">IFERROR(__xludf.DUMMYFUNCTION("""COMPUTED_VALUE"""),"P03")</f>
        <v>P03</v>
      </c>
      <c r="D436" s="13">
        <f ca="1">IFERROR(__xludf.DUMMYFUNCTION("""COMPUTED_VALUE"""),5)</f>
        <v>5</v>
      </c>
      <c r="E436" s="14">
        <f ca="1">IFERROR(__xludf.DUMMYFUNCTION("""COMPUTED_VALUE"""),35000)</f>
        <v>35000</v>
      </c>
      <c r="F436" s="14">
        <f ca="1">IFERROR(__xludf.DUMMYFUNCTION("""COMPUTED_VALUE"""),175000)</f>
        <v>175000</v>
      </c>
      <c r="G436" s="13" t="str">
        <f ca="1"/>
        <v>Espresso</v>
      </c>
      <c r="H436" s="13" t="str">
        <f ca="1"/>
        <v>Coffee</v>
      </c>
      <c r="I436" s="13">
        <f ca="1">IFERROR(__xludf.DUMMYFUNCTION("""COMPUTED_VALUE"""),9)</f>
        <v>9</v>
      </c>
      <c r="J436" s="13">
        <f ca="1">IFERROR(__xludf.DUMMYFUNCTION("""COMPUTED_VALUE"""),9)</f>
        <v>9</v>
      </c>
      <c r="K436" s="13">
        <f ca="1">IFERROR(__xludf.DUMMYFUNCTION("""COMPUTED_VALUE"""),2025)</f>
        <v>2025</v>
      </c>
      <c r="L436" s="15">
        <f ca="1"/>
        <v>45909</v>
      </c>
    </row>
    <row r="437" spans="1:12">
      <c r="A437" s="12" t="str">
        <f ca="1">IFERROR(__xludf.DUMMYFUNCTION("""COMPUTED_VALUE"""),"25-09-2025")</f>
        <v>25-09-2025</v>
      </c>
      <c r="B437" s="13" t="str">
        <f ca="1">IFERROR(__xludf.DUMMYFUNCTION("""COMPUTED_VALUE"""),"Bandung")</f>
        <v>Bandung</v>
      </c>
      <c r="C437" s="13" t="str">
        <f ca="1">IFERROR(__xludf.DUMMYFUNCTION("""COMPUTED_VALUE"""),"P04")</f>
        <v>P04</v>
      </c>
      <c r="D437" s="13">
        <f ca="1">IFERROR(__xludf.DUMMYFUNCTION("""COMPUTED_VALUE"""),5)</f>
        <v>5</v>
      </c>
      <c r="E437" s="14">
        <f ca="1">IFERROR(__xludf.DUMMYFUNCTION("""COMPUTED_VALUE"""),25000)</f>
        <v>25000</v>
      </c>
      <c r="F437" s="14">
        <f ca="1">IFERROR(__xludf.DUMMYFUNCTION("""COMPUTED_VALUE"""),125000)</f>
        <v>125000</v>
      </c>
      <c r="G437" s="13" t="str">
        <f ca="1"/>
        <v>Americano</v>
      </c>
      <c r="H437" s="13" t="str">
        <f ca="1"/>
        <v>Coffee</v>
      </c>
      <c r="I437" s="13">
        <f ca="1">IFERROR(__xludf.DUMMYFUNCTION("""COMPUTED_VALUE"""),25)</f>
        <v>25</v>
      </c>
      <c r="J437" s="13">
        <f ca="1">IFERROR(__xludf.DUMMYFUNCTION("""COMPUTED_VALUE"""),9)</f>
        <v>9</v>
      </c>
      <c r="K437" s="13">
        <f ca="1">IFERROR(__xludf.DUMMYFUNCTION("""COMPUTED_VALUE"""),2025)</f>
        <v>2025</v>
      </c>
      <c r="L437" s="15">
        <f ca="1"/>
        <v>45925</v>
      </c>
    </row>
    <row r="438" spans="1:12">
      <c r="A438" s="12" t="str">
        <f ca="1">IFERROR(__xludf.DUMMYFUNCTION("""COMPUTED_VALUE"""),"28-09-2025")</f>
        <v>28-09-2025</v>
      </c>
      <c r="B438" s="13" t="str">
        <f ca="1">IFERROR(__xludf.DUMMYFUNCTION("""COMPUTED_VALUE"""),"Bandung")</f>
        <v>Bandung</v>
      </c>
      <c r="C438" s="13" t="str">
        <f ca="1">IFERROR(__xludf.DUMMYFUNCTION("""COMPUTED_VALUE"""),"P05")</f>
        <v>P05</v>
      </c>
      <c r="D438" s="13">
        <f ca="1">IFERROR(__xludf.DUMMYFUNCTION("""COMPUTED_VALUE"""),1)</f>
        <v>1</v>
      </c>
      <c r="E438" s="14">
        <f ca="1">IFERROR(__xludf.DUMMYFUNCTION("""COMPUTED_VALUE"""),28000)</f>
        <v>28000</v>
      </c>
      <c r="F438" s="14">
        <f ca="1">IFERROR(__xludf.DUMMYFUNCTION("""COMPUTED_VALUE"""),28000)</f>
        <v>28000</v>
      </c>
      <c r="G438" s="13" t="str">
        <f ca="1"/>
        <v>Mocha</v>
      </c>
      <c r="H438" s="13" t="str">
        <f ca="1"/>
        <v>Chocolate</v>
      </c>
      <c r="I438" s="13">
        <f ca="1">IFERROR(__xludf.DUMMYFUNCTION("""COMPUTED_VALUE"""),28)</f>
        <v>28</v>
      </c>
      <c r="J438" s="13">
        <f ca="1">IFERROR(__xludf.DUMMYFUNCTION("""COMPUTED_VALUE"""),9)</f>
        <v>9</v>
      </c>
      <c r="K438" s="13">
        <f ca="1">IFERROR(__xludf.DUMMYFUNCTION("""COMPUTED_VALUE"""),2025)</f>
        <v>2025</v>
      </c>
      <c r="L438" s="15">
        <f ca="1"/>
        <v>45928</v>
      </c>
    </row>
    <row r="439" spans="1:12">
      <c r="A439" s="12" t="str">
        <f ca="1">IFERROR(__xludf.DUMMYFUNCTION("""COMPUTED_VALUE"""),"18-09-2025")</f>
        <v>18-09-2025</v>
      </c>
      <c r="B439" s="13" t="str">
        <f ca="1">IFERROR(__xludf.DUMMYFUNCTION("""COMPUTED_VALUE"""),"Bandung")</f>
        <v>Bandung</v>
      </c>
      <c r="C439" s="13" t="str">
        <f ca="1">IFERROR(__xludf.DUMMYFUNCTION("""COMPUTED_VALUE"""),"P04")</f>
        <v>P04</v>
      </c>
      <c r="D439" s="13">
        <f ca="1">IFERROR(__xludf.DUMMYFUNCTION("""COMPUTED_VALUE"""),3)</f>
        <v>3</v>
      </c>
      <c r="E439" s="14">
        <f ca="1">IFERROR(__xludf.DUMMYFUNCTION("""COMPUTED_VALUE"""),25000)</f>
        <v>25000</v>
      </c>
      <c r="F439" s="14">
        <f ca="1">IFERROR(__xludf.DUMMYFUNCTION("""COMPUTED_VALUE"""),75000)</f>
        <v>75000</v>
      </c>
      <c r="G439" s="13" t="str">
        <f ca="1"/>
        <v>Americano</v>
      </c>
      <c r="H439" s="13" t="str">
        <f ca="1"/>
        <v>Coffee</v>
      </c>
      <c r="I439" s="13">
        <f ca="1">IFERROR(__xludf.DUMMYFUNCTION("""COMPUTED_VALUE"""),18)</f>
        <v>18</v>
      </c>
      <c r="J439" s="13">
        <f ca="1">IFERROR(__xludf.DUMMYFUNCTION("""COMPUTED_VALUE"""),9)</f>
        <v>9</v>
      </c>
      <c r="K439" s="13">
        <f ca="1">IFERROR(__xludf.DUMMYFUNCTION("""COMPUTED_VALUE"""),2025)</f>
        <v>2025</v>
      </c>
      <c r="L439" s="15">
        <f ca="1"/>
        <v>45918</v>
      </c>
    </row>
    <row r="440" spans="1:12">
      <c r="A440" s="12" t="str">
        <f ca="1">IFERROR(__xludf.DUMMYFUNCTION("""COMPUTED_VALUE"""),"05-09-2025")</f>
        <v>05-09-2025</v>
      </c>
      <c r="B440" s="13" t="str">
        <f ca="1">IFERROR(__xludf.DUMMYFUNCTION("""COMPUTED_VALUE"""),"Bandung")</f>
        <v>Bandung</v>
      </c>
      <c r="C440" s="13" t="str">
        <f ca="1">IFERROR(__xludf.DUMMYFUNCTION("""COMPUTED_VALUE"""),"P05")</f>
        <v>P05</v>
      </c>
      <c r="D440" s="13">
        <f ca="1">IFERROR(__xludf.DUMMYFUNCTION("""COMPUTED_VALUE"""),1)</f>
        <v>1</v>
      </c>
      <c r="E440" s="14">
        <f ca="1">IFERROR(__xludf.DUMMYFUNCTION("""COMPUTED_VALUE"""),25000)</f>
        <v>25000</v>
      </c>
      <c r="F440" s="14">
        <f ca="1">IFERROR(__xludf.DUMMYFUNCTION("""COMPUTED_VALUE"""),25000)</f>
        <v>25000</v>
      </c>
      <c r="G440" s="13" t="str">
        <f ca="1"/>
        <v>Mocha</v>
      </c>
      <c r="H440" s="13" t="str">
        <f ca="1"/>
        <v>Chocolate</v>
      </c>
      <c r="I440" s="13">
        <f ca="1">IFERROR(__xludf.DUMMYFUNCTION("""COMPUTED_VALUE"""),5)</f>
        <v>5</v>
      </c>
      <c r="J440" s="13">
        <f ca="1">IFERROR(__xludf.DUMMYFUNCTION("""COMPUTED_VALUE"""),9)</f>
        <v>9</v>
      </c>
      <c r="K440" s="13">
        <f ca="1">IFERROR(__xludf.DUMMYFUNCTION("""COMPUTED_VALUE"""),2025)</f>
        <v>2025</v>
      </c>
      <c r="L440" s="15">
        <f ca="1"/>
        <v>45905</v>
      </c>
    </row>
    <row r="441" spans="1:12">
      <c r="A441" s="12" t="str">
        <f ca="1">IFERROR(__xludf.DUMMYFUNCTION("""COMPUTED_VALUE"""),"19-09-2025")</f>
        <v>19-09-2025</v>
      </c>
      <c r="B441" s="13" t="str">
        <f ca="1">IFERROR(__xludf.DUMMYFUNCTION("""COMPUTED_VALUE"""),"Bandung")</f>
        <v>Bandung</v>
      </c>
      <c r="C441" s="13" t="str">
        <f ca="1">IFERROR(__xludf.DUMMYFUNCTION("""COMPUTED_VALUE"""),"P01")</f>
        <v>P01</v>
      </c>
      <c r="D441" s="13">
        <f ca="1">IFERROR(__xludf.DUMMYFUNCTION("""COMPUTED_VALUE"""),2)</f>
        <v>2</v>
      </c>
      <c r="E441" s="14">
        <f ca="1">IFERROR(__xludf.DUMMYFUNCTION("""COMPUTED_VALUE"""),25000)</f>
        <v>25000</v>
      </c>
      <c r="F441" s="14">
        <f ca="1">IFERROR(__xludf.DUMMYFUNCTION("""COMPUTED_VALUE"""),50000)</f>
        <v>50000</v>
      </c>
      <c r="G441" s="13" t="str">
        <f ca="1"/>
        <v>Cappuccino</v>
      </c>
      <c r="H441" s="13" t="str">
        <f ca="1"/>
        <v>Coffee</v>
      </c>
      <c r="I441" s="13">
        <f ca="1">IFERROR(__xludf.DUMMYFUNCTION("""COMPUTED_VALUE"""),19)</f>
        <v>19</v>
      </c>
      <c r="J441" s="13">
        <f ca="1">IFERROR(__xludf.DUMMYFUNCTION("""COMPUTED_VALUE"""),9)</f>
        <v>9</v>
      </c>
      <c r="K441" s="13">
        <f ca="1">IFERROR(__xludf.DUMMYFUNCTION("""COMPUTED_VALUE"""),2025)</f>
        <v>2025</v>
      </c>
      <c r="L441" s="15">
        <f ca="1"/>
        <v>45919</v>
      </c>
    </row>
    <row r="442" spans="1:12">
      <c r="A442" s="12" t="str">
        <f ca="1">IFERROR(__xludf.DUMMYFUNCTION("""COMPUTED_VALUE"""),"24-09-2025")</f>
        <v>24-09-2025</v>
      </c>
      <c r="B442" s="13" t="str">
        <f ca="1">IFERROR(__xludf.DUMMYFUNCTION("""COMPUTED_VALUE"""),"Bandung")</f>
        <v>Bandung</v>
      </c>
      <c r="C442" s="13" t="str">
        <f ca="1">IFERROR(__xludf.DUMMYFUNCTION("""COMPUTED_VALUE"""),"P02")</f>
        <v>P02</v>
      </c>
      <c r="D442" s="13">
        <f ca="1">IFERROR(__xludf.DUMMYFUNCTION("""COMPUTED_VALUE"""),1)</f>
        <v>1</v>
      </c>
      <c r="E442" s="14">
        <f ca="1">IFERROR(__xludf.DUMMYFUNCTION("""COMPUTED_VALUE"""),35000)</f>
        <v>35000</v>
      </c>
      <c r="F442" s="14">
        <f ca="1">IFERROR(__xludf.DUMMYFUNCTION("""COMPUTED_VALUE"""),35000)</f>
        <v>35000</v>
      </c>
      <c r="G442" s="13" t="str">
        <f ca="1"/>
        <v>Latte</v>
      </c>
      <c r="H442" s="13" t="str">
        <f ca="1"/>
        <v>Coffee</v>
      </c>
      <c r="I442" s="13">
        <f ca="1">IFERROR(__xludf.DUMMYFUNCTION("""COMPUTED_VALUE"""),24)</f>
        <v>24</v>
      </c>
      <c r="J442" s="13">
        <f ca="1">IFERROR(__xludf.DUMMYFUNCTION("""COMPUTED_VALUE"""),9)</f>
        <v>9</v>
      </c>
      <c r="K442" s="13">
        <f ca="1">IFERROR(__xludf.DUMMYFUNCTION("""COMPUTED_VALUE"""),2025)</f>
        <v>2025</v>
      </c>
      <c r="L442" s="15">
        <f ca="1"/>
        <v>45924</v>
      </c>
    </row>
    <row r="443" spans="1:12">
      <c r="A443" s="12" t="str">
        <f ca="1">IFERROR(__xludf.DUMMYFUNCTION("""COMPUTED_VALUE"""),"16-09-2025")</f>
        <v>16-09-2025</v>
      </c>
      <c r="B443" s="13" t="str">
        <f ca="1">IFERROR(__xludf.DUMMYFUNCTION("""COMPUTED_VALUE"""),"Bandung")</f>
        <v>Bandung</v>
      </c>
      <c r="C443" s="13" t="str">
        <f ca="1">IFERROR(__xludf.DUMMYFUNCTION("""COMPUTED_VALUE"""),"P03")</f>
        <v>P03</v>
      </c>
      <c r="D443" s="13">
        <f ca="1">IFERROR(__xludf.DUMMYFUNCTION("""COMPUTED_VALUE"""),5)</f>
        <v>5</v>
      </c>
      <c r="E443" s="14">
        <f ca="1">IFERROR(__xludf.DUMMYFUNCTION("""COMPUTED_VALUE"""),28000)</f>
        <v>28000</v>
      </c>
      <c r="F443" s="14">
        <f ca="1">IFERROR(__xludf.DUMMYFUNCTION("""COMPUTED_VALUE"""),140000)</f>
        <v>140000</v>
      </c>
      <c r="G443" s="13" t="str">
        <f ca="1"/>
        <v>Espresso</v>
      </c>
      <c r="H443" s="13" t="str">
        <f ca="1"/>
        <v>Coffee</v>
      </c>
      <c r="I443" s="13">
        <f ca="1">IFERROR(__xludf.DUMMYFUNCTION("""COMPUTED_VALUE"""),16)</f>
        <v>16</v>
      </c>
      <c r="J443" s="13">
        <f ca="1">IFERROR(__xludf.DUMMYFUNCTION("""COMPUTED_VALUE"""),9)</f>
        <v>9</v>
      </c>
      <c r="K443" s="13">
        <f ca="1">IFERROR(__xludf.DUMMYFUNCTION("""COMPUTED_VALUE"""),2025)</f>
        <v>2025</v>
      </c>
      <c r="L443" s="15">
        <f ca="1"/>
        <v>45916</v>
      </c>
    </row>
    <row r="444" spans="1:12">
      <c r="A444" s="12" t="str">
        <f ca="1">IFERROR(__xludf.DUMMYFUNCTION("""COMPUTED_VALUE"""),"15-09-2025")</f>
        <v>15-09-2025</v>
      </c>
      <c r="B444" s="13" t="str">
        <f ca="1">IFERROR(__xludf.DUMMYFUNCTION("""COMPUTED_VALUE"""),"Bandung")</f>
        <v>Bandung</v>
      </c>
      <c r="C444" s="13" t="str">
        <f ca="1">IFERROR(__xludf.DUMMYFUNCTION("""COMPUTED_VALUE"""),"P04")</f>
        <v>P04</v>
      </c>
      <c r="D444" s="13">
        <f ca="1">IFERROR(__xludf.DUMMYFUNCTION("""COMPUTED_VALUE"""),2)</f>
        <v>2</v>
      </c>
      <c r="E444" s="14">
        <f ca="1">IFERROR(__xludf.DUMMYFUNCTION("""COMPUTED_VALUE"""),35000)</f>
        <v>35000</v>
      </c>
      <c r="F444" s="14">
        <f ca="1">IFERROR(__xludf.DUMMYFUNCTION("""COMPUTED_VALUE"""),70000)</f>
        <v>70000</v>
      </c>
      <c r="G444" s="13" t="str">
        <f ca="1"/>
        <v>Americano</v>
      </c>
      <c r="H444" s="13" t="str">
        <f ca="1"/>
        <v>Coffee</v>
      </c>
      <c r="I444" s="13">
        <f ca="1">IFERROR(__xludf.DUMMYFUNCTION("""COMPUTED_VALUE"""),15)</f>
        <v>15</v>
      </c>
      <c r="J444" s="13">
        <f ca="1">IFERROR(__xludf.DUMMYFUNCTION("""COMPUTED_VALUE"""),9)</f>
        <v>9</v>
      </c>
      <c r="K444" s="13">
        <f ca="1">IFERROR(__xludf.DUMMYFUNCTION("""COMPUTED_VALUE"""),2025)</f>
        <v>2025</v>
      </c>
      <c r="L444" s="15">
        <f ca="1"/>
        <v>45915</v>
      </c>
    </row>
    <row r="445" spans="1:12">
      <c r="A445" s="12" t="str">
        <f ca="1">IFERROR(__xludf.DUMMYFUNCTION("""COMPUTED_VALUE"""),"21-09-2025")</f>
        <v>21-09-2025</v>
      </c>
      <c r="B445" s="13" t="str">
        <f ca="1">IFERROR(__xludf.DUMMYFUNCTION("""COMPUTED_VALUE"""),"Bandung")</f>
        <v>Bandung</v>
      </c>
      <c r="C445" s="13" t="str">
        <f ca="1">IFERROR(__xludf.DUMMYFUNCTION("""COMPUTED_VALUE"""),"P05")</f>
        <v>P05</v>
      </c>
      <c r="D445" s="13">
        <f ca="1">IFERROR(__xludf.DUMMYFUNCTION("""COMPUTED_VALUE"""),2)</f>
        <v>2</v>
      </c>
      <c r="E445" s="14">
        <f ca="1">IFERROR(__xludf.DUMMYFUNCTION("""COMPUTED_VALUE"""),30000)</f>
        <v>30000</v>
      </c>
      <c r="F445" s="14">
        <f ca="1">IFERROR(__xludf.DUMMYFUNCTION("""COMPUTED_VALUE"""),60000)</f>
        <v>60000</v>
      </c>
      <c r="G445" s="13" t="str">
        <f ca="1"/>
        <v>Mocha</v>
      </c>
      <c r="H445" s="13" t="str">
        <f ca="1"/>
        <v>Chocolate</v>
      </c>
      <c r="I445" s="13">
        <f ca="1">IFERROR(__xludf.DUMMYFUNCTION("""COMPUTED_VALUE"""),21)</f>
        <v>21</v>
      </c>
      <c r="J445" s="13">
        <f ca="1">IFERROR(__xludf.DUMMYFUNCTION("""COMPUTED_VALUE"""),9)</f>
        <v>9</v>
      </c>
      <c r="K445" s="13">
        <f ca="1">IFERROR(__xludf.DUMMYFUNCTION("""COMPUTED_VALUE"""),2025)</f>
        <v>2025</v>
      </c>
      <c r="L445" s="15">
        <f ca="1"/>
        <v>45921</v>
      </c>
    </row>
    <row r="446" spans="1:12">
      <c r="A446" s="12" t="str">
        <f ca="1">IFERROR(__xludf.DUMMYFUNCTION("""COMPUTED_VALUE"""),"14-09-2025")</f>
        <v>14-09-2025</v>
      </c>
      <c r="B446" s="13" t="str">
        <f ca="1">IFERROR(__xludf.DUMMYFUNCTION("""COMPUTED_VALUE"""),"Bandung")</f>
        <v>Bandung</v>
      </c>
      <c r="C446" s="13" t="str">
        <f ca="1">IFERROR(__xludf.DUMMYFUNCTION("""COMPUTED_VALUE"""),"P03")</f>
        <v>P03</v>
      </c>
      <c r="D446" s="13">
        <f ca="1">IFERROR(__xludf.DUMMYFUNCTION("""COMPUTED_VALUE"""),1)</f>
        <v>1</v>
      </c>
      <c r="E446" s="14">
        <f ca="1">IFERROR(__xludf.DUMMYFUNCTION("""COMPUTED_VALUE"""),35000)</f>
        <v>35000</v>
      </c>
      <c r="F446" s="14">
        <f ca="1">IFERROR(__xludf.DUMMYFUNCTION("""COMPUTED_VALUE"""),35000)</f>
        <v>35000</v>
      </c>
      <c r="G446" s="13" t="str">
        <f ca="1"/>
        <v>Espresso</v>
      </c>
      <c r="H446" s="13" t="str">
        <f ca="1"/>
        <v>Coffee</v>
      </c>
      <c r="I446" s="13">
        <f ca="1">IFERROR(__xludf.DUMMYFUNCTION("""COMPUTED_VALUE"""),14)</f>
        <v>14</v>
      </c>
      <c r="J446" s="13">
        <f ca="1">IFERROR(__xludf.DUMMYFUNCTION("""COMPUTED_VALUE"""),9)</f>
        <v>9</v>
      </c>
      <c r="K446" s="13">
        <f ca="1">IFERROR(__xludf.DUMMYFUNCTION("""COMPUTED_VALUE"""),2025)</f>
        <v>2025</v>
      </c>
      <c r="L446" s="15">
        <f ca="1"/>
        <v>45914</v>
      </c>
    </row>
    <row r="447" spans="1:12">
      <c r="A447" s="12" t="str">
        <f ca="1">IFERROR(__xludf.DUMMYFUNCTION("""COMPUTED_VALUE"""),"16-09-2025")</f>
        <v>16-09-2025</v>
      </c>
      <c r="B447" s="13" t="str">
        <f ca="1">IFERROR(__xludf.DUMMYFUNCTION("""COMPUTED_VALUE"""),"Bandung")</f>
        <v>Bandung</v>
      </c>
      <c r="C447" s="13" t="str">
        <f ca="1">IFERROR(__xludf.DUMMYFUNCTION("""COMPUTED_VALUE"""),"P04")</f>
        <v>P04</v>
      </c>
      <c r="D447" s="13">
        <f ca="1">IFERROR(__xludf.DUMMYFUNCTION("""COMPUTED_VALUE"""),3)</f>
        <v>3</v>
      </c>
      <c r="E447" s="14">
        <f ca="1">IFERROR(__xludf.DUMMYFUNCTION("""COMPUTED_VALUE"""),28000)</f>
        <v>28000</v>
      </c>
      <c r="F447" s="14">
        <f ca="1">IFERROR(__xludf.DUMMYFUNCTION("""COMPUTED_VALUE"""),84000)</f>
        <v>84000</v>
      </c>
      <c r="G447" s="13" t="str">
        <f ca="1"/>
        <v>Americano</v>
      </c>
      <c r="H447" s="13" t="str">
        <f ca="1"/>
        <v>Coffee</v>
      </c>
      <c r="I447" s="13">
        <f ca="1">IFERROR(__xludf.DUMMYFUNCTION("""COMPUTED_VALUE"""),16)</f>
        <v>16</v>
      </c>
      <c r="J447" s="13">
        <f ca="1">IFERROR(__xludf.DUMMYFUNCTION("""COMPUTED_VALUE"""),9)</f>
        <v>9</v>
      </c>
      <c r="K447" s="13">
        <f ca="1">IFERROR(__xludf.DUMMYFUNCTION("""COMPUTED_VALUE"""),2025)</f>
        <v>2025</v>
      </c>
      <c r="L447" s="15">
        <f ca="1"/>
        <v>45916</v>
      </c>
    </row>
    <row r="448" spans="1:12">
      <c r="A448" s="12" t="str">
        <f ca="1">IFERROR(__xludf.DUMMYFUNCTION("""COMPUTED_VALUE"""),"24-09-2025")</f>
        <v>24-09-2025</v>
      </c>
      <c r="B448" s="13" t="str">
        <f ca="1">IFERROR(__xludf.DUMMYFUNCTION("""COMPUTED_VALUE"""),"Bandung")</f>
        <v>Bandung</v>
      </c>
      <c r="C448" s="13" t="str">
        <f ca="1">IFERROR(__xludf.DUMMYFUNCTION("""COMPUTED_VALUE"""),"P05")</f>
        <v>P05</v>
      </c>
      <c r="D448" s="13">
        <f ca="1">IFERROR(__xludf.DUMMYFUNCTION("""COMPUTED_VALUE"""),2)</f>
        <v>2</v>
      </c>
      <c r="E448" s="14">
        <f ca="1">IFERROR(__xludf.DUMMYFUNCTION("""COMPUTED_VALUE"""),25000)</f>
        <v>25000</v>
      </c>
      <c r="F448" s="14">
        <f ca="1">IFERROR(__xludf.DUMMYFUNCTION("""COMPUTED_VALUE"""),50000)</f>
        <v>50000</v>
      </c>
      <c r="G448" s="13" t="str">
        <f ca="1"/>
        <v>Mocha</v>
      </c>
      <c r="H448" s="13" t="str">
        <f ca="1"/>
        <v>Chocolate</v>
      </c>
      <c r="I448" s="13">
        <f ca="1">IFERROR(__xludf.DUMMYFUNCTION("""COMPUTED_VALUE"""),24)</f>
        <v>24</v>
      </c>
      <c r="J448" s="13">
        <f ca="1">IFERROR(__xludf.DUMMYFUNCTION("""COMPUTED_VALUE"""),9)</f>
        <v>9</v>
      </c>
      <c r="K448" s="13">
        <f ca="1">IFERROR(__xludf.DUMMYFUNCTION("""COMPUTED_VALUE"""),2025)</f>
        <v>2025</v>
      </c>
      <c r="L448" s="15">
        <f ca="1"/>
        <v>45924</v>
      </c>
    </row>
    <row r="449" spans="1:12">
      <c r="A449" s="12" t="str">
        <f ca="1">IFERROR(__xludf.DUMMYFUNCTION("""COMPUTED_VALUE"""),"27-09-2025")</f>
        <v>27-09-2025</v>
      </c>
      <c r="B449" s="13" t="str">
        <f ca="1">IFERROR(__xludf.DUMMYFUNCTION("""COMPUTED_VALUE"""),"Bandung")</f>
        <v>Bandung</v>
      </c>
      <c r="C449" s="13" t="str">
        <f ca="1">IFERROR(__xludf.DUMMYFUNCTION("""COMPUTED_VALUE"""),"P01")</f>
        <v>P01</v>
      </c>
      <c r="D449" s="13">
        <f ca="1">IFERROR(__xludf.DUMMYFUNCTION("""COMPUTED_VALUE"""),1)</f>
        <v>1</v>
      </c>
      <c r="E449" s="14">
        <f ca="1">IFERROR(__xludf.DUMMYFUNCTION("""COMPUTED_VALUE"""),30000)</f>
        <v>30000</v>
      </c>
      <c r="F449" s="14">
        <f ca="1">IFERROR(__xludf.DUMMYFUNCTION("""COMPUTED_VALUE"""),30000)</f>
        <v>30000</v>
      </c>
      <c r="G449" s="13" t="str">
        <f ca="1"/>
        <v>Cappuccino</v>
      </c>
      <c r="H449" s="13" t="str">
        <f ca="1"/>
        <v>Coffee</v>
      </c>
      <c r="I449" s="13">
        <f ca="1">IFERROR(__xludf.DUMMYFUNCTION("""COMPUTED_VALUE"""),27)</f>
        <v>27</v>
      </c>
      <c r="J449" s="13">
        <f ca="1">IFERROR(__xludf.DUMMYFUNCTION("""COMPUTED_VALUE"""),9)</f>
        <v>9</v>
      </c>
      <c r="K449" s="13">
        <f ca="1">IFERROR(__xludf.DUMMYFUNCTION("""COMPUTED_VALUE"""),2025)</f>
        <v>2025</v>
      </c>
      <c r="L449" s="15">
        <f ca="1"/>
        <v>45927</v>
      </c>
    </row>
    <row r="450" spans="1:12">
      <c r="A450" s="12" t="str">
        <f ca="1">IFERROR(__xludf.DUMMYFUNCTION("""COMPUTED_VALUE"""),"23-09-2025")</f>
        <v>23-09-2025</v>
      </c>
      <c r="B450" s="13" t="str">
        <f ca="1">IFERROR(__xludf.DUMMYFUNCTION("""COMPUTED_VALUE"""),"Bandung")</f>
        <v>Bandung</v>
      </c>
      <c r="C450" s="13" t="str">
        <f ca="1">IFERROR(__xludf.DUMMYFUNCTION("""COMPUTED_VALUE"""),"P02")</f>
        <v>P02</v>
      </c>
      <c r="D450" s="13">
        <f ca="1">IFERROR(__xludf.DUMMYFUNCTION("""COMPUTED_VALUE"""),3)</f>
        <v>3</v>
      </c>
      <c r="E450" s="14">
        <f ca="1">IFERROR(__xludf.DUMMYFUNCTION("""COMPUTED_VALUE"""),30000)</f>
        <v>30000</v>
      </c>
      <c r="F450" s="14">
        <f ca="1">IFERROR(__xludf.DUMMYFUNCTION("""COMPUTED_VALUE"""),90000)</f>
        <v>90000</v>
      </c>
      <c r="G450" s="13" t="str">
        <f ca="1"/>
        <v>Latte</v>
      </c>
      <c r="H450" s="13" t="str">
        <f ca="1"/>
        <v>Coffee</v>
      </c>
      <c r="I450" s="13">
        <f ca="1">IFERROR(__xludf.DUMMYFUNCTION("""COMPUTED_VALUE"""),23)</f>
        <v>23</v>
      </c>
      <c r="J450" s="13">
        <f ca="1">IFERROR(__xludf.DUMMYFUNCTION("""COMPUTED_VALUE"""),9)</f>
        <v>9</v>
      </c>
      <c r="K450" s="13">
        <f ca="1">IFERROR(__xludf.DUMMYFUNCTION("""COMPUTED_VALUE"""),2025)</f>
        <v>2025</v>
      </c>
      <c r="L450" s="15">
        <f ca="1"/>
        <v>45923</v>
      </c>
    </row>
    <row r="451" spans="1:12">
      <c r="A451" s="12" t="str">
        <f ca="1">IFERROR(__xludf.DUMMYFUNCTION("""COMPUTED_VALUE"""),"14-09-2025")</f>
        <v>14-09-2025</v>
      </c>
      <c r="B451" s="13" t="str">
        <f ca="1">IFERROR(__xludf.DUMMYFUNCTION("""COMPUTED_VALUE"""),"Bandung")</f>
        <v>Bandung</v>
      </c>
      <c r="C451" s="13" t="str">
        <f ca="1">IFERROR(__xludf.DUMMYFUNCTION("""COMPUTED_VALUE"""),"P03")</f>
        <v>P03</v>
      </c>
      <c r="D451" s="13">
        <f ca="1">IFERROR(__xludf.DUMMYFUNCTION("""COMPUTED_VALUE"""),1)</f>
        <v>1</v>
      </c>
      <c r="E451" s="14">
        <f ca="1">IFERROR(__xludf.DUMMYFUNCTION("""COMPUTED_VALUE"""),20000)</f>
        <v>20000</v>
      </c>
      <c r="F451" s="14">
        <f ca="1">IFERROR(__xludf.DUMMYFUNCTION("""COMPUTED_VALUE"""),20000)</f>
        <v>20000</v>
      </c>
      <c r="G451" s="13" t="str">
        <f ca="1"/>
        <v>Espresso</v>
      </c>
      <c r="H451" s="13" t="str">
        <f ca="1"/>
        <v>Coffee</v>
      </c>
      <c r="I451" s="13">
        <f ca="1">IFERROR(__xludf.DUMMYFUNCTION("""COMPUTED_VALUE"""),14)</f>
        <v>14</v>
      </c>
      <c r="J451" s="13">
        <f ca="1">IFERROR(__xludf.DUMMYFUNCTION("""COMPUTED_VALUE"""),9)</f>
        <v>9</v>
      </c>
      <c r="K451" s="13">
        <f ca="1">IFERROR(__xludf.DUMMYFUNCTION("""COMPUTED_VALUE"""),2025)</f>
        <v>2025</v>
      </c>
      <c r="L451" s="15">
        <f ca="1"/>
        <v>45914</v>
      </c>
    </row>
    <row r="452" spans="1:12">
      <c r="A452" s="12" t="str">
        <f ca="1">IFERROR(__xludf.DUMMYFUNCTION("""COMPUTED_VALUE"""),"11-09-2025")</f>
        <v>11-09-2025</v>
      </c>
      <c r="B452" s="13" t="str">
        <f ca="1">IFERROR(__xludf.DUMMYFUNCTION("""COMPUTED_VALUE"""),"Bandung")</f>
        <v>Bandung</v>
      </c>
      <c r="C452" s="13" t="str">
        <f ca="1">IFERROR(__xludf.DUMMYFUNCTION("""COMPUTED_VALUE"""),"P04")</f>
        <v>P04</v>
      </c>
      <c r="D452" s="13">
        <f ca="1">IFERROR(__xludf.DUMMYFUNCTION("""COMPUTED_VALUE"""),5)</f>
        <v>5</v>
      </c>
      <c r="E452" s="14">
        <f ca="1">IFERROR(__xludf.DUMMYFUNCTION("""COMPUTED_VALUE"""),28000)</f>
        <v>28000</v>
      </c>
      <c r="F452" s="14">
        <f ca="1">IFERROR(__xludf.DUMMYFUNCTION("""COMPUTED_VALUE"""),140000)</f>
        <v>140000</v>
      </c>
      <c r="G452" s="13" t="str">
        <f ca="1"/>
        <v>Americano</v>
      </c>
      <c r="H452" s="13" t="str">
        <f ca="1"/>
        <v>Coffee</v>
      </c>
      <c r="I452" s="13">
        <f ca="1">IFERROR(__xludf.DUMMYFUNCTION("""COMPUTED_VALUE"""),11)</f>
        <v>11</v>
      </c>
      <c r="J452" s="13">
        <f ca="1">IFERROR(__xludf.DUMMYFUNCTION("""COMPUTED_VALUE"""),9)</f>
        <v>9</v>
      </c>
      <c r="K452" s="13">
        <f ca="1">IFERROR(__xludf.DUMMYFUNCTION("""COMPUTED_VALUE"""),2025)</f>
        <v>2025</v>
      </c>
      <c r="L452" s="15">
        <f ca="1"/>
        <v>45911</v>
      </c>
    </row>
    <row r="453" spans="1:12">
      <c r="A453" s="12" t="str">
        <f ca="1">IFERROR(__xludf.DUMMYFUNCTION("""COMPUTED_VALUE"""),"01-09-2025")</f>
        <v>01-09-2025</v>
      </c>
      <c r="B453" s="13" t="str">
        <f ca="1">IFERROR(__xludf.DUMMYFUNCTION("""COMPUTED_VALUE"""),"Bandung")</f>
        <v>Bandung</v>
      </c>
      <c r="C453" s="13" t="str">
        <f ca="1">IFERROR(__xludf.DUMMYFUNCTION("""COMPUTED_VALUE"""),"P05")</f>
        <v>P05</v>
      </c>
      <c r="D453" s="13">
        <f ca="1">IFERROR(__xludf.DUMMYFUNCTION("""COMPUTED_VALUE"""),3)</f>
        <v>3</v>
      </c>
      <c r="E453" s="14">
        <f ca="1">IFERROR(__xludf.DUMMYFUNCTION("""COMPUTED_VALUE"""),20000)</f>
        <v>20000</v>
      </c>
      <c r="F453" s="14">
        <f ca="1">IFERROR(__xludf.DUMMYFUNCTION("""COMPUTED_VALUE"""),60000)</f>
        <v>60000</v>
      </c>
      <c r="G453" s="13" t="str">
        <f ca="1"/>
        <v>Mocha</v>
      </c>
      <c r="H453" s="13" t="str">
        <f ca="1"/>
        <v>Chocolate</v>
      </c>
      <c r="I453" s="13">
        <f ca="1">IFERROR(__xludf.DUMMYFUNCTION("""COMPUTED_VALUE"""),1)</f>
        <v>1</v>
      </c>
      <c r="J453" s="13">
        <f ca="1">IFERROR(__xludf.DUMMYFUNCTION("""COMPUTED_VALUE"""),9)</f>
        <v>9</v>
      </c>
      <c r="K453" s="13">
        <f ca="1">IFERROR(__xludf.DUMMYFUNCTION("""COMPUTED_VALUE"""),2025)</f>
        <v>2025</v>
      </c>
      <c r="L453" s="15">
        <f ca="1"/>
        <v>45901</v>
      </c>
    </row>
    <row r="454" spans="1:12">
      <c r="A454" s="12" t="str">
        <f ca="1">IFERROR(__xludf.DUMMYFUNCTION("""COMPUTED_VALUE"""),"27-09-2025")</f>
        <v>27-09-2025</v>
      </c>
      <c r="B454" s="13" t="str">
        <f ca="1">IFERROR(__xludf.DUMMYFUNCTION("""COMPUTED_VALUE"""),"Bandung")</f>
        <v>Bandung</v>
      </c>
      <c r="C454" s="13" t="str">
        <f ca="1">IFERROR(__xludf.DUMMYFUNCTION("""COMPUTED_VALUE"""),"P01")</f>
        <v>P01</v>
      </c>
      <c r="D454" s="13">
        <f ca="1">IFERROR(__xludf.DUMMYFUNCTION("""COMPUTED_VALUE"""),2)</f>
        <v>2</v>
      </c>
      <c r="E454" s="14">
        <f ca="1">IFERROR(__xludf.DUMMYFUNCTION("""COMPUTED_VALUE"""),35000)</f>
        <v>35000</v>
      </c>
      <c r="F454" s="14">
        <f ca="1">IFERROR(__xludf.DUMMYFUNCTION("""COMPUTED_VALUE"""),70000)</f>
        <v>70000</v>
      </c>
      <c r="G454" s="13" t="str">
        <f ca="1"/>
        <v>Cappuccino</v>
      </c>
      <c r="H454" s="13" t="str">
        <f ca="1"/>
        <v>Coffee</v>
      </c>
      <c r="I454" s="13">
        <f ca="1">IFERROR(__xludf.DUMMYFUNCTION("""COMPUTED_VALUE"""),27)</f>
        <v>27</v>
      </c>
      <c r="J454" s="13">
        <f ca="1">IFERROR(__xludf.DUMMYFUNCTION("""COMPUTED_VALUE"""),9)</f>
        <v>9</v>
      </c>
      <c r="K454" s="13">
        <f ca="1">IFERROR(__xludf.DUMMYFUNCTION("""COMPUTED_VALUE"""),2025)</f>
        <v>2025</v>
      </c>
      <c r="L454" s="15">
        <f ca="1"/>
        <v>45927</v>
      </c>
    </row>
    <row r="455" spans="1:12">
      <c r="A455" s="12" t="str">
        <f ca="1">IFERROR(__xludf.DUMMYFUNCTION("""COMPUTED_VALUE"""),"02-09-2025")</f>
        <v>02-09-2025</v>
      </c>
      <c r="B455" s="13" t="str">
        <f ca="1">IFERROR(__xludf.DUMMYFUNCTION("""COMPUTED_VALUE"""),"Bandung")</f>
        <v>Bandung</v>
      </c>
      <c r="C455" s="13" t="str">
        <f ca="1">IFERROR(__xludf.DUMMYFUNCTION("""COMPUTED_VALUE"""),"P02")</f>
        <v>P02</v>
      </c>
      <c r="D455" s="13">
        <f ca="1">IFERROR(__xludf.DUMMYFUNCTION("""COMPUTED_VALUE"""),3)</f>
        <v>3</v>
      </c>
      <c r="E455" s="14">
        <f ca="1">IFERROR(__xludf.DUMMYFUNCTION("""COMPUTED_VALUE"""),30000)</f>
        <v>30000</v>
      </c>
      <c r="F455" s="14">
        <f ca="1">IFERROR(__xludf.DUMMYFUNCTION("""COMPUTED_VALUE"""),90000)</f>
        <v>90000</v>
      </c>
      <c r="G455" s="13" t="str">
        <f ca="1"/>
        <v>Latte</v>
      </c>
      <c r="H455" s="13" t="str">
        <f ca="1"/>
        <v>Coffee</v>
      </c>
      <c r="I455" s="13">
        <f ca="1">IFERROR(__xludf.DUMMYFUNCTION("""COMPUTED_VALUE"""),2)</f>
        <v>2</v>
      </c>
      <c r="J455" s="13">
        <f ca="1">IFERROR(__xludf.DUMMYFUNCTION("""COMPUTED_VALUE"""),9)</f>
        <v>9</v>
      </c>
      <c r="K455" s="13">
        <f ca="1">IFERROR(__xludf.DUMMYFUNCTION("""COMPUTED_VALUE"""),2025)</f>
        <v>2025</v>
      </c>
      <c r="L455" s="15">
        <f ca="1"/>
        <v>45902</v>
      </c>
    </row>
    <row r="456" spans="1:12">
      <c r="A456" s="12" t="str">
        <f ca="1">IFERROR(__xludf.DUMMYFUNCTION("""COMPUTED_VALUE"""),"16-09-2025")</f>
        <v>16-09-2025</v>
      </c>
      <c r="B456" s="13" t="str">
        <f ca="1">IFERROR(__xludf.DUMMYFUNCTION("""COMPUTED_VALUE"""),"Bandung")</f>
        <v>Bandung</v>
      </c>
      <c r="C456" s="13" t="str">
        <f ca="1">IFERROR(__xludf.DUMMYFUNCTION("""COMPUTED_VALUE"""),"P03")</f>
        <v>P03</v>
      </c>
      <c r="D456" s="13">
        <f ca="1">IFERROR(__xludf.DUMMYFUNCTION("""COMPUTED_VALUE"""),4)</f>
        <v>4</v>
      </c>
      <c r="E456" s="14">
        <f ca="1">IFERROR(__xludf.DUMMYFUNCTION("""COMPUTED_VALUE"""),30000)</f>
        <v>30000</v>
      </c>
      <c r="F456" s="14">
        <f ca="1">IFERROR(__xludf.DUMMYFUNCTION("""COMPUTED_VALUE"""),120000)</f>
        <v>120000</v>
      </c>
      <c r="G456" s="13" t="str">
        <f ca="1"/>
        <v>Espresso</v>
      </c>
      <c r="H456" s="13" t="str">
        <f ca="1"/>
        <v>Coffee</v>
      </c>
      <c r="I456" s="13">
        <f ca="1">IFERROR(__xludf.DUMMYFUNCTION("""COMPUTED_VALUE"""),16)</f>
        <v>16</v>
      </c>
      <c r="J456" s="13">
        <f ca="1">IFERROR(__xludf.DUMMYFUNCTION("""COMPUTED_VALUE"""),9)</f>
        <v>9</v>
      </c>
      <c r="K456" s="13">
        <f ca="1">IFERROR(__xludf.DUMMYFUNCTION("""COMPUTED_VALUE"""),2025)</f>
        <v>2025</v>
      </c>
      <c r="L456" s="15">
        <f ca="1"/>
        <v>45916</v>
      </c>
    </row>
    <row r="457" spans="1:12">
      <c r="A457" s="12" t="str">
        <f ca="1">IFERROR(__xludf.DUMMYFUNCTION("""COMPUTED_VALUE"""),"06-09-2025")</f>
        <v>06-09-2025</v>
      </c>
      <c r="B457" s="13" t="str">
        <f ca="1">IFERROR(__xludf.DUMMYFUNCTION("""COMPUTED_VALUE"""),"Bandung")</f>
        <v>Bandung</v>
      </c>
      <c r="C457" s="13" t="str">
        <f ca="1">IFERROR(__xludf.DUMMYFUNCTION("""COMPUTED_VALUE"""),"P04")</f>
        <v>P04</v>
      </c>
      <c r="D457" s="13">
        <f ca="1">IFERROR(__xludf.DUMMYFUNCTION("""COMPUTED_VALUE"""),3)</f>
        <v>3</v>
      </c>
      <c r="E457" s="14">
        <f ca="1">IFERROR(__xludf.DUMMYFUNCTION("""COMPUTED_VALUE"""),30000)</f>
        <v>30000</v>
      </c>
      <c r="F457" s="14">
        <f ca="1">IFERROR(__xludf.DUMMYFUNCTION("""COMPUTED_VALUE"""),90000)</f>
        <v>90000</v>
      </c>
      <c r="G457" s="13" t="str">
        <f ca="1"/>
        <v>Americano</v>
      </c>
      <c r="H457" s="13" t="str">
        <f ca="1"/>
        <v>Coffee</v>
      </c>
      <c r="I457" s="13">
        <f ca="1">IFERROR(__xludf.DUMMYFUNCTION("""COMPUTED_VALUE"""),6)</f>
        <v>6</v>
      </c>
      <c r="J457" s="13">
        <f ca="1">IFERROR(__xludf.DUMMYFUNCTION("""COMPUTED_VALUE"""),9)</f>
        <v>9</v>
      </c>
      <c r="K457" s="13">
        <f ca="1">IFERROR(__xludf.DUMMYFUNCTION("""COMPUTED_VALUE"""),2025)</f>
        <v>2025</v>
      </c>
      <c r="L457" s="15">
        <f ca="1"/>
        <v>45906</v>
      </c>
    </row>
    <row r="458" spans="1:12">
      <c r="A458" s="12" t="str">
        <f ca="1">IFERROR(__xludf.DUMMYFUNCTION("""COMPUTED_VALUE"""),"16-09-2025")</f>
        <v>16-09-2025</v>
      </c>
      <c r="B458" s="13" t="str">
        <f ca="1">IFERROR(__xludf.DUMMYFUNCTION("""COMPUTED_VALUE"""),"Bandung")</f>
        <v>Bandung</v>
      </c>
      <c r="C458" s="13" t="str">
        <f ca="1">IFERROR(__xludf.DUMMYFUNCTION("""COMPUTED_VALUE"""),"P05")</f>
        <v>P05</v>
      </c>
      <c r="D458" s="13">
        <f ca="1">IFERROR(__xludf.DUMMYFUNCTION("""COMPUTED_VALUE"""),3)</f>
        <v>3</v>
      </c>
      <c r="E458" s="14">
        <f ca="1">IFERROR(__xludf.DUMMYFUNCTION("""COMPUTED_VALUE"""),28000)</f>
        <v>28000</v>
      </c>
      <c r="F458" s="14">
        <f ca="1">IFERROR(__xludf.DUMMYFUNCTION("""COMPUTED_VALUE"""),84000)</f>
        <v>84000</v>
      </c>
      <c r="G458" s="13" t="str">
        <f ca="1"/>
        <v>Mocha</v>
      </c>
      <c r="H458" s="13" t="str">
        <f ca="1"/>
        <v>Chocolate</v>
      </c>
      <c r="I458" s="13">
        <f ca="1">IFERROR(__xludf.DUMMYFUNCTION("""COMPUTED_VALUE"""),16)</f>
        <v>16</v>
      </c>
      <c r="J458" s="13">
        <f ca="1">IFERROR(__xludf.DUMMYFUNCTION("""COMPUTED_VALUE"""),9)</f>
        <v>9</v>
      </c>
      <c r="K458" s="13">
        <f ca="1">IFERROR(__xludf.DUMMYFUNCTION("""COMPUTED_VALUE"""),2025)</f>
        <v>2025</v>
      </c>
      <c r="L458" s="15">
        <f ca="1"/>
        <v>45916</v>
      </c>
    </row>
    <row r="459" spans="1:12">
      <c r="A459" s="12" t="str">
        <f ca="1">IFERROR(__xludf.DUMMYFUNCTION("""COMPUTED_VALUE"""),"30-09-2025")</f>
        <v>30-09-2025</v>
      </c>
      <c r="B459" s="13" t="str">
        <f ca="1">IFERROR(__xludf.DUMMYFUNCTION("""COMPUTED_VALUE"""),"Bandung")</f>
        <v>Bandung</v>
      </c>
      <c r="C459" s="13" t="str">
        <f ca="1">IFERROR(__xludf.DUMMYFUNCTION("""COMPUTED_VALUE"""),"P01")</f>
        <v>P01</v>
      </c>
      <c r="D459" s="13">
        <f ca="1">IFERROR(__xludf.DUMMYFUNCTION("""COMPUTED_VALUE"""),2)</f>
        <v>2</v>
      </c>
      <c r="E459" s="14">
        <f ca="1">IFERROR(__xludf.DUMMYFUNCTION("""COMPUTED_VALUE"""),30000)</f>
        <v>30000</v>
      </c>
      <c r="F459" s="14">
        <f ca="1">IFERROR(__xludf.DUMMYFUNCTION("""COMPUTED_VALUE"""),60000)</f>
        <v>60000</v>
      </c>
      <c r="G459" s="13" t="str">
        <f ca="1"/>
        <v>Cappuccino</v>
      </c>
      <c r="H459" s="13" t="str">
        <f ca="1"/>
        <v>Coffee</v>
      </c>
      <c r="I459" s="13">
        <f ca="1">IFERROR(__xludf.DUMMYFUNCTION("""COMPUTED_VALUE"""),30)</f>
        <v>30</v>
      </c>
      <c r="J459" s="13">
        <f ca="1">IFERROR(__xludf.DUMMYFUNCTION("""COMPUTED_VALUE"""),9)</f>
        <v>9</v>
      </c>
      <c r="K459" s="13">
        <f ca="1">IFERROR(__xludf.DUMMYFUNCTION("""COMPUTED_VALUE"""),2025)</f>
        <v>2025</v>
      </c>
      <c r="L459" s="15">
        <f ca="1"/>
        <v>45930</v>
      </c>
    </row>
    <row r="460" spans="1:12">
      <c r="A460" s="12" t="str">
        <f ca="1">IFERROR(__xludf.DUMMYFUNCTION("""COMPUTED_VALUE"""),"25-09-2025")</f>
        <v>25-09-2025</v>
      </c>
      <c r="B460" s="13" t="str">
        <f ca="1">IFERROR(__xludf.DUMMYFUNCTION("""COMPUTED_VALUE"""),"Bandung")</f>
        <v>Bandung</v>
      </c>
      <c r="C460" s="13" t="str">
        <f ca="1">IFERROR(__xludf.DUMMYFUNCTION("""COMPUTED_VALUE"""),"P02")</f>
        <v>P02</v>
      </c>
      <c r="D460" s="13">
        <f ca="1">IFERROR(__xludf.DUMMYFUNCTION("""COMPUTED_VALUE"""),3)</f>
        <v>3</v>
      </c>
      <c r="E460" s="14">
        <f ca="1">IFERROR(__xludf.DUMMYFUNCTION("""COMPUTED_VALUE"""),20000)</f>
        <v>20000</v>
      </c>
      <c r="F460" s="14">
        <f ca="1">IFERROR(__xludf.DUMMYFUNCTION("""COMPUTED_VALUE"""),60000)</f>
        <v>60000</v>
      </c>
      <c r="G460" s="13" t="str">
        <f ca="1"/>
        <v>Latte</v>
      </c>
      <c r="H460" s="13" t="str">
        <f ca="1"/>
        <v>Coffee</v>
      </c>
      <c r="I460" s="13">
        <f ca="1">IFERROR(__xludf.DUMMYFUNCTION("""COMPUTED_VALUE"""),25)</f>
        <v>25</v>
      </c>
      <c r="J460" s="13">
        <f ca="1">IFERROR(__xludf.DUMMYFUNCTION("""COMPUTED_VALUE"""),9)</f>
        <v>9</v>
      </c>
      <c r="K460" s="13">
        <f ca="1">IFERROR(__xludf.DUMMYFUNCTION("""COMPUTED_VALUE"""),2025)</f>
        <v>2025</v>
      </c>
      <c r="L460" s="15">
        <f ca="1"/>
        <v>45925</v>
      </c>
    </row>
    <row r="461" spans="1:12">
      <c r="A461" s="12" t="str">
        <f ca="1">IFERROR(__xludf.DUMMYFUNCTION("""COMPUTED_VALUE"""),"02-09-2025")</f>
        <v>02-09-2025</v>
      </c>
      <c r="B461" s="13" t="str">
        <f ca="1">IFERROR(__xludf.DUMMYFUNCTION("""COMPUTED_VALUE"""),"Bandung")</f>
        <v>Bandung</v>
      </c>
      <c r="C461" s="13" t="str">
        <f ca="1">IFERROR(__xludf.DUMMYFUNCTION("""COMPUTED_VALUE"""),"P03")</f>
        <v>P03</v>
      </c>
      <c r="D461" s="13">
        <f ca="1">IFERROR(__xludf.DUMMYFUNCTION("""COMPUTED_VALUE"""),1)</f>
        <v>1</v>
      </c>
      <c r="E461" s="14">
        <f ca="1">IFERROR(__xludf.DUMMYFUNCTION("""COMPUTED_VALUE"""),35000)</f>
        <v>35000</v>
      </c>
      <c r="F461" s="14">
        <f ca="1">IFERROR(__xludf.DUMMYFUNCTION("""COMPUTED_VALUE"""),35000)</f>
        <v>35000</v>
      </c>
      <c r="G461" s="13" t="str">
        <f ca="1"/>
        <v>Espresso</v>
      </c>
      <c r="H461" s="13" t="str">
        <f ca="1"/>
        <v>Coffee</v>
      </c>
      <c r="I461" s="13">
        <f ca="1">IFERROR(__xludf.DUMMYFUNCTION("""COMPUTED_VALUE"""),2)</f>
        <v>2</v>
      </c>
      <c r="J461" s="13">
        <f ca="1">IFERROR(__xludf.DUMMYFUNCTION("""COMPUTED_VALUE"""),9)</f>
        <v>9</v>
      </c>
      <c r="K461" s="13">
        <f ca="1">IFERROR(__xludf.DUMMYFUNCTION("""COMPUTED_VALUE"""),2025)</f>
        <v>2025</v>
      </c>
      <c r="L461" s="15">
        <f ca="1"/>
        <v>45902</v>
      </c>
    </row>
    <row r="462" spans="1:12">
      <c r="A462" s="12" t="str">
        <f ca="1">IFERROR(__xludf.DUMMYFUNCTION("""COMPUTED_VALUE"""),"16-09-2025")</f>
        <v>16-09-2025</v>
      </c>
      <c r="B462" s="13" t="str">
        <f ca="1">IFERROR(__xludf.DUMMYFUNCTION("""COMPUTED_VALUE"""),"Bandung")</f>
        <v>Bandung</v>
      </c>
      <c r="C462" s="13" t="str">
        <f ca="1">IFERROR(__xludf.DUMMYFUNCTION("""COMPUTED_VALUE"""),"P04")</f>
        <v>P04</v>
      </c>
      <c r="D462" s="13">
        <f ca="1">IFERROR(__xludf.DUMMYFUNCTION("""COMPUTED_VALUE"""),1)</f>
        <v>1</v>
      </c>
      <c r="E462" s="14">
        <f ca="1">IFERROR(__xludf.DUMMYFUNCTION("""COMPUTED_VALUE"""),30000)</f>
        <v>30000</v>
      </c>
      <c r="F462" s="14">
        <f ca="1">IFERROR(__xludf.DUMMYFUNCTION("""COMPUTED_VALUE"""),30000)</f>
        <v>30000</v>
      </c>
      <c r="G462" s="13" t="str">
        <f ca="1"/>
        <v>Americano</v>
      </c>
      <c r="H462" s="13" t="str">
        <f ca="1"/>
        <v>Coffee</v>
      </c>
      <c r="I462" s="13">
        <f ca="1">IFERROR(__xludf.DUMMYFUNCTION("""COMPUTED_VALUE"""),16)</f>
        <v>16</v>
      </c>
      <c r="J462" s="13">
        <f ca="1">IFERROR(__xludf.DUMMYFUNCTION("""COMPUTED_VALUE"""),9)</f>
        <v>9</v>
      </c>
      <c r="K462" s="13">
        <f ca="1">IFERROR(__xludf.DUMMYFUNCTION("""COMPUTED_VALUE"""),2025)</f>
        <v>2025</v>
      </c>
      <c r="L462" s="15">
        <f ca="1"/>
        <v>45916</v>
      </c>
    </row>
    <row r="463" spans="1:12">
      <c r="A463" s="12" t="str">
        <f ca="1">IFERROR(__xludf.DUMMYFUNCTION("""COMPUTED_VALUE"""),"03-09-2025")</f>
        <v>03-09-2025</v>
      </c>
      <c r="B463" s="13" t="str">
        <f ca="1">IFERROR(__xludf.DUMMYFUNCTION("""COMPUTED_VALUE"""),"Bandung")</f>
        <v>Bandung</v>
      </c>
      <c r="C463" s="13" t="str">
        <f ca="1">IFERROR(__xludf.DUMMYFUNCTION("""COMPUTED_VALUE"""),"P05")</f>
        <v>P05</v>
      </c>
      <c r="D463" s="13">
        <f ca="1">IFERROR(__xludf.DUMMYFUNCTION("""COMPUTED_VALUE"""),1)</f>
        <v>1</v>
      </c>
      <c r="E463" s="14">
        <f ca="1">IFERROR(__xludf.DUMMYFUNCTION("""COMPUTED_VALUE"""),35000)</f>
        <v>35000</v>
      </c>
      <c r="F463" s="14">
        <f ca="1">IFERROR(__xludf.DUMMYFUNCTION("""COMPUTED_VALUE"""),35000)</f>
        <v>35000</v>
      </c>
      <c r="G463" s="13" t="str">
        <f ca="1"/>
        <v>Mocha</v>
      </c>
      <c r="H463" s="13" t="str">
        <f ca="1"/>
        <v>Chocolate</v>
      </c>
      <c r="I463" s="13">
        <f ca="1">IFERROR(__xludf.DUMMYFUNCTION("""COMPUTED_VALUE"""),3)</f>
        <v>3</v>
      </c>
      <c r="J463" s="13">
        <f ca="1">IFERROR(__xludf.DUMMYFUNCTION("""COMPUTED_VALUE"""),9)</f>
        <v>9</v>
      </c>
      <c r="K463" s="13">
        <f ca="1">IFERROR(__xludf.DUMMYFUNCTION("""COMPUTED_VALUE"""),2025)</f>
        <v>2025</v>
      </c>
      <c r="L463" s="15">
        <f ca="1"/>
        <v>45903</v>
      </c>
    </row>
    <row r="464" spans="1:12">
      <c r="A464" s="12" t="str">
        <f ca="1">IFERROR(__xludf.DUMMYFUNCTION("""COMPUTED_VALUE"""),"16-09-2025")</f>
        <v>16-09-2025</v>
      </c>
      <c r="B464" s="13" t="str">
        <f ca="1">IFERROR(__xludf.DUMMYFUNCTION("""COMPUTED_VALUE"""),"Bandung")</f>
        <v>Bandung</v>
      </c>
      <c r="C464" s="13" t="str">
        <f ca="1">IFERROR(__xludf.DUMMYFUNCTION("""COMPUTED_VALUE"""),"P01")</f>
        <v>P01</v>
      </c>
      <c r="D464" s="13">
        <f ca="1">IFERROR(__xludf.DUMMYFUNCTION("""COMPUTED_VALUE"""),3)</f>
        <v>3</v>
      </c>
      <c r="E464" s="14">
        <f ca="1">IFERROR(__xludf.DUMMYFUNCTION("""COMPUTED_VALUE"""),25000)</f>
        <v>25000</v>
      </c>
      <c r="F464" s="14">
        <f ca="1">IFERROR(__xludf.DUMMYFUNCTION("""COMPUTED_VALUE"""),75000)</f>
        <v>75000</v>
      </c>
      <c r="G464" s="13" t="str">
        <f ca="1"/>
        <v>Cappuccino</v>
      </c>
      <c r="H464" s="13" t="str">
        <f ca="1"/>
        <v>Coffee</v>
      </c>
      <c r="I464" s="13">
        <f ca="1">IFERROR(__xludf.DUMMYFUNCTION("""COMPUTED_VALUE"""),16)</f>
        <v>16</v>
      </c>
      <c r="J464" s="13">
        <f ca="1">IFERROR(__xludf.DUMMYFUNCTION("""COMPUTED_VALUE"""),9)</f>
        <v>9</v>
      </c>
      <c r="K464" s="13">
        <f ca="1">IFERROR(__xludf.DUMMYFUNCTION("""COMPUTED_VALUE"""),2025)</f>
        <v>2025</v>
      </c>
      <c r="L464" s="15">
        <f ca="1"/>
        <v>45916</v>
      </c>
    </row>
    <row r="465" spans="1:12">
      <c r="A465" s="12" t="str">
        <f ca="1">IFERROR(__xludf.DUMMYFUNCTION("""COMPUTED_VALUE"""),"12-09-2025")</f>
        <v>12-09-2025</v>
      </c>
      <c r="B465" s="13" t="str">
        <f ca="1">IFERROR(__xludf.DUMMYFUNCTION("""COMPUTED_VALUE"""),"Bandung")</f>
        <v>Bandung</v>
      </c>
      <c r="C465" s="13" t="str">
        <f ca="1">IFERROR(__xludf.DUMMYFUNCTION("""COMPUTED_VALUE"""),"P02")</f>
        <v>P02</v>
      </c>
      <c r="D465" s="13">
        <f ca="1">IFERROR(__xludf.DUMMYFUNCTION("""COMPUTED_VALUE"""),4)</f>
        <v>4</v>
      </c>
      <c r="E465" s="14">
        <f ca="1">IFERROR(__xludf.DUMMYFUNCTION("""COMPUTED_VALUE"""),30000)</f>
        <v>30000</v>
      </c>
      <c r="F465" s="14">
        <f ca="1">IFERROR(__xludf.DUMMYFUNCTION("""COMPUTED_VALUE"""),120000)</f>
        <v>120000</v>
      </c>
      <c r="G465" s="13" t="str">
        <f ca="1"/>
        <v>Latte</v>
      </c>
      <c r="H465" s="13" t="str">
        <f ca="1"/>
        <v>Coffee</v>
      </c>
      <c r="I465" s="13">
        <f ca="1">IFERROR(__xludf.DUMMYFUNCTION("""COMPUTED_VALUE"""),12)</f>
        <v>12</v>
      </c>
      <c r="J465" s="13">
        <f ca="1">IFERROR(__xludf.DUMMYFUNCTION("""COMPUTED_VALUE"""),9)</f>
        <v>9</v>
      </c>
      <c r="K465" s="13">
        <f ca="1">IFERROR(__xludf.DUMMYFUNCTION("""COMPUTED_VALUE"""),2025)</f>
        <v>2025</v>
      </c>
      <c r="L465" s="15">
        <f ca="1"/>
        <v>45912</v>
      </c>
    </row>
    <row r="466" spans="1:12">
      <c r="A466" s="12" t="str">
        <f ca="1">IFERROR(__xludf.DUMMYFUNCTION("""COMPUTED_VALUE"""),"26-09-2025")</f>
        <v>26-09-2025</v>
      </c>
      <c r="B466" s="13" t="str">
        <f ca="1">IFERROR(__xludf.DUMMYFUNCTION("""COMPUTED_VALUE"""),"Bandung")</f>
        <v>Bandung</v>
      </c>
      <c r="C466" s="13" t="str">
        <f ca="1">IFERROR(__xludf.DUMMYFUNCTION("""COMPUTED_VALUE"""),"P03")</f>
        <v>P03</v>
      </c>
      <c r="D466" s="13">
        <f ca="1">IFERROR(__xludf.DUMMYFUNCTION("""COMPUTED_VALUE"""),1)</f>
        <v>1</v>
      </c>
      <c r="E466" s="14">
        <f ca="1">IFERROR(__xludf.DUMMYFUNCTION("""COMPUTED_VALUE"""),25000)</f>
        <v>25000</v>
      </c>
      <c r="F466" s="14">
        <f ca="1">IFERROR(__xludf.DUMMYFUNCTION("""COMPUTED_VALUE"""),25000)</f>
        <v>25000</v>
      </c>
      <c r="G466" s="13" t="str">
        <f ca="1"/>
        <v>Espresso</v>
      </c>
      <c r="H466" s="13" t="str">
        <f ca="1"/>
        <v>Coffee</v>
      </c>
      <c r="I466" s="13">
        <f ca="1">IFERROR(__xludf.DUMMYFUNCTION("""COMPUTED_VALUE"""),26)</f>
        <v>26</v>
      </c>
      <c r="J466" s="13">
        <f ca="1">IFERROR(__xludf.DUMMYFUNCTION("""COMPUTED_VALUE"""),9)</f>
        <v>9</v>
      </c>
      <c r="K466" s="13">
        <f ca="1">IFERROR(__xludf.DUMMYFUNCTION("""COMPUTED_VALUE"""),2025)</f>
        <v>2025</v>
      </c>
      <c r="L466" s="15">
        <f ca="1"/>
        <v>45926</v>
      </c>
    </row>
    <row r="467" spans="1:12">
      <c r="A467" s="12" t="str">
        <f ca="1">IFERROR(__xludf.DUMMYFUNCTION("""COMPUTED_VALUE"""),"04-09-2025")</f>
        <v>04-09-2025</v>
      </c>
      <c r="B467" s="13" t="str">
        <f ca="1">IFERROR(__xludf.DUMMYFUNCTION("""COMPUTED_VALUE"""),"Bandung")</f>
        <v>Bandung</v>
      </c>
      <c r="C467" s="13" t="str">
        <f ca="1">IFERROR(__xludf.DUMMYFUNCTION("""COMPUTED_VALUE"""),"P04")</f>
        <v>P04</v>
      </c>
      <c r="D467" s="13">
        <f ca="1">IFERROR(__xludf.DUMMYFUNCTION("""COMPUTED_VALUE"""),3)</f>
        <v>3</v>
      </c>
      <c r="E467" s="14">
        <f ca="1">IFERROR(__xludf.DUMMYFUNCTION("""COMPUTED_VALUE"""),25000)</f>
        <v>25000</v>
      </c>
      <c r="F467" s="14">
        <f ca="1">IFERROR(__xludf.DUMMYFUNCTION("""COMPUTED_VALUE"""),75000)</f>
        <v>75000</v>
      </c>
      <c r="G467" s="13" t="str">
        <f ca="1"/>
        <v>Americano</v>
      </c>
      <c r="H467" s="13" t="str">
        <f ca="1"/>
        <v>Coffee</v>
      </c>
      <c r="I467" s="13">
        <f ca="1">IFERROR(__xludf.DUMMYFUNCTION("""COMPUTED_VALUE"""),4)</f>
        <v>4</v>
      </c>
      <c r="J467" s="13">
        <f ca="1">IFERROR(__xludf.DUMMYFUNCTION("""COMPUTED_VALUE"""),9)</f>
        <v>9</v>
      </c>
      <c r="K467" s="13">
        <f ca="1">IFERROR(__xludf.DUMMYFUNCTION("""COMPUTED_VALUE"""),2025)</f>
        <v>2025</v>
      </c>
      <c r="L467" s="15">
        <f ca="1"/>
        <v>45904</v>
      </c>
    </row>
    <row r="468" spans="1:12">
      <c r="A468" s="12" t="str">
        <f ca="1">IFERROR(__xludf.DUMMYFUNCTION("""COMPUTED_VALUE"""),"18-09-2025")</f>
        <v>18-09-2025</v>
      </c>
      <c r="B468" s="13" t="str">
        <f ca="1">IFERROR(__xludf.DUMMYFUNCTION("""COMPUTED_VALUE"""),"Bandung")</f>
        <v>Bandung</v>
      </c>
      <c r="C468" s="13" t="str">
        <f ca="1">IFERROR(__xludf.DUMMYFUNCTION("""COMPUTED_VALUE"""),"P05")</f>
        <v>P05</v>
      </c>
      <c r="D468" s="13">
        <f ca="1">IFERROR(__xludf.DUMMYFUNCTION("""COMPUTED_VALUE"""),4)</f>
        <v>4</v>
      </c>
      <c r="E468" s="14">
        <f ca="1">IFERROR(__xludf.DUMMYFUNCTION("""COMPUTED_VALUE"""),28000)</f>
        <v>28000</v>
      </c>
      <c r="F468" s="14">
        <f ca="1">IFERROR(__xludf.DUMMYFUNCTION("""COMPUTED_VALUE"""),112000)</f>
        <v>112000</v>
      </c>
      <c r="G468" s="13" t="str">
        <f ca="1"/>
        <v>Mocha</v>
      </c>
      <c r="H468" s="13" t="str">
        <f ca="1"/>
        <v>Chocolate</v>
      </c>
      <c r="I468" s="13">
        <f ca="1">IFERROR(__xludf.DUMMYFUNCTION("""COMPUTED_VALUE"""),18)</f>
        <v>18</v>
      </c>
      <c r="J468" s="13">
        <f ca="1">IFERROR(__xludf.DUMMYFUNCTION("""COMPUTED_VALUE"""),9)</f>
        <v>9</v>
      </c>
      <c r="K468" s="13">
        <f ca="1">IFERROR(__xludf.DUMMYFUNCTION("""COMPUTED_VALUE"""),2025)</f>
        <v>2025</v>
      </c>
      <c r="L468" s="15">
        <f ca="1"/>
        <v>45918</v>
      </c>
    </row>
    <row r="469" spans="1:12">
      <c r="A469" s="12" t="str">
        <f ca="1">IFERROR(__xludf.DUMMYFUNCTION("""COMPUTED_VALUE"""),"23-09-2025")</f>
        <v>23-09-2025</v>
      </c>
      <c r="B469" s="13" t="str">
        <f ca="1">IFERROR(__xludf.DUMMYFUNCTION("""COMPUTED_VALUE"""),"Bandung")</f>
        <v>Bandung</v>
      </c>
      <c r="C469" s="13" t="str">
        <f ca="1">IFERROR(__xludf.DUMMYFUNCTION("""COMPUTED_VALUE"""),"P01")</f>
        <v>P01</v>
      </c>
      <c r="D469" s="13">
        <f ca="1">IFERROR(__xludf.DUMMYFUNCTION("""COMPUTED_VALUE"""),1)</f>
        <v>1</v>
      </c>
      <c r="E469" s="14">
        <f ca="1">IFERROR(__xludf.DUMMYFUNCTION("""COMPUTED_VALUE"""),20000)</f>
        <v>20000</v>
      </c>
      <c r="F469" s="14">
        <f ca="1">IFERROR(__xludf.DUMMYFUNCTION("""COMPUTED_VALUE"""),20000)</f>
        <v>20000</v>
      </c>
      <c r="G469" s="13" t="str">
        <f ca="1"/>
        <v>Cappuccino</v>
      </c>
      <c r="H469" s="13" t="str">
        <f ca="1"/>
        <v>Coffee</v>
      </c>
      <c r="I469" s="13">
        <f ca="1">IFERROR(__xludf.DUMMYFUNCTION("""COMPUTED_VALUE"""),23)</f>
        <v>23</v>
      </c>
      <c r="J469" s="13">
        <f ca="1">IFERROR(__xludf.DUMMYFUNCTION("""COMPUTED_VALUE"""),9)</f>
        <v>9</v>
      </c>
      <c r="K469" s="13">
        <f ca="1">IFERROR(__xludf.DUMMYFUNCTION("""COMPUTED_VALUE"""),2025)</f>
        <v>2025</v>
      </c>
      <c r="L469" s="15">
        <f ca="1"/>
        <v>45923</v>
      </c>
    </row>
    <row r="470" spans="1:12">
      <c r="A470" s="12" t="str">
        <f ca="1">IFERROR(__xludf.DUMMYFUNCTION("""COMPUTED_VALUE"""),"12-09-2025")</f>
        <v>12-09-2025</v>
      </c>
      <c r="B470" s="13" t="str">
        <f ca="1">IFERROR(__xludf.DUMMYFUNCTION("""COMPUTED_VALUE"""),"Bandung")</f>
        <v>Bandung</v>
      </c>
      <c r="C470" s="13" t="str">
        <f ca="1">IFERROR(__xludf.DUMMYFUNCTION("""COMPUTED_VALUE"""),"P02")</f>
        <v>P02</v>
      </c>
      <c r="D470" s="13">
        <f ca="1">IFERROR(__xludf.DUMMYFUNCTION("""COMPUTED_VALUE"""),5)</f>
        <v>5</v>
      </c>
      <c r="E470" s="14">
        <f ca="1">IFERROR(__xludf.DUMMYFUNCTION("""COMPUTED_VALUE"""),30000)</f>
        <v>30000</v>
      </c>
      <c r="F470" s="14">
        <f ca="1">IFERROR(__xludf.DUMMYFUNCTION("""COMPUTED_VALUE"""),150000)</f>
        <v>150000</v>
      </c>
      <c r="G470" s="13" t="str">
        <f ca="1"/>
        <v>Latte</v>
      </c>
      <c r="H470" s="13" t="str">
        <f ca="1"/>
        <v>Coffee</v>
      </c>
      <c r="I470" s="13">
        <f ca="1">IFERROR(__xludf.DUMMYFUNCTION("""COMPUTED_VALUE"""),12)</f>
        <v>12</v>
      </c>
      <c r="J470" s="13">
        <f ca="1">IFERROR(__xludf.DUMMYFUNCTION("""COMPUTED_VALUE"""),9)</f>
        <v>9</v>
      </c>
      <c r="K470" s="13">
        <f ca="1">IFERROR(__xludf.DUMMYFUNCTION("""COMPUTED_VALUE"""),2025)</f>
        <v>2025</v>
      </c>
      <c r="L470" s="15">
        <f ca="1"/>
        <v>45912</v>
      </c>
    </row>
    <row r="471" spans="1:12">
      <c r="A471" s="12" t="str">
        <f ca="1">IFERROR(__xludf.DUMMYFUNCTION("""COMPUTED_VALUE"""),"18-09-2025")</f>
        <v>18-09-2025</v>
      </c>
      <c r="B471" s="13" t="str">
        <f ca="1">IFERROR(__xludf.DUMMYFUNCTION("""COMPUTED_VALUE"""),"Bandung")</f>
        <v>Bandung</v>
      </c>
      <c r="C471" s="13" t="str">
        <f ca="1">IFERROR(__xludf.DUMMYFUNCTION("""COMPUTED_VALUE"""),"P03")</f>
        <v>P03</v>
      </c>
      <c r="D471" s="13">
        <f ca="1">IFERROR(__xludf.DUMMYFUNCTION("""COMPUTED_VALUE"""),3)</f>
        <v>3</v>
      </c>
      <c r="E471" s="14">
        <f ca="1">IFERROR(__xludf.DUMMYFUNCTION("""COMPUTED_VALUE"""),20000)</f>
        <v>20000</v>
      </c>
      <c r="F471" s="14">
        <f ca="1">IFERROR(__xludf.DUMMYFUNCTION("""COMPUTED_VALUE"""),60000)</f>
        <v>60000</v>
      </c>
      <c r="G471" s="13" t="str">
        <f ca="1"/>
        <v>Espresso</v>
      </c>
      <c r="H471" s="13" t="str">
        <f ca="1"/>
        <v>Coffee</v>
      </c>
      <c r="I471" s="13">
        <f ca="1">IFERROR(__xludf.DUMMYFUNCTION("""COMPUTED_VALUE"""),18)</f>
        <v>18</v>
      </c>
      <c r="J471" s="13">
        <f ca="1">IFERROR(__xludf.DUMMYFUNCTION("""COMPUTED_VALUE"""),9)</f>
        <v>9</v>
      </c>
      <c r="K471" s="13">
        <f ca="1">IFERROR(__xludf.DUMMYFUNCTION("""COMPUTED_VALUE"""),2025)</f>
        <v>2025</v>
      </c>
      <c r="L471" s="15">
        <f ca="1"/>
        <v>45918</v>
      </c>
    </row>
    <row r="472" spans="1:12">
      <c r="A472" s="12" t="str">
        <f ca="1">IFERROR(__xludf.DUMMYFUNCTION("""COMPUTED_VALUE"""),"15-09-2025")</f>
        <v>15-09-2025</v>
      </c>
      <c r="B472" s="13" t="str">
        <f ca="1">IFERROR(__xludf.DUMMYFUNCTION("""COMPUTED_VALUE"""),"Bandung")</f>
        <v>Bandung</v>
      </c>
      <c r="C472" s="13" t="str">
        <f ca="1">IFERROR(__xludf.DUMMYFUNCTION("""COMPUTED_VALUE"""),"P04")</f>
        <v>P04</v>
      </c>
      <c r="D472" s="13">
        <f ca="1">IFERROR(__xludf.DUMMYFUNCTION("""COMPUTED_VALUE"""),1)</f>
        <v>1</v>
      </c>
      <c r="E472" s="14">
        <f ca="1">IFERROR(__xludf.DUMMYFUNCTION("""COMPUTED_VALUE"""),28000)</f>
        <v>28000</v>
      </c>
      <c r="F472" s="14">
        <f ca="1">IFERROR(__xludf.DUMMYFUNCTION("""COMPUTED_VALUE"""),28000)</f>
        <v>28000</v>
      </c>
      <c r="G472" s="13" t="str">
        <f ca="1"/>
        <v>Americano</v>
      </c>
      <c r="H472" s="13" t="str">
        <f ca="1"/>
        <v>Coffee</v>
      </c>
      <c r="I472" s="13">
        <f ca="1">IFERROR(__xludf.DUMMYFUNCTION("""COMPUTED_VALUE"""),15)</f>
        <v>15</v>
      </c>
      <c r="J472" s="13">
        <f ca="1">IFERROR(__xludf.DUMMYFUNCTION("""COMPUTED_VALUE"""),9)</f>
        <v>9</v>
      </c>
      <c r="K472" s="13">
        <f ca="1">IFERROR(__xludf.DUMMYFUNCTION("""COMPUTED_VALUE"""),2025)</f>
        <v>2025</v>
      </c>
      <c r="L472" s="15">
        <f ca="1"/>
        <v>45915</v>
      </c>
    </row>
    <row r="473" spans="1:12">
      <c r="A473" s="12" t="str">
        <f ca="1">IFERROR(__xludf.DUMMYFUNCTION("""COMPUTED_VALUE"""),"14-09-2025")</f>
        <v>14-09-2025</v>
      </c>
      <c r="B473" s="13" t="str">
        <f ca="1">IFERROR(__xludf.DUMMYFUNCTION("""COMPUTED_VALUE"""),"Bandung")</f>
        <v>Bandung</v>
      </c>
      <c r="C473" s="13" t="str">
        <f ca="1">IFERROR(__xludf.DUMMYFUNCTION("""COMPUTED_VALUE"""),"P05")</f>
        <v>P05</v>
      </c>
      <c r="D473" s="13">
        <f ca="1">IFERROR(__xludf.DUMMYFUNCTION("""COMPUTED_VALUE"""),1)</f>
        <v>1</v>
      </c>
      <c r="E473" s="14">
        <f ca="1">IFERROR(__xludf.DUMMYFUNCTION("""COMPUTED_VALUE"""),35000)</f>
        <v>35000</v>
      </c>
      <c r="F473" s="14">
        <f ca="1">IFERROR(__xludf.DUMMYFUNCTION("""COMPUTED_VALUE"""),35000)</f>
        <v>35000</v>
      </c>
      <c r="G473" s="13" t="str">
        <f ca="1"/>
        <v>Mocha</v>
      </c>
      <c r="H473" s="13" t="str">
        <f ca="1"/>
        <v>Chocolate</v>
      </c>
      <c r="I473" s="13">
        <f ca="1">IFERROR(__xludf.DUMMYFUNCTION("""COMPUTED_VALUE"""),14)</f>
        <v>14</v>
      </c>
      <c r="J473" s="13">
        <f ca="1">IFERROR(__xludf.DUMMYFUNCTION("""COMPUTED_VALUE"""),9)</f>
        <v>9</v>
      </c>
      <c r="K473" s="13">
        <f ca="1">IFERROR(__xludf.DUMMYFUNCTION("""COMPUTED_VALUE"""),2025)</f>
        <v>2025</v>
      </c>
      <c r="L473" s="15">
        <f ca="1"/>
        <v>45914</v>
      </c>
    </row>
    <row r="474" spans="1:12">
      <c r="A474" s="12" t="str">
        <f ca="1">IFERROR(__xludf.DUMMYFUNCTION("""COMPUTED_VALUE"""),"14-09-2025")</f>
        <v>14-09-2025</v>
      </c>
      <c r="B474" s="13" t="str">
        <f ca="1">IFERROR(__xludf.DUMMYFUNCTION("""COMPUTED_VALUE"""),"Bandung")</f>
        <v>Bandung</v>
      </c>
      <c r="C474" s="13" t="str">
        <f ca="1">IFERROR(__xludf.DUMMYFUNCTION("""COMPUTED_VALUE"""),"P01")</f>
        <v>P01</v>
      </c>
      <c r="D474" s="13">
        <f ca="1">IFERROR(__xludf.DUMMYFUNCTION("""COMPUTED_VALUE"""),3)</f>
        <v>3</v>
      </c>
      <c r="E474" s="14">
        <f ca="1">IFERROR(__xludf.DUMMYFUNCTION("""COMPUTED_VALUE"""),28000)</f>
        <v>28000</v>
      </c>
      <c r="F474" s="14">
        <f ca="1">IFERROR(__xludf.DUMMYFUNCTION("""COMPUTED_VALUE"""),84000)</f>
        <v>84000</v>
      </c>
      <c r="G474" s="13" t="str">
        <f ca="1"/>
        <v>Cappuccino</v>
      </c>
      <c r="H474" s="13" t="str">
        <f ca="1"/>
        <v>Coffee</v>
      </c>
      <c r="I474" s="13">
        <f ca="1">IFERROR(__xludf.DUMMYFUNCTION("""COMPUTED_VALUE"""),14)</f>
        <v>14</v>
      </c>
      <c r="J474" s="13">
        <f ca="1">IFERROR(__xludf.DUMMYFUNCTION("""COMPUTED_VALUE"""),9)</f>
        <v>9</v>
      </c>
      <c r="K474" s="13">
        <f ca="1">IFERROR(__xludf.DUMMYFUNCTION("""COMPUTED_VALUE"""),2025)</f>
        <v>2025</v>
      </c>
      <c r="L474" s="15">
        <f ca="1"/>
        <v>45914</v>
      </c>
    </row>
    <row r="475" spans="1:12">
      <c r="A475" s="12" t="str">
        <f ca="1">IFERROR(__xludf.DUMMYFUNCTION("""COMPUTED_VALUE"""),"23-09-2025")</f>
        <v>23-09-2025</v>
      </c>
      <c r="B475" s="13" t="str">
        <f ca="1">IFERROR(__xludf.DUMMYFUNCTION("""COMPUTED_VALUE"""),"Bandung")</f>
        <v>Bandung</v>
      </c>
      <c r="C475" s="13" t="str">
        <f ca="1">IFERROR(__xludf.DUMMYFUNCTION("""COMPUTED_VALUE"""),"P02")</f>
        <v>P02</v>
      </c>
      <c r="D475" s="13">
        <f ca="1">IFERROR(__xludf.DUMMYFUNCTION("""COMPUTED_VALUE"""),4)</f>
        <v>4</v>
      </c>
      <c r="E475" s="14">
        <f ca="1">IFERROR(__xludf.DUMMYFUNCTION("""COMPUTED_VALUE"""),20000)</f>
        <v>20000</v>
      </c>
      <c r="F475" s="14">
        <f ca="1">IFERROR(__xludf.DUMMYFUNCTION("""COMPUTED_VALUE"""),80000)</f>
        <v>80000</v>
      </c>
      <c r="G475" s="13" t="str">
        <f ca="1"/>
        <v>Latte</v>
      </c>
      <c r="H475" s="13" t="str">
        <f ca="1"/>
        <v>Coffee</v>
      </c>
      <c r="I475" s="13">
        <f ca="1">IFERROR(__xludf.DUMMYFUNCTION("""COMPUTED_VALUE"""),23)</f>
        <v>23</v>
      </c>
      <c r="J475" s="13">
        <f ca="1">IFERROR(__xludf.DUMMYFUNCTION("""COMPUTED_VALUE"""),9)</f>
        <v>9</v>
      </c>
      <c r="K475" s="13">
        <f ca="1">IFERROR(__xludf.DUMMYFUNCTION("""COMPUTED_VALUE"""),2025)</f>
        <v>2025</v>
      </c>
      <c r="L475" s="15">
        <f ca="1"/>
        <v>45923</v>
      </c>
    </row>
    <row r="476" spans="1:12">
      <c r="A476" s="12" t="str">
        <f ca="1">IFERROR(__xludf.DUMMYFUNCTION("""COMPUTED_VALUE"""),"07-09-2025")</f>
        <v>07-09-2025</v>
      </c>
      <c r="B476" s="13" t="str">
        <f ca="1">IFERROR(__xludf.DUMMYFUNCTION("""COMPUTED_VALUE"""),"Bandung")</f>
        <v>Bandung</v>
      </c>
      <c r="C476" s="13" t="str">
        <f ca="1">IFERROR(__xludf.DUMMYFUNCTION("""COMPUTED_VALUE"""),"P03")</f>
        <v>P03</v>
      </c>
      <c r="D476" s="13">
        <f ca="1">IFERROR(__xludf.DUMMYFUNCTION("""COMPUTED_VALUE"""),1)</f>
        <v>1</v>
      </c>
      <c r="E476" s="14">
        <f ca="1">IFERROR(__xludf.DUMMYFUNCTION("""COMPUTED_VALUE"""),20000)</f>
        <v>20000</v>
      </c>
      <c r="F476" s="14">
        <f ca="1">IFERROR(__xludf.DUMMYFUNCTION("""COMPUTED_VALUE"""),20000)</f>
        <v>20000</v>
      </c>
      <c r="G476" s="13" t="str">
        <f ca="1"/>
        <v>Espresso</v>
      </c>
      <c r="H476" s="13" t="str">
        <f ca="1"/>
        <v>Coffee</v>
      </c>
      <c r="I476" s="13">
        <f ca="1">IFERROR(__xludf.DUMMYFUNCTION("""COMPUTED_VALUE"""),7)</f>
        <v>7</v>
      </c>
      <c r="J476" s="13">
        <f ca="1">IFERROR(__xludf.DUMMYFUNCTION("""COMPUTED_VALUE"""),9)</f>
        <v>9</v>
      </c>
      <c r="K476" s="13">
        <f ca="1">IFERROR(__xludf.DUMMYFUNCTION("""COMPUTED_VALUE"""),2025)</f>
        <v>2025</v>
      </c>
      <c r="L476" s="15">
        <f ca="1"/>
        <v>45907</v>
      </c>
    </row>
    <row r="477" spans="1:12">
      <c r="A477" s="12" t="str">
        <f ca="1">IFERROR(__xludf.DUMMYFUNCTION("""COMPUTED_VALUE"""),"12-09-2025")</f>
        <v>12-09-2025</v>
      </c>
      <c r="B477" s="13" t="str">
        <f ca="1">IFERROR(__xludf.DUMMYFUNCTION("""COMPUTED_VALUE"""),"Bandung")</f>
        <v>Bandung</v>
      </c>
      <c r="C477" s="13" t="str">
        <f ca="1">IFERROR(__xludf.DUMMYFUNCTION("""COMPUTED_VALUE"""),"P04")</f>
        <v>P04</v>
      </c>
      <c r="D477" s="13">
        <f ca="1">IFERROR(__xludf.DUMMYFUNCTION("""COMPUTED_VALUE"""),3)</f>
        <v>3</v>
      </c>
      <c r="E477" s="14">
        <f ca="1">IFERROR(__xludf.DUMMYFUNCTION("""COMPUTED_VALUE"""),20000)</f>
        <v>20000</v>
      </c>
      <c r="F477" s="14">
        <f ca="1">IFERROR(__xludf.DUMMYFUNCTION("""COMPUTED_VALUE"""),60000)</f>
        <v>60000</v>
      </c>
      <c r="G477" s="13" t="str">
        <f ca="1"/>
        <v>Americano</v>
      </c>
      <c r="H477" s="13" t="str">
        <f ca="1"/>
        <v>Coffee</v>
      </c>
      <c r="I477" s="13">
        <f ca="1">IFERROR(__xludf.DUMMYFUNCTION("""COMPUTED_VALUE"""),12)</f>
        <v>12</v>
      </c>
      <c r="J477" s="13">
        <f ca="1">IFERROR(__xludf.DUMMYFUNCTION("""COMPUTED_VALUE"""),9)</f>
        <v>9</v>
      </c>
      <c r="K477" s="13">
        <f ca="1">IFERROR(__xludf.DUMMYFUNCTION("""COMPUTED_VALUE"""),2025)</f>
        <v>2025</v>
      </c>
      <c r="L477" s="15">
        <f ca="1"/>
        <v>45912</v>
      </c>
    </row>
    <row r="478" spans="1:12">
      <c r="A478" s="12" t="str">
        <f ca="1">IFERROR(__xludf.DUMMYFUNCTION("""COMPUTED_VALUE"""),"10-09-2025")</f>
        <v>10-09-2025</v>
      </c>
      <c r="B478" s="13" t="str">
        <f ca="1">IFERROR(__xludf.DUMMYFUNCTION("""COMPUTED_VALUE"""),"Bandung")</f>
        <v>Bandung</v>
      </c>
      <c r="C478" s="13" t="str">
        <f ca="1">IFERROR(__xludf.DUMMYFUNCTION("""COMPUTED_VALUE"""),"P05")</f>
        <v>P05</v>
      </c>
      <c r="D478" s="13">
        <f ca="1">IFERROR(__xludf.DUMMYFUNCTION("""COMPUTED_VALUE"""),4)</f>
        <v>4</v>
      </c>
      <c r="E478" s="14">
        <f ca="1">IFERROR(__xludf.DUMMYFUNCTION("""COMPUTED_VALUE"""),28000)</f>
        <v>28000</v>
      </c>
      <c r="F478" s="14">
        <f ca="1">IFERROR(__xludf.DUMMYFUNCTION("""COMPUTED_VALUE"""),112000)</f>
        <v>112000</v>
      </c>
      <c r="G478" s="13" t="str">
        <f ca="1"/>
        <v>Mocha</v>
      </c>
      <c r="H478" s="13" t="str">
        <f ca="1"/>
        <v>Chocolate</v>
      </c>
      <c r="I478" s="13">
        <f ca="1">IFERROR(__xludf.DUMMYFUNCTION("""COMPUTED_VALUE"""),10)</f>
        <v>10</v>
      </c>
      <c r="J478" s="13">
        <f ca="1">IFERROR(__xludf.DUMMYFUNCTION("""COMPUTED_VALUE"""),9)</f>
        <v>9</v>
      </c>
      <c r="K478" s="13">
        <f ca="1">IFERROR(__xludf.DUMMYFUNCTION("""COMPUTED_VALUE"""),2025)</f>
        <v>2025</v>
      </c>
      <c r="L478" s="15">
        <f ca="1"/>
        <v>45910</v>
      </c>
    </row>
    <row r="479" spans="1:12">
      <c r="A479" s="12" t="str">
        <f ca="1">IFERROR(__xludf.DUMMYFUNCTION("""COMPUTED_VALUE"""),"17-09-2025")</f>
        <v>17-09-2025</v>
      </c>
      <c r="B479" s="13" t="str">
        <f ca="1">IFERROR(__xludf.DUMMYFUNCTION("""COMPUTED_VALUE"""),"Bandung")</f>
        <v>Bandung</v>
      </c>
      <c r="C479" s="13" t="str">
        <f ca="1">IFERROR(__xludf.DUMMYFUNCTION("""COMPUTED_VALUE"""),"P03")</f>
        <v>P03</v>
      </c>
      <c r="D479" s="13">
        <f ca="1">IFERROR(__xludf.DUMMYFUNCTION("""COMPUTED_VALUE"""),1)</f>
        <v>1</v>
      </c>
      <c r="E479" s="14">
        <f ca="1">IFERROR(__xludf.DUMMYFUNCTION("""COMPUTED_VALUE"""),20000)</f>
        <v>20000</v>
      </c>
      <c r="F479" s="14">
        <f ca="1">IFERROR(__xludf.DUMMYFUNCTION("""COMPUTED_VALUE"""),20000)</f>
        <v>20000</v>
      </c>
      <c r="G479" s="13" t="str">
        <f ca="1"/>
        <v>Espresso</v>
      </c>
      <c r="H479" s="13" t="str">
        <f ca="1"/>
        <v>Coffee</v>
      </c>
      <c r="I479" s="13">
        <f ca="1">IFERROR(__xludf.DUMMYFUNCTION("""COMPUTED_VALUE"""),17)</f>
        <v>17</v>
      </c>
      <c r="J479" s="13">
        <f ca="1">IFERROR(__xludf.DUMMYFUNCTION("""COMPUTED_VALUE"""),9)</f>
        <v>9</v>
      </c>
      <c r="K479" s="13">
        <f ca="1">IFERROR(__xludf.DUMMYFUNCTION("""COMPUTED_VALUE"""),2025)</f>
        <v>2025</v>
      </c>
      <c r="L479" s="15">
        <f ca="1"/>
        <v>45917</v>
      </c>
    </row>
    <row r="480" spans="1:12">
      <c r="A480" s="12" t="str">
        <f ca="1">IFERROR(__xludf.DUMMYFUNCTION("""COMPUTED_VALUE"""),"15-09-2025")</f>
        <v>15-09-2025</v>
      </c>
      <c r="B480" s="13" t="str">
        <f ca="1">IFERROR(__xludf.DUMMYFUNCTION("""COMPUTED_VALUE"""),"Bandung")</f>
        <v>Bandung</v>
      </c>
      <c r="C480" s="13" t="str">
        <f ca="1">IFERROR(__xludf.DUMMYFUNCTION("""COMPUTED_VALUE"""),"P04")</f>
        <v>P04</v>
      </c>
      <c r="D480" s="13">
        <f ca="1">IFERROR(__xludf.DUMMYFUNCTION("""COMPUTED_VALUE"""),1)</f>
        <v>1</v>
      </c>
      <c r="E480" s="14">
        <f ca="1">IFERROR(__xludf.DUMMYFUNCTION("""COMPUTED_VALUE"""),20000)</f>
        <v>20000</v>
      </c>
      <c r="F480" s="14">
        <f ca="1">IFERROR(__xludf.DUMMYFUNCTION("""COMPUTED_VALUE"""),20000)</f>
        <v>20000</v>
      </c>
      <c r="G480" s="13" t="str">
        <f ca="1"/>
        <v>Americano</v>
      </c>
      <c r="H480" s="13" t="str">
        <f ca="1"/>
        <v>Coffee</v>
      </c>
      <c r="I480" s="13">
        <f ca="1">IFERROR(__xludf.DUMMYFUNCTION("""COMPUTED_VALUE"""),15)</f>
        <v>15</v>
      </c>
      <c r="J480" s="13">
        <f ca="1">IFERROR(__xludf.DUMMYFUNCTION("""COMPUTED_VALUE"""),9)</f>
        <v>9</v>
      </c>
      <c r="K480" s="13">
        <f ca="1">IFERROR(__xludf.DUMMYFUNCTION("""COMPUTED_VALUE"""),2025)</f>
        <v>2025</v>
      </c>
      <c r="L480" s="15">
        <f ca="1"/>
        <v>45915</v>
      </c>
    </row>
    <row r="481" spans="1:12">
      <c r="A481" s="12" t="str">
        <f ca="1">IFERROR(__xludf.DUMMYFUNCTION("""COMPUTED_VALUE"""),"18-09-2025")</f>
        <v>18-09-2025</v>
      </c>
      <c r="B481" s="13" t="str">
        <f ca="1">IFERROR(__xludf.DUMMYFUNCTION("""COMPUTED_VALUE"""),"Bandung")</f>
        <v>Bandung</v>
      </c>
      <c r="C481" s="13" t="str">
        <f ca="1">IFERROR(__xludf.DUMMYFUNCTION("""COMPUTED_VALUE"""),"P05")</f>
        <v>P05</v>
      </c>
      <c r="D481" s="13">
        <f ca="1">IFERROR(__xludf.DUMMYFUNCTION("""COMPUTED_VALUE"""),4)</f>
        <v>4</v>
      </c>
      <c r="E481" s="14">
        <f ca="1">IFERROR(__xludf.DUMMYFUNCTION("""COMPUTED_VALUE"""),28000)</f>
        <v>28000</v>
      </c>
      <c r="F481" s="14">
        <f ca="1">IFERROR(__xludf.DUMMYFUNCTION("""COMPUTED_VALUE"""),112000)</f>
        <v>112000</v>
      </c>
      <c r="G481" s="13" t="str">
        <f ca="1"/>
        <v>Mocha</v>
      </c>
      <c r="H481" s="13" t="str">
        <f ca="1"/>
        <v>Chocolate</v>
      </c>
      <c r="I481" s="13">
        <f ca="1">IFERROR(__xludf.DUMMYFUNCTION("""COMPUTED_VALUE"""),18)</f>
        <v>18</v>
      </c>
      <c r="J481" s="13">
        <f ca="1">IFERROR(__xludf.DUMMYFUNCTION("""COMPUTED_VALUE"""),9)</f>
        <v>9</v>
      </c>
      <c r="K481" s="13">
        <f ca="1">IFERROR(__xludf.DUMMYFUNCTION("""COMPUTED_VALUE"""),2025)</f>
        <v>2025</v>
      </c>
      <c r="L481" s="15">
        <f ca="1"/>
        <v>45918</v>
      </c>
    </row>
    <row r="482" spans="1:12">
      <c r="A482" s="12" t="str">
        <f ca="1">IFERROR(__xludf.DUMMYFUNCTION("""COMPUTED_VALUE"""),"26-09-2025")</f>
        <v>26-09-2025</v>
      </c>
      <c r="B482" s="13" t="str">
        <f ca="1">IFERROR(__xludf.DUMMYFUNCTION("""COMPUTED_VALUE"""),"Surabaya")</f>
        <v>Surabaya</v>
      </c>
      <c r="C482" s="13" t="str">
        <f ca="1">IFERROR(__xludf.DUMMYFUNCTION("""COMPUTED_VALUE"""),"P01")</f>
        <v>P01</v>
      </c>
      <c r="D482" s="13">
        <f ca="1">IFERROR(__xludf.DUMMYFUNCTION("""COMPUTED_VALUE"""),3)</f>
        <v>3</v>
      </c>
      <c r="E482" s="14">
        <f ca="1">IFERROR(__xludf.DUMMYFUNCTION("""COMPUTED_VALUE"""),28000)</f>
        <v>28000</v>
      </c>
      <c r="F482" s="14">
        <f ca="1">IFERROR(__xludf.DUMMYFUNCTION("""COMPUTED_VALUE"""),84000)</f>
        <v>84000</v>
      </c>
      <c r="G482" s="13" t="str">
        <f ca="1"/>
        <v>Cappuccino</v>
      </c>
      <c r="H482" s="13" t="str">
        <f ca="1"/>
        <v>Coffee</v>
      </c>
      <c r="I482" s="13">
        <f ca="1">IFERROR(__xludf.DUMMYFUNCTION("""COMPUTED_VALUE"""),26)</f>
        <v>26</v>
      </c>
      <c r="J482" s="13">
        <f ca="1">IFERROR(__xludf.DUMMYFUNCTION("""COMPUTED_VALUE"""),9)</f>
        <v>9</v>
      </c>
      <c r="K482" s="13">
        <f ca="1">IFERROR(__xludf.DUMMYFUNCTION("""COMPUTED_VALUE"""),2025)</f>
        <v>2025</v>
      </c>
      <c r="L482" s="15">
        <f ca="1"/>
        <v>45926</v>
      </c>
    </row>
    <row r="483" spans="1:12">
      <c r="A483" s="12" t="str">
        <f ca="1">IFERROR(__xludf.DUMMYFUNCTION("""COMPUTED_VALUE"""),"25-09-2025")</f>
        <v>25-09-2025</v>
      </c>
      <c r="B483" s="13" t="str">
        <f ca="1">IFERROR(__xludf.DUMMYFUNCTION("""COMPUTED_VALUE"""),"Surabaya")</f>
        <v>Surabaya</v>
      </c>
      <c r="C483" s="13" t="str">
        <f ca="1">IFERROR(__xludf.DUMMYFUNCTION("""COMPUTED_VALUE"""),"P02")</f>
        <v>P02</v>
      </c>
      <c r="D483" s="13">
        <f ca="1">IFERROR(__xludf.DUMMYFUNCTION("""COMPUTED_VALUE"""),2)</f>
        <v>2</v>
      </c>
      <c r="E483" s="14">
        <f ca="1">IFERROR(__xludf.DUMMYFUNCTION("""COMPUTED_VALUE"""),30000)</f>
        <v>30000</v>
      </c>
      <c r="F483" s="14">
        <f ca="1">IFERROR(__xludf.DUMMYFUNCTION("""COMPUTED_VALUE"""),60000)</f>
        <v>60000</v>
      </c>
      <c r="G483" s="13" t="str">
        <f ca="1"/>
        <v>Latte</v>
      </c>
      <c r="H483" s="13" t="str">
        <f ca="1"/>
        <v>Coffee</v>
      </c>
      <c r="I483" s="13">
        <f ca="1">IFERROR(__xludf.DUMMYFUNCTION("""COMPUTED_VALUE"""),25)</f>
        <v>25</v>
      </c>
      <c r="J483" s="13">
        <f ca="1">IFERROR(__xludf.DUMMYFUNCTION("""COMPUTED_VALUE"""),9)</f>
        <v>9</v>
      </c>
      <c r="K483" s="13">
        <f ca="1">IFERROR(__xludf.DUMMYFUNCTION("""COMPUTED_VALUE"""),2025)</f>
        <v>2025</v>
      </c>
      <c r="L483" s="15">
        <f ca="1"/>
        <v>45925</v>
      </c>
    </row>
    <row r="484" spans="1:12">
      <c r="A484" s="12" t="str">
        <f ca="1">IFERROR(__xludf.DUMMYFUNCTION("""COMPUTED_VALUE"""),"06-09-2025")</f>
        <v>06-09-2025</v>
      </c>
      <c r="B484" s="13" t="str">
        <f ca="1">IFERROR(__xludf.DUMMYFUNCTION("""COMPUTED_VALUE"""),"Surabaya")</f>
        <v>Surabaya</v>
      </c>
      <c r="C484" s="13" t="str">
        <f ca="1">IFERROR(__xludf.DUMMYFUNCTION("""COMPUTED_VALUE"""),"P03")</f>
        <v>P03</v>
      </c>
      <c r="D484" s="13">
        <f ca="1">IFERROR(__xludf.DUMMYFUNCTION("""COMPUTED_VALUE"""),2)</f>
        <v>2</v>
      </c>
      <c r="E484" s="14">
        <f ca="1">IFERROR(__xludf.DUMMYFUNCTION("""COMPUTED_VALUE"""),30000)</f>
        <v>30000</v>
      </c>
      <c r="F484" s="14">
        <f ca="1">IFERROR(__xludf.DUMMYFUNCTION("""COMPUTED_VALUE"""),60000)</f>
        <v>60000</v>
      </c>
      <c r="G484" s="13" t="str">
        <f ca="1"/>
        <v>Espresso</v>
      </c>
      <c r="H484" s="13" t="str">
        <f ca="1"/>
        <v>Coffee</v>
      </c>
      <c r="I484" s="13">
        <f ca="1">IFERROR(__xludf.DUMMYFUNCTION("""COMPUTED_VALUE"""),6)</f>
        <v>6</v>
      </c>
      <c r="J484" s="13">
        <f ca="1">IFERROR(__xludf.DUMMYFUNCTION("""COMPUTED_VALUE"""),9)</f>
        <v>9</v>
      </c>
      <c r="K484" s="13">
        <f ca="1">IFERROR(__xludf.DUMMYFUNCTION("""COMPUTED_VALUE"""),2025)</f>
        <v>2025</v>
      </c>
      <c r="L484" s="15">
        <f ca="1"/>
        <v>45906</v>
      </c>
    </row>
    <row r="485" spans="1:12">
      <c r="A485" s="12" t="str">
        <f ca="1">IFERROR(__xludf.DUMMYFUNCTION("""COMPUTED_VALUE"""),"14-09-2025")</f>
        <v>14-09-2025</v>
      </c>
      <c r="B485" s="13" t="str">
        <f ca="1">IFERROR(__xludf.DUMMYFUNCTION("""COMPUTED_VALUE"""),"Surabaya")</f>
        <v>Surabaya</v>
      </c>
      <c r="C485" s="13" t="str">
        <f ca="1">IFERROR(__xludf.DUMMYFUNCTION("""COMPUTED_VALUE"""),"P04")</f>
        <v>P04</v>
      </c>
      <c r="D485" s="13">
        <f ca="1">IFERROR(__xludf.DUMMYFUNCTION("""COMPUTED_VALUE"""),1)</f>
        <v>1</v>
      </c>
      <c r="E485" s="14">
        <f ca="1">IFERROR(__xludf.DUMMYFUNCTION("""COMPUTED_VALUE"""),20000)</f>
        <v>20000</v>
      </c>
      <c r="F485" s="14">
        <f ca="1">IFERROR(__xludf.DUMMYFUNCTION("""COMPUTED_VALUE"""),20000)</f>
        <v>20000</v>
      </c>
      <c r="G485" s="13" t="str">
        <f ca="1"/>
        <v>Americano</v>
      </c>
      <c r="H485" s="13" t="str">
        <f ca="1"/>
        <v>Coffee</v>
      </c>
      <c r="I485" s="13">
        <f ca="1">IFERROR(__xludf.DUMMYFUNCTION("""COMPUTED_VALUE"""),14)</f>
        <v>14</v>
      </c>
      <c r="J485" s="13">
        <f ca="1">IFERROR(__xludf.DUMMYFUNCTION("""COMPUTED_VALUE"""),9)</f>
        <v>9</v>
      </c>
      <c r="K485" s="13">
        <f ca="1">IFERROR(__xludf.DUMMYFUNCTION("""COMPUTED_VALUE"""),2025)</f>
        <v>2025</v>
      </c>
      <c r="L485" s="15">
        <f ca="1"/>
        <v>45914</v>
      </c>
    </row>
    <row r="486" spans="1:12">
      <c r="A486" s="12" t="str">
        <f ca="1">IFERROR(__xludf.DUMMYFUNCTION("""COMPUTED_VALUE"""),"23-09-2025")</f>
        <v>23-09-2025</v>
      </c>
      <c r="B486" s="13" t="str">
        <f ca="1">IFERROR(__xludf.DUMMYFUNCTION("""COMPUTED_VALUE"""),"Surabaya")</f>
        <v>Surabaya</v>
      </c>
      <c r="C486" s="13" t="str">
        <f ca="1">IFERROR(__xludf.DUMMYFUNCTION("""COMPUTED_VALUE"""),"P05")</f>
        <v>P05</v>
      </c>
      <c r="D486" s="13">
        <f ca="1">IFERROR(__xludf.DUMMYFUNCTION("""COMPUTED_VALUE"""),2)</f>
        <v>2</v>
      </c>
      <c r="E486" s="14">
        <f ca="1">IFERROR(__xludf.DUMMYFUNCTION("""COMPUTED_VALUE"""),35000)</f>
        <v>35000</v>
      </c>
      <c r="F486" s="14">
        <f ca="1">IFERROR(__xludf.DUMMYFUNCTION("""COMPUTED_VALUE"""),70000)</f>
        <v>70000</v>
      </c>
      <c r="G486" s="13" t="str">
        <f ca="1"/>
        <v>Mocha</v>
      </c>
      <c r="H486" s="13" t="str">
        <f ca="1"/>
        <v>Chocolate</v>
      </c>
      <c r="I486" s="13">
        <f ca="1">IFERROR(__xludf.DUMMYFUNCTION("""COMPUTED_VALUE"""),23)</f>
        <v>23</v>
      </c>
      <c r="J486" s="13">
        <f ca="1">IFERROR(__xludf.DUMMYFUNCTION("""COMPUTED_VALUE"""),9)</f>
        <v>9</v>
      </c>
      <c r="K486" s="13">
        <f ca="1">IFERROR(__xludf.DUMMYFUNCTION("""COMPUTED_VALUE"""),2025)</f>
        <v>2025</v>
      </c>
      <c r="L486" s="15">
        <f ca="1"/>
        <v>45923</v>
      </c>
    </row>
    <row r="487" spans="1:12">
      <c r="A487" s="12" t="str">
        <f ca="1">IFERROR(__xludf.DUMMYFUNCTION("""COMPUTED_VALUE"""),"24-09-2025")</f>
        <v>24-09-2025</v>
      </c>
      <c r="B487" s="13" t="str">
        <f ca="1">IFERROR(__xludf.DUMMYFUNCTION("""COMPUTED_VALUE"""),"Surabaya")</f>
        <v>Surabaya</v>
      </c>
      <c r="C487" s="13" t="str">
        <f ca="1">IFERROR(__xludf.DUMMYFUNCTION("""COMPUTED_VALUE"""),"P01")</f>
        <v>P01</v>
      </c>
      <c r="D487" s="13">
        <f ca="1">IFERROR(__xludf.DUMMYFUNCTION("""COMPUTED_VALUE"""),5)</f>
        <v>5</v>
      </c>
      <c r="E487" s="14">
        <f ca="1">IFERROR(__xludf.DUMMYFUNCTION("""COMPUTED_VALUE"""),25000)</f>
        <v>25000</v>
      </c>
      <c r="F487" s="14">
        <f ca="1">IFERROR(__xludf.DUMMYFUNCTION("""COMPUTED_VALUE"""),125000)</f>
        <v>125000</v>
      </c>
      <c r="G487" s="13" t="str">
        <f ca="1"/>
        <v>Cappuccino</v>
      </c>
      <c r="H487" s="13" t="str">
        <f ca="1"/>
        <v>Coffee</v>
      </c>
      <c r="I487" s="13">
        <f ca="1">IFERROR(__xludf.DUMMYFUNCTION("""COMPUTED_VALUE"""),24)</f>
        <v>24</v>
      </c>
      <c r="J487" s="13">
        <f ca="1">IFERROR(__xludf.DUMMYFUNCTION("""COMPUTED_VALUE"""),9)</f>
        <v>9</v>
      </c>
      <c r="K487" s="13">
        <f ca="1">IFERROR(__xludf.DUMMYFUNCTION("""COMPUTED_VALUE"""),2025)</f>
        <v>2025</v>
      </c>
      <c r="L487" s="15">
        <f ca="1"/>
        <v>45924</v>
      </c>
    </row>
    <row r="488" spans="1:12">
      <c r="A488" s="12" t="str">
        <f ca="1">IFERROR(__xludf.DUMMYFUNCTION("""COMPUTED_VALUE"""),"26-09-2025")</f>
        <v>26-09-2025</v>
      </c>
      <c r="B488" s="13" t="str">
        <f ca="1">IFERROR(__xludf.DUMMYFUNCTION("""COMPUTED_VALUE"""),"Surabaya")</f>
        <v>Surabaya</v>
      </c>
      <c r="C488" s="13" t="str">
        <f ca="1">IFERROR(__xludf.DUMMYFUNCTION("""COMPUTED_VALUE"""),"P02")</f>
        <v>P02</v>
      </c>
      <c r="D488" s="13">
        <f ca="1">IFERROR(__xludf.DUMMYFUNCTION("""COMPUTED_VALUE"""),3)</f>
        <v>3</v>
      </c>
      <c r="E488" s="14">
        <f ca="1">IFERROR(__xludf.DUMMYFUNCTION("""COMPUTED_VALUE"""),20000)</f>
        <v>20000</v>
      </c>
      <c r="F488" s="14">
        <f ca="1">IFERROR(__xludf.DUMMYFUNCTION("""COMPUTED_VALUE"""),60000)</f>
        <v>60000</v>
      </c>
      <c r="G488" s="13" t="str">
        <f ca="1"/>
        <v>Latte</v>
      </c>
      <c r="H488" s="13" t="str">
        <f ca="1"/>
        <v>Coffee</v>
      </c>
      <c r="I488" s="13">
        <f ca="1">IFERROR(__xludf.DUMMYFUNCTION("""COMPUTED_VALUE"""),26)</f>
        <v>26</v>
      </c>
      <c r="J488" s="13">
        <f ca="1">IFERROR(__xludf.DUMMYFUNCTION("""COMPUTED_VALUE"""),9)</f>
        <v>9</v>
      </c>
      <c r="K488" s="13">
        <f ca="1">IFERROR(__xludf.DUMMYFUNCTION("""COMPUTED_VALUE"""),2025)</f>
        <v>2025</v>
      </c>
      <c r="L488" s="15">
        <f ca="1"/>
        <v>45926</v>
      </c>
    </row>
    <row r="489" spans="1:12">
      <c r="A489" s="12" t="str">
        <f ca="1">IFERROR(__xludf.DUMMYFUNCTION("""COMPUTED_VALUE"""),"09-09-2025")</f>
        <v>09-09-2025</v>
      </c>
      <c r="B489" s="13" t="str">
        <f ca="1">IFERROR(__xludf.DUMMYFUNCTION("""COMPUTED_VALUE"""),"Surabaya")</f>
        <v>Surabaya</v>
      </c>
      <c r="C489" s="13" t="str">
        <f ca="1">IFERROR(__xludf.DUMMYFUNCTION("""COMPUTED_VALUE"""),"P03")</f>
        <v>P03</v>
      </c>
      <c r="D489" s="13">
        <f ca="1">IFERROR(__xludf.DUMMYFUNCTION("""COMPUTED_VALUE"""),4)</f>
        <v>4</v>
      </c>
      <c r="E489" s="14">
        <f ca="1">IFERROR(__xludf.DUMMYFUNCTION("""COMPUTED_VALUE"""),35000)</f>
        <v>35000</v>
      </c>
      <c r="F489" s="14">
        <f ca="1">IFERROR(__xludf.DUMMYFUNCTION("""COMPUTED_VALUE"""),140000)</f>
        <v>140000</v>
      </c>
      <c r="G489" s="13" t="str">
        <f ca="1"/>
        <v>Espresso</v>
      </c>
      <c r="H489" s="13" t="str">
        <f ca="1"/>
        <v>Coffee</v>
      </c>
      <c r="I489" s="13">
        <f ca="1">IFERROR(__xludf.DUMMYFUNCTION("""COMPUTED_VALUE"""),9)</f>
        <v>9</v>
      </c>
      <c r="J489" s="13">
        <f ca="1">IFERROR(__xludf.DUMMYFUNCTION("""COMPUTED_VALUE"""),9)</f>
        <v>9</v>
      </c>
      <c r="K489" s="13">
        <f ca="1">IFERROR(__xludf.DUMMYFUNCTION("""COMPUTED_VALUE"""),2025)</f>
        <v>2025</v>
      </c>
      <c r="L489" s="15">
        <f ca="1"/>
        <v>45909</v>
      </c>
    </row>
    <row r="490" spans="1:12">
      <c r="A490" s="12" t="str">
        <f ca="1">IFERROR(__xludf.DUMMYFUNCTION("""COMPUTED_VALUE"""),"03-09-2025")</f>
        <v>03-09-2025</v>
      </c>
      <c r="B490" s="13" t="str">
        <f ca="1">IFERROR(__xludf.DUMMYFUNCTION("""COMPUTED_VALUE"""),"Surabaya")</f>
        <v>Surabaya</v>
      </c>
      <c r="C490" s="13" t="str">
        <f ca="1">IFERROR(__xludf.DUMMYFUNCTION("""COMPUTED_VALUE"""),"P04")</f>
        <v>P04</v>
      </c>
      <c r="D490" s="13">
        <f ca="1">IFERROR(__xludf.DUMMYFUNCTION("""COMPUTED_VALUE"""),3)</f>
        <v>3</v>
      </c>
      <c r="E490" s="14">
        <f ca="1">IFERROR(__xludf.DUMMYFUNCTION("""COMPUTED_VALUE"""),30000)</f>
        <v>30000</v>
      </c>
      <c r="F490" s="14">
        <f ca="1">IFERROR(__xludf.DUMMYFUNCTION("""COMPUTED_VALUE"""),90000)</f>
        <v>90000</v>
      </c>
      <c r="G490" s="13" t="str">
        <f ca="1"/>
        <v>Americano</v>
      </c>
      <c r="H490" s="13" t="str">
        <f ca="1"/>
        <v>Coffee</v>
      </c>
      <c r="I490" s="13">
        <f ca="1">IFERROR(__xludf.DUMMYFUNCTION("""COMPUTED_VALUE"""),3)</f>
        <v>3</v>
      </c>
      <c r="J490" s="13">
        <f ca="1">IFERROR(__xludf.DUMMYFUNCTION("""COMPUTED_VALUE"""),9)</f>
        <v>9</v>
      </c>
      <c r="K490" s="13">
        <f ca="1">IFERROR(__xludf.DUMMYFUNCTION("""COMPUTED_VALUE"""),2025)</f>
        <v>2025</v>
      </c>
      <c r="L490" s="15">
        <f ca="1"/>
        <v>45903</v>
      </c>
    </row>
    <row r="491" spans="1:12">
      <c r="A491" s="12" t="str">
        <f ca="1">IFERROR(__xludf.DUMMYFUNCTION("""COMPUTED_VALUE"""),"21-09-2025")</f>
        <v>21-09-2025</v>
      </c>
      <c r="B491" s="13" t="str">
        <f ca="1">IFERROR(__xludf.DUMMYFUNCTION("""COMPUTED_VALUE"""),"Surabaya")</f>
        <v>Surabaya</v>
      </c>
      <c r="C491" s="13" t="str">
        <f ca="1">IFERROR(__xludf.DUMMYFUNCTION("""COMPUTED_VALUE"""),"P05")</f>
        <v>P05</v>
      </c>
      <c r="D491" s="13">
        <f ca="1">IFERROR(__xludf.DUMMYFUNCTION("""COMPUTED_VALUE"""),5)</f>
        <v>5</v>
      </c>
      <c r="E491" s="14">
        <f ca="1">IFERROR(__xludf.DUMMYFUNCTION("""COMPUTED_VALUE"""),25000)</f>
        <v>25000</v>
      </c>
      <c r="F491" s="14">
        <f ca="1">IFERROR(__xludf.DUMMYFUNCTION("""COMPUTED_VALUE"""),125000)</f>
        <v>125000</v>
      </c>
      <c r="G491" s="13" t="str">
        <f ca="1"/>
        <v>Mocha</v>
      </c>
      <c r="H491" s="13" t="str">
        <f ca="1"/>
        <v>Chocolate</v>
      </c>
      <c r="I491" s="13">
        <f ca="1">IFERROR(__xludf.DUMMYFUNCTION("""COMPUTED_VALUE"""),21)</f>
        <v>21</v>
      </c>
      <c r="J491" s="13">
        <f ca="1">IFERROR(__xludf.DUMMYFUNCTION("""COMPUTED_VALUE"""),9)</f>
        <v>9</v>
      </c>
      <c r="K491" s="13">
        <f ca="1">IFERROR(__xludf.DUMMYFUNCTION("""COMPUTED_VALUE"""),2025)</f>
        <v>2025</v>
      </c>
      <c r="L491" s="15">
        <f ca="1"/>
        <v>45921</v>
      </c>
    </row>
    <row r="492" spans="1:12">
      <c r="A492" s="12" t="str">
        <f ca="1">IFERROR(__xludf.DUMMYFUNCTION("""COMPUTED_VALUE"""),"25-09-2025")</f>
        <v>25-09-2025</v>
      </c>
      <c r="B492" s="13" t="str">
        <f ca="1">IFERROR(__xludf.DUMMYFUNCTION("""COMPUTED_VALUE"""),"Surabaya")</f>
        <v>Surabaya</v>
      </c>
      <c r="C492" s="13" t="str">
        <f ca="1">IFERROR(__xludf.DUMMYFUNCTION("""COMPUTED_VALUE"""),"P01")</f>
        <v>P01</v>
      </c>
      <c r="D492" s="13">
        <f ca="1">IFERROR(__xludf.DUMMYFUNCTION("""COMPUTED_VALUE"""),4)</f>
        <v>4</v>
      </c>
      <c r="E492" s="14">
        <f ca="1">IFERROR(__xludf.DUMMYFUNCTION("""COMPUTED_VALUE"""),25000)</f>
        <v>25000</v>
      </c>
      <c r="F492" s="14">
        <f ca="1">IFERROR(__xludf.DUMMYFUNCTION("""COMPUTED_VALUE"""),100000)</f>
        <v>100000</v>
      </c>
      <c r="G492" s="13" t="str">
        <f ca="1"/>
        <v>Cappuccino</v>
      </c>
      <c r="H492" s="13" t="str">
        <f ca="1"/>
        <v>Coffee</v>
      </c>
      <c r="I492" s="13">
        <f ca="1">IFERROR(__xludf.DUMMYFUNCTION("""COMPUTED_VALUE"""),25)</f>
        <v>25</v>
      </c>
      <c r="J492" s="13">
        <f ca="1">IFERROR(__xludf.DUMMYFUNCTION("""COMPUTED_VALUE"""),9)</f>
        <v>9</v>
      </c>
      <c r="K492" s="13">
        <f ca="1">IFERROR(__xludf.DUMMYFUNCTION("""COMPUTED_VALUE"""),2025)</f>
        <v>2025</v>
      </c>
      <c r="L492" s="15">
        <f ca="1"/>
        <v>45925</v>
      </c>
    </row>
    <row r="493" spans="1:12">
      <c r="A493" s="12" t="str">
        <f ca="1">IFERROR(__xludf.DUMMYFUNCTION("""COMPUTED_VALUE"""),"26-09-2025")</f>
        <v>26-09-2025</v>
      </c>
      <c r="B493" s="13" t="str">
        <f ca="1">IFERROR(__xludf.DUMMYFUNCTION("""COMPUTED_VALUE"""),"Surabaya")</f>
        <v>Surabaya</v>
      </c>
      <c r="C493" s="13" t="str">
        <f ca="1">IFERROR(__xludf.DUMMYFUNCTION("""COMPUTED_VALUE"""),"P02")</f>
        <v>P02</v>
      </c>
      <c r="D493" s="13">
        <f ca="1">IFERROR(__xludf.DUMMYFUNCTION("""COMPUTED_VALUE"""),2)</f>
        <v>2</v>
      </c>
      <c r="E493" s="14">
        <f ca="1">IFERROR(__xludf.DUMMYFUNCTION("""COMPUTED_VALUE"""),35000)</f>
        <v>35000</v>
      </c>
      <c r="F493" s="14">
        <f ca="1">IFERROR(__xludf.DUMMYFUNCTION("""COMPUTED_VALUE"""),70000)</f>
        <v>70000</v>
      </c>
      <c r="G493" s="13" t="str">
        <f ca="1"/>
        <v>Latte</v>
      </c>
      <c r="H493" s="13" t="str">
        <f ca="1"/>
        <v>Coffee</v>
      </c>
      <c r="I493" s="13">
        <f ca="1">IFERROR(__xludf.DUMMYFUNCTION("""COMPUTED_VALUE"""),26)</f>
        <v>26</v>
      </c>
      <c r="J493" s="13">
        <f ca="1">IFERROR(__xludf.DUMMYFUNCTION("""COMPUTED_VALUE"""),9)</f>
        <v>9</v>
      </c>
      <c r="K493" s="13">
        <f ca="1">IFERROR(__xludf.DUMMYFUNCTION("""COMPUTED_VALUE"""),2025)</f>
        <v>2025</v>
      </c>
      <c r="L493" s="15">
        <f ca="1"/>
        <v>45926</v>
      </c>
    </row>
    <row r="494" spans="1:12">
      <c r="A494" s="12" t="str">
        <f ca="1">IFERROR(__xludf.DUMMYFUNCTION("""COMPUTED_VALUE"""),"18-09-2025")</f>
        <v>18-09-2025</v>
      </c>
      <c r="B494" s="13" t="str">
        <f ca="1">IFERROR(__xludf.DUMMYFUNCTION("""COMPUTED_VALUE"""),"Surabaya")</f>
        <v>Surabaya</v>
      </c>
      <c r="C494" s="13" t="str">
        <f ca="1">IFERROR(__xludf.DUMMYFUNCTION("""COMPUTED_VALUE"""),"P03")</f>
        <v>P03</v>
      </c>
      <c r="D494" s="13">
        <f ca="1">IFERROR(__xludf.DUMMYFUNCTION("""COMPUTED_VALUE"""),3)</f>
        <v>3</v>
      </c>
      <c r="E494" s="14">
        <f ca="1">IFERROR(__xludf.DUMMYFUNCTION("""COMPUTED_VALUE"""),30000)</f>
        <v>30000</v>
      </c>
      <c r="F494" s="14">
        <f ca="1">IFERROR(__xludf.DUMMYFUNCTION("""COMPUTED_VALUE"""),90000)</f>
        <v>90000</v>
      </c>
      <c r="G494" s="13" t="str">
        <f ca="1"/>
        <v>Espresso</v>
      </c>
      <c r="H494" s="13" t="str">
        <f ca="1"/>
        <v>Coffee</v>
      </c>
      <c r="I494" s="13">
        <f ca="1">IFERROR(__xludf.DUMMYFUNCTION("""COMPUTED_VALUE"""),18)</f>
        <v>18</v>
      </c>
      <c r="J494" s="13">
        <f ca="1">IFERROR(__xludf.DUMMYFUNCTION("""COMPUTED_VALUE"""),9)</f>
        <v>9</v>
      </c>
      <c r="K494" s="13">
        <f ca="1">IFERROR(__xludf.DUMMYFUNCTION("""COMPUTED_VALUE"""),2025)</f>
        <v>2025</v>
      </c>
      <c r="L494" s="15">
        <f ca="1"/>
        <v>45918</v>
      </c>
    </row>
    <row r="495" spans="1:12">
      <c r="A495" s="12" t="str">
        <f ca="1">IFERROR(__xludf.DUMMYFUNCTION("""COMPUTED_VALUE"""),"26-09-2025")</f>
        <v>26-09-2025</v>
      </c>
      <c r="B495" s="13" t="str">
        <f ca="1">IFERROR(__xludf.DUMMYFUNCTION("""COMPUTED_VALUE"""),"Surabaya")</f>
        <v>Surabaya</v>
      </c>
      <c r="C495" s="13" t="str">
        <f ca="1">IFERROR(__xludf.DUMMYFUNCTION("""COMPUTED_VALUE"""),"P04")</f>
        <v>P04</v>
      </c>
      <c r="D495" s="13">
        <f ca="1">IFERROR(__xludf.DUMMYFUNCTION("""COMPUTED_VALUE"""),1)</f>
        <v>1</v>
      </c>
      <c r="E495" s="14">
        <f ca="1">IFERROR(__xludf.DUMMYFUNCTION("""COMPUTED_VALUE"""),25000)</f>
        <v>25000</v>
      </c>
      <c r="F495" s="14">
        <f ca="1">IFERROR(__xludf.DUMMYFUNCTION("""COMPUTED_VALUE"""),25000)</f>
        <v>25000</v>
      </c>
      <c r="G495" s="13" t="str">
        <f ca="1"/>
        <v>Americano</v>
      </c>
      <c r="H495" s="13" t="str">
        <f ca="1"/>
        <v>Coffee</v>
      </c>
      <c r="I495" s="13">
        <f ca="1">IFERROR(__xludf.DUMMYFUNCTION("""COMPUTED_VALUE"""),26)</f>
        <v>26</v>
      </c>
      <c r="J495" s="13">
        <f ca="1">IFERROR(__xludf.DUMMYFUNCTION("""COMPUTED_VALUE"""),9)</f>
        <v>9</v>
      </c>
      <c r="K495" s="13">
        <f ca="1">IFERROR(__xludf.DUMMYFUNCTION("""COMPUTED_VALUE"""),2025)</f>
        <v>2025</v>
      </c>
      <c r="L495" s="15">
        <f ca="1"/>
        <v>45926</v>
      </c>
    </row>
    <row r="496" spans="1:12">
      <c r="A496" s="12" t="str">
        <f ca="1">IFERROR(__xludf.DUMMYFUNCTION("""COMPUTED_VALUE"""),"18-09-2025")</f>
        <v>18-09-2025</v>
      </c>
      <c r="B496" s="13" t="str">
        <f ca="1">IFERROR(__xludf.DUMMYFUNCTION("""COMPUTED_VALUE"""),"Surabaya")</f>
        <v>Surabaya</v>
      </c>
      <c r="C496" s="13" t="str">
        <f ca="1">IFERROR(__xludf.DUMMYFUNCTION("""COMPUTED_VALUE"""),"P05")</f>
        <v>P05</v>
      </c>
      <c r="D496" s="13">
        <f ca="1">IFERROR(__xludf.DUMMYFUNCTION("""COMPUTED_VALUE"""),3)</f>
        <v>3</v>
      </c>
      <c r="E496" s="14">
        <f ca="1">IFERROR(__xludf.DUMMYFUNCTION("""COMPUTED_VALUE"""),30000)</f>
        <v>30000</v>
      </c>
      <c r="F496" s="14">
        <f ca="1">IFERROR(__xludf.DUMMYFUNCTION("""COMPUTED_VALUE"""),90000)</f>
        <v>90000</v>
      </c>
      <c r="G496" s="13" t="str">
        <f ca="1"/>
        <v>Mocha</v>
      </c>
      <c r="H496" s="13" t="str">
        <f ca="1"/>
        <v>Chocolate</v>
      </c>
      <c r="I496" s="13">
        <f ca="1">IFERROR(__xludf.DUMMYFUNCTION("""COMPUTED_VALUE"""),18)</f>
        <v>18</v>
      </c>
      <c r="J496" s="13">
        <f ca="1">IFERROR(__xludf.DUMMYFUNCTION("""COMPUTED_VALUE"""),9)</f>
        <v>9</v>
      </c>
      <c r="K496" s="13">
        <f ca="1">IFERROR(__xludf.DUMMYFUNCTION("""COMPUTED_VALUE"""),2025)</f>
        <v>2025</v>
      </c>
      <c r="L496" s="15">
        <f ca="1"/>
        <v>45918</v>
      </c>
    </row>
    <row r="497" spans="1:12">
      <c r="A497" s="12" t="str">
        <f ca="1">IFERROR(__xludf.DUMMYFUNCTION("""COMPUTED_VALUE"""),"18-09-2025")</f>
        <v>18-09-2025</v>
      </c>
      <c r="B497" s="13" t="str">
        <f ca="1">IFERROR(__xludf.DUMMYFUNCTION("""COMPUTED_VALUE"""),"Surabaya")</f>
        <v>Surabaya</v>
      </c>
      <c r="C497" s="13" t="str">
        <f ca="1">IFERROR(__xludf.DUMMYFUNCTION("""COMPUTED_VALUE"""),"P01")</f>
        <v>P01</v>
      </c>
      <c r="D497" s="13">
        <f ca="1">IFERROR(__xludf.DUMMYFUNCTION("""COMPUTED_VALUE"""),1)</f>
        <v>1</v>
      </c>
      <c r="E497" s="14">
        <f ca="1">IFERROR(__xludf.DUMMYFUNCTION("""COMPUTED_VALUE"""),20000)</f>
        <v>20000</v>
      </c>
      <c r="F497" s="14">
        <f ca="1">IFERROR(__xludf.DUMMYFUNCTION("""COMPUTED_VALUE"""),20000)</f>
        <v>20000</v>
      </c>
      <c r="G497" s="13" t="str">
        <f ca="1"/>
        <v>Cappuccino</v>
      </c>
      <c r="H497" s="13" t="str">
        <f ca="1"/>
        <v>Coffee</v>
      </c>
      <c r="I497" s="13">
        <f ca="1">IFERROR(__xludf.DUMMYFUNCTION("""COMPUTED_VALUE"""),18)</f>
        <v>18</v>
      </c>
      <c r="J497" s="13">
        <f ca="1">IFERROR(__xludf.DUMMYFUNCTION("""COMPUTED_VALUE"""),9)</f>
        <v>9</v>
      </c>
      <c r="K497" s="13">
        <f ca="1">IFERROR(__xludf.DUMMYFUNCTION("""COMPUTED_VALUE"""),2025)</f>
        <v>2025</v>
      </c>
      <c r="L497" s="15">
        <f ca="1"/>
        <v>45918</v>
      </c>
    </row>
    <row r="498" spans="1:12">
      <c r="A498" s="12" t="str">
        <f ca="1">IFERROR(__xludf.DUMMYFUNCTION("""COMPUTED_VALUE"""),"01-09-2025")</f>
        <v>01-09-2025</v>
      </c>
      <c r="B498" s="13" t="str">
        <f ca="1">IFERROR(__xludf.DUMMYFUNCTION("""COMPUTED_VALUE"""),"Surabaya")</f>
        <v>Surabaya</v>
      </c>
      <c r="C498" s="13" t="str">
        <f ca="1">IFERROR(__xludf.DUMMYFUNCTION("""COMPUTED_VALUE"""),"P02")</f>
        <v>P02</v>
      </c>
      <c r="D498" s="13">
        <f ca="1">IFERROR(__xludf.DUMMYFUNCTION("""COMPUTED_VALUE"""),2)</f>
        <v>2</v>
      </c>
      <c r="E498" s="14">
        <f ca="1">IFERROR(__xludf.DUMMYFUNCTION("""COMPUTED_VALUE"""),30000)</f>
        <v>30000</v>
      </c>
      <c r="F498" s="14">
        <f ca="1">IFERROR(__xludf.DUMMYFUNCTION("""COMPUTED_VALUE"""),60000)</f>
        <v>60000</v>
      </c>
      <c r="G498" s="13" t="str">
        <f ca="1"/>
        <v>Latte</v>
      </c>
      <c r="H498" s="13" t="str">
        <f ca="1"/>
        <v>Coffee</v>
      </c>
      <c r="I498" s="13">
        <f ca="1">IFERROR(__xludf.DUMMYFUNCTION("""COMPUTED_VALUE"""),1)</f>
        <v>1</v>
      </c>
      <c r="J498" s="13">
        <f ca="1">IFERROR(__xludf.DUMMYFUNCTION("""COMPUTED_VALUE"""),9)</f>
        <v>9</v>
      </c>
      <c r="K498" s="13">
        <f ca="1">IFERROR(__xludf.DUMMYFUNCTION("""COMPUTED_VALUE"""),2025)</f>
        <v>2025</v>
      </c>
      <c r="L498" s="15">
        <f ca="1"/>
        <v>45901</v>
      </c>
    </row>
    <row r="499" spans="1:12">
      <c r="A499" s="12" t="str">
        <f ca="1">IFERROR(__xludf.DUMMYFUNCTION("""COMPUTED_VALUE"""),"08-09-2025")</f>
        <v>08-09-2025</v>
      </c>
      <c r="B499" s="13" t="str">
        <f ca="1">IFERROR(__xludf.DUMMYFUNCTION("""COMPUTED_VALUE"""),"Surabaya")</f>
        <v>Surabaya</v>
      </c>
      <c r="C499" s="13" t="str">
        <f ca="1">IFERROR(__xludf.DUMMYFUNCTION("""COMPUTED_VALUE"""),"P03")</f>
        <v>P03</v>
      </c>
      <c r="D499" s="13">
        <f ca="1">IFERROR(__xludf.DUMMYFUNCTION("""COMPUTED_VALUE"""),1)</f>
        <v>1</v>
      </c>
      <c r="E499" s="14">
        <f ca="1">IFERROR(__xludf.DUMMYFUNCTION("""COMPUTED_VALUE"""),25000)</f>
        <v>25000</v>
      </c>
      <c r="F499" s="14">
        <f ca="1">IFERROR(__xludf.DUMMYFUNCTION("""COMPUTED_VALUE"""),25000)</f>
        <v>25000</v>
      </c>
      <c r="G499" s="13" t="str">
        <f ca="1"/>
        <v>Espresso</v>
      </c>
      <c r="H499" s="13" t="str">
        <f ca="1"/>
        <v>Coffee</v>
      </c>
      <c r="I499" s="13">
        <f ca="1">IFERROR(__xludf.DUMMYFUNCTION("""COMPUTED_VALUE"""),8)</f>
        <v>8</v>
      </c>
      <c r="J499" s="13">
        <f ca="1">IFERROR(__xludf.DUMMYFUNCTION("""COMPUTED_VALUE"""),9)</f>
        <v>9</v>
      </c>
      <c r="K499" s="13">
        <f ca="1">IFERROR(__xludf.DUMMYFUNCTION("""COMPUTED_VALUE"""),2025)</f>
        <v>2025</v>
      </c>
      <c r="L499" s="15">
        <f ca="1"/>
        <v>45908</v>
      </c>
    </row>
    <row r="500" spans="1:12">
      <c r="A500" s="12" t="str">
        <f ca="1">IFERROR(__xludf.DUMMYFUNCTION("""COMPUTED_VALUE"""),"02-09-2025")</f>
        <v>02-09-2025</v>
      </c>
      <c r="B500" s="13" t="str">
        <f ca="1">IFERROR(__xludf.DUMMYFUNCTION("""COMPUTED_VALUE"""),"Surabaya")</f>
        <v>Surabaya</v>
      </c>
      <c r="C500" s="13" t="str">
        <f ca="1">IFERROR(__xludf.DUMMYFUNCTION("""COMPUTED_VALUE"""),"P04")</f>
        <v>P04</v>
      </c>
      <c r="D500" s="13">
        <f ca="1">IFERROR(__xludf.DUMMYFUNCTION("""COMPUTED_VALUE"""),2)</f>
        <v>2</v>
      </c>
      <c r="E500" s="14">
        <f ca="1">IFERROR(__xludf.DUMMYFUNCTION("""COMPUTED_VALUE"""),20000)</f>
        <v>20000</v>
      </c>
      <c r="F500" s="14">
        <f ca="1">IFERROR(__xludf.DUMMYFUNCTION("""COMPUTED_VALUE"""),40000)</f>
        <v>40000</v>
      </c>
      <c r="G500" s="13" t="str">
        <f ca="1"/>
        <v>Americano</v>
      </c>
      <c r="H500" s="13" t="str">
        <f ca="1"/>
        <v>Coffee</v>
      </c>
      <c r="I500" s="13">
        <f ca="1">IFERROR(__xludf.DUMMYFUNCTION("""COMPUTED_VALUE"""),2)</f>
        <v>2</v>
      </c>
      <c r="J500" s="13">
        <f ca="1">IFERROR(__xludf.DUMMYFUNCTION("""COMPUTED_VALUE"""),9)</f>
        <v>9</v>
      </c>
      <c r="K500" s="13">
        <f ca="1">IFERROR(__xludf.DUMMYFUNCTION("""COMPUTED_VALUE"""),2025)</f>
        <v>2025</v>
      </c>
      <c r="L500" s="15">
        <f ca="1"/>
        <v>45902</v>
      </c>
    </row>
    <row r="501" spans="1:12">
      <c r="A501" s="12" t="str">
        <f ca="1">IFERROR(__xludf.DUMMYFUNCTION("""COMPUTED_VALUE"""),"24-09-2025")</f>
        <v>24-09-2025</v>
      </c>
      <c r="B501" s="13" t="str">
        <f ca="1">IFERROR(__xludf.DUMMYFUNCTION("""COMPUTED_VALUE"""),"Surabaya")</f>
        <v>Surabaya</v>
      </c>
      <c r="C501" s="13" t="str">
        <f ca="1">IFERROR(__xludf.DUMMYFUNCTION("""COMPUTED_VALUE"""),"P05")</f>
        <v>P05</v>
      </c>
      <c r="D501" s="13">
        <f ca="1">IFERROR(__xludf.DUMMYFUNCTION("""COMPUTED_VALUE"""),5)</f>
        <v>5</v>
      </c>
      <c r="E501" s="14">
        <f ca="1">IFERROR(__xludf.DUMMYFUNCTION("""COMPUTED_VALUE"""),28000)</f>
        <v>28000</v>
      </c>
      <c r="F501" s="14">
        <f ca="1">IFERROR(__xludf.DUMMYFUNCTION("""COMPUTED_VALUE"""),140000)</f>
        <v>140000</v>
      </c>
      <c r="G501" s="13" t="str">
        <f ca="1"/>
        <v>Mocha</v>
      </c>
      <c r="H501" s="13" t="str">
        <f ca="1"/>
        <v>Chocolate</v>
      </c>
      <c r="I501" s="13">
        <f ca="1">IFERROR(__xludf.DUMMYFUNCTION("""COMPUTED_VALUE"""),24)</f>
        <v>24</v>
      </c>
      <c r="J501" s="13">
        <f ca="1">IFERROR(__xludf.DUMMYFUNCTION("""COMPUTED_VALUE"""),9)</f>
        <v>9</v>
      </c>
      <c r="K501" s="13">
        <f ca="1">IFERROR(__xludf.DUMMYFUNCTION("""COMPUTED_VALUE"""),2025)</f>
        <v>2025</v>
      </c>
      <c r="L501" s="15">
        <f ca="1"/>
        <v>45924</v>
      </c>
    </row>
    <row r="502" spans="1:12">
      <c r="A502" s="12" t="str">
        <f ca="1">IFERROR(__xludf.DUMMYFUNCTION("""COMPUTED_VALUE"""),"15-09-2025")</f>
        <v>15-09-2025</v>
      </c>
      <c r="B502" s="13" t="str">
        <f ca="1">IFERROR(__xludf.DUMMYFUNCTION("""COMPUTED_VALUE"""),"Surabaya")</f>
        <v>Surabaya</v>
      </c>
      <c r="C502" s="13" t="str">
        <f ca="1">IFERROR(__xludf.DUMMYFUNCTION("""COMPUTED_VALUE"""),"P03")</f>
        <v>P03</v>
      </c>
      <c r="D502" s="13">
        <f ca="1">IFERROR(__xludf.DUMMYFUNCTION("""COMPUTED_VALUE"""),1)</f>
        <v>1</v>
      </c>
      <c r="E502" s="14">
        <f ca="1">IFERROR(__xludf.DUMMYFUNCTION("""COMPUTED_VALUE"""),35000)</f>
        <v>35000</v>
      </c>
      <c r="F502" s="14">
        <f ca="1">IFERROR(__xludf.DUMMYFUNCTION("""COMPUTED_VALUE"""),35000)</f>
        <v>35000</v>
      </c>
      <c r="G502" s="13" t="str">
        <f ca="1"/>
        <v>Espresso</v>
      </c>
      <c r="H502" s="13" t="str">
        <f ca="1"/>
        <v>Coffee</v>
      </c>
      <c r="I502" s="13">
        <f ca="1">IFERROR(__xludf.DUMMYFUNCTION("""COMPUTED_VALUE"""),15)</f>
        <v>15</v>
      </c>
      <c r="J502" s="13">
        <f ca="1">IFERROR(__xludf.DUMMYFUNCTION("""COMPUTED_VALUE"""),9)</f>
        <v>9</v>
      </c>
      <c r="K502" s="13">
        <f ca="1">IFERROR(__xludf.DUMMYFUNCTION("""COMPUTED_VALUE"""),2025)</f>
        <v>2025</v>
      </c>
      <c r="L502" s="15">
        <f ca="1"/>
        <v>45915</v>
      </c>
    </row>
    <row r="503" spans="1:12">
      <c r="A503" s="12" t="str">
        <f ca="1">IFERROR(__xludf.DUMMYFUNCTION("""COMPUTED_VALUE"""),"26-09-2025")</f>
        <v>26-09-2025</v>
      </c>
      <c r="B503" s="13" t="str">
        <f ca="1">IFERROR(__xludf.DUMMYFUNCTION("""COMPUTED_VALUE"""),"Surabaya")</f>
        <v>Surabaya</v>
      </c>
      <c r="C503" s="13" t="str">
        <f ca="1">IFERROR(__xludf.DUMMYFUNCTION("""COMPUTED_VALUE"""),"P04")</f>
        <v>P04</v>
      </c>
      <c r="D503" s="13">
        <f ca="1">IFERROR(__xludf.DUMMYFUNCTION("""COMPUTED_VALUE"""),5)</f>
        <v>5</v>
      </c>
      <c r="E503" s="14">
        <f ca="1">IFERROR(__xludf.DUMMYFUNCTION("""COMPUTED_VALUE"""),30000)</f>
        <v>30000</v>
      </c>
      <c r="F503" s="14">
        <f ca="1">IFERROR(__xludf.DUMMYFUNCTION("""COMPUTED_VALUE"""),150000)</f>
        <v>150000</v>
      </c>
      <c r="G503" s="13" t="str">
        <f ca="1"/>
        <v>Americano</v>
      </c>
      <c r="H503" s="13" t="str">
        <f ca="1"/>
        <v>Coffee</v>
      </c>
      <c r="I503" s="13">
        <f ca="1">IFERROR(__xludf.DUMMYFUNCTION("""COMPUTED_VALUE"""),26)</f>
        <v>26</v>
      </c>
      <c r="J503" s="13">
        <f ca="1">IFERROR(__xludf.DUMMYFUNCTION("""COMPUTED_VALUE"""),9)</f>
        <v>9</v>
      </c>
      <c r="K503" s="13">
        <f ca="1">IFERROR(__xludf.DUMMYFUNCTION("""COMPUTED_VALUE"""),2025)</f>
        <v>2025</v>
      </c>
      <c r="L503" s="15">
        <f ca="1"/>
        <v>45926</v>
      </c>
    </row>
    <row r="504" spans="1:12">
      <c r="A504" s="12" t="str">
        <f ca="1">IFERROR(__xludf.DUMMYFUNCTION("""COMPUTED_VALUE"""),"10-09-2025")</f>
        <v>10-09-2025</v>
      </c>
      <c r="B504" s="13" t="str">
        <f ca="1">IFERROR(__xludf.DUMMYFUNCTION("""COMPUTED_VALUE"""),"Surabaya")</f>
        <v>Surabaya</v>
      </c>
      <c r="C504" s="13" t="str">
        <f ca="1">IFERROR(__xludf.DUMMYFUNCTION("""COMPUTED_VALUE"""),"P05")</f>
        <v>P05</v>
      </c>
      <c r="D504" s="13">
        <f ca="1">IFERROR(__xludf.DUMMYFUNCTION("""COMPUTED_VALUE"""),3)</f>
        <v>3</v>
      </c>
      <c r="E504" s="14">
        <f ca="1">IFERROR(__xludf.DUMMYFUNCTION("""COMPUTED_VALUE"""),30000)</f>
        <v>30000</v>
      </c>
      <c r="F504" s="14">
        <f ca="1">IFERROR(__xludf.DUMMYFUNCTION("""COMPUTED_VALUE"""),90000)</f>
        <v>90000</v>
      </c>
      <c r="G504" s="13" t="str">
        <f ca="1"/>
        <v>Mocha</v>
      </c>
      <c r="H504" s="13" t="str">
        <f ca="1"/>
        <v>Chocolate</v>
      </c>
      <c r="I504" s="13">
        <f ca="1">IFERROR(__xludf.DUMMYFUNCTION("""COMPUTED_VALUE"""),10)</f>
        <v>10</v>
      </c>
      <c r="J504" s="13">
        <f ca="1">IFERROR(__xludf.DUMMYFUNCTION("""COMPUTED_VALUE"""),9)</f>
        <v>9</v>
      </c>
      <c r="K504" s="13">
        <f ca="1">IFERROR(__xludf.DUMMYFUNCTION("""COMPUTED_VALUE"""),2025)</f>
        <v>2025</v>
      </c>
      <c r="L504" s="15">
        <f ca="1"/>
        <v>45910</v>
      </c>
    </row>
    <row r="505" spans="1:12">
      <c r="A505" s="12" t="str">
        <f ca="1">IFERROR(__xludf.DUMMYFUNCTION("""COMPUTED_VALUE"""),"22-09-2025")</f>
        <v>22-09-2025</v>
      </c>
      <c r="B505" s="13" t="str">
        <f ca="1">IFERROR(__xludf.DUMMYFUNCTION("""COMPUTED_VALUE"""),"Surabaya")</f>
        <v>Surabaya</v>
      </c>
      <c r="C505" s="13" t="str">
        <f ca="1">IFERROR(__xludf.DUMMYFUNCTION("""COMPUTED_VALUE"""),"P01")</f>
        <v>P01</v>
      </c>
      <c r="D505" s="13">
        <f ca="1">IFERROR(__xludf.DUMMYFUNCTION("""COMPUTED_VALUE"""),4)</f>
        <v>4</v>
      </c>
      <c r="E505" s="14">
        <f ca="1">IFERROR(__xludf.DUMMYFUNCTION("""COMPUTED_VALUE"""),20000)</f>
        <v>20000</v>
      </c>
      <c r="F505" s="14">
        <f ca="1">IFERROR(__xludf.DUMMYFUNCTION("""COMPUTED_VALUE"""),80000)</f>
        <v>80000</v>
      </c>
      <c r="G505" s="13" t="str">
        <f ca="1"/>
        <v>Cappuccino</v>
      </c>
      <c r="H505" s="13" t="str">
        <f ca="1"/>
        <v>Coffee</v>
      </c>
      <c r="I505" s="13">
        <f ca="1">IFERROR(__xludf.DUMMYFUNCTION("""COMPUTED_VALUE"""),22)</f>
        <v>22</v>
      </c>
      <c r="J505" s="13">
        <f ca="1">IFERROR(__xludf.DUMMYFUNCTION("""COMPUTED_VALUE"""),9)</f>
        <v>9</v>
      </c>
      <c r="K505" s="13">
        <f ca="1">IFERROR(__xludf.DUMMYFUNCTION("""COMPUTED_VALUE"""),2025)</f>
        <v>2025</v>
      </c>
      <c r="L505" s="15">
        <f ca="1"/>
        <v>45922</v>
      </c>
    </row>
    <row r="506" spans="1:12">
      <c r="A506" s="12" t="str">
        <f ca="1">IFERROR(__xludf.DUMMYFUNCTION("""COMPUTED_VALUE"""),"09-09-2025")</f>
        <v>09-09-2025</v>
      </c>
      <c r="B506" s="13" t="str">
        <f ca="1">IFERROR(__xludf.DUMMYFUNCTION("""COMPUTED_VALUE"""),"Surabaya")</f>
        <v>Surabaya</v>
      </c>
      <c r="C506" s="13" t="str">
        <f ca="1">IFERROR(__xludf.DUMMYFUNCTION("""COMPUTED_VALUE"""),"P02")</f>
        <v>P02</v>
      </c>
      <c r="D506" s="13">
        <f ca="1">IFERROR(__xludf.DUMMYFUNCTION("""COMPUTED_VALUE"""),3)</f>
        <v>3</v>
      </c>
      <c r="E506" s="14">
        <f ca="1">IFERROR(__xludf.DUMMYFUNCTION("""COMPUTED_VALUE"""),35000)</f>
        <v>35000</v>
      </c>
      <c r="F506" s="14">
        <f ca="1">IFERROR(__xludf.DUMMYFUNCTION("""COMPUTED_VALUE"""),105000)</f>
        <v>105000</v>
      </c>
      <c r="G506" s="13" t="str">
        <f ca="1"/>
        <v>Latte</v>
      </c>
      <c r="H506" s="13" t="str">
        <f ca="1"/>
        <v>Coffee</v>
      </c>
      <c r="I506" s="13">
        <f ca="1">IFERROR(__xludf.DUMMYFUNCTION("""COMPUTED_VALUE"""),9)</f>
        <v>9</v>
      </c>
      <c r="J506" s="13">
        <f ca="1">IFERROR(__xludf.DUMMYFUNCTION("""COMPUTED_VALUE"""),9)</f>
        <v>9</v>
      </c>
      <c r="K506" s="13">
        <f ca="1">IFERROR(__xludf.DUMMYFUNCTION("""COMPUTED_VALUE"""),2025)</f>
        <v>2025</v>
      </c>
      <c r="L506" s="15">
        <f ca="1"/>
        <v>45909</v>
      </c>
    </row>
    <row r="507" spans="1:12">
      <c r="A507" s="12" t="str">
        <f ca="1">IFERROR(__xludf.DUMMYFUNCTION("""COMPUTED_VALUE"""),"28-09-2025")</f>
        <v>28-09-2025</v>
      </c>
      <c r="B507" s="13" t="str">
        <f ca="1">IFERROR(__xludf.DUMMYFUNCTION("""COMPUTED_VALUE"""),"Surabaya")</f>
        <v>Surabaya</v>
      </c>
      <c r="C507" s="13" t="str">
        <f ca="1">IFERROR(__xludf.DUMMYFUNCTION("""COMPUTED_VALUE"""),"P03")</f>
        <v>P03</v>
      </c>
      <c r="D507" s="13">
        <f ca="1">IFERROR(__xludf.DUMMYFUNCTION("""COMPUTED_VALUE"""),2)</f>
        <v>2</v>
      </c>
      <c r="E507" s="14">
        <f ca="1">IFERROR(__xludf.DUMMYFUNCTION("""COMPUTED_VALUE"""),20000)</f>
        <v>20000</v>
      </c>
      <c r="F507" s="14">
        <f ca="1">IFERROR(__xludf.DUMMYFUNCTION("""COMPUTED_VALUE"""),40000)</f>
        <v>40000</v>
      </c>
      <c r="G507" s="13" t="str">
        <f ca="1"/>
        <v>Espresso</v>
      </c>
      <c r="H507" s="13" t="str">
        <f ca="1"/>
        <v>Coffee</v>
      </c>
      <c r="I507" s="13">
        <f ca="1">IFERROR(__xludf.DUMMYFUNCTION("""COMPUTED_VALUE"""),28)</f>
        <v>28</v>
      </c>
      <c r="J507" s="13">
        <f ca="1">IFERROR(__xludf.DUMMYFUNCTION("""COMPUTED_VALUE"""),9)</f>
        <v>9</v>
      </c>
      <c r="K507" s="13">
        <f ca="1">IFERROR(__xludf.DUMMYFUNCTION("""COMPUTED_VALUE"""),2025)</f>
        <v>2025</v>
      </c>
      <c r="L507" s="15">
        <f ca="1"/>
        <v>45928</v>
      </c>
    </row>
    <row r="508" spans="1:12">
      <c r="A508" s="12" t="str">
        <f ca="1">IFERROR(__xludf.DUMMYFUNCTION("""COMPUTED_VALUE"""),"19-09-2025")</f>
        <v>19-09-2025</v>
      </c>
      <c r="B508" s="13" t="str">
        <f ca="1">IFERROR(__xludf.DUMMYFUNCTION("""COMPUTED_VALUE"""),"Surabaya")</f>
        <v>Surabaya</v>
      </c>
      <c r="C508" s="13" t="str">
        <f ca="1">IFERROR(__xludf.DUMMYFUNCTION("""COMPUTED_VALUE"""),"P04")</f>
        <v>P04</v>
      </c>
      <c r="D508" s="13">
        <f ca="1">IFERROR(__xludf.DUMMYFUNCTION("""COMPUTED_VALUE"""),5)</f>
        <v>5</v>
      </c>
      <c r="E508" s="14">
        <f ca="1">IFERROR(__xludf.DUMMYFUNCTION("""COMPUTED_VALUE"""),20000)</f>
        <v>20000</v>
      </c>
      <c r="F508" s="14">
        <f ca="1">IFERROR(__xludf.DUMMYFUNCTION("""COMPUTED_VALUE"""),100000)</f>
        <v>100000</v>
      </c>
      <c r="G508" s="13" t="str">
        <f ca="1"/>
        <v>Americano</v>
      </c>
      <c r="H508" s="13" t="str">
        <f ca="1"/>
        <v>Coffee</v>
      </c>
      <c r="I508" s="13">
        <f ca="1">IFERROR(__xludf.DUMMYFUNCTION("""COMPUTED_VALUE"""),19)</f>
        <v>19</v>
      </c>
      <c r="J508" s="13">
        <f ca="1">IFERROR(__xludf.DUMMYFUNCTION("""COMPUTED_VALUE"""),9)</f>
        <v>9</v>
      </c>
      <c r="K508" s="13">
        <f ca="1">IFERROR(__xludf.DUMMYFUNCTION("""COMPUTED_VALUE"""),2025)</f>
        <v>2025</v>
      </c>
      <c r="L508" s="15">
        <f ca="1"/>
        <v>45919</v>
      </c>
    </row>
    <row r="509" spans="1:12">
      <c r="A509" s="12" t="str">
        <f ca="1">IFERROR(__xludf.DUMMYFUNCTION("""COMPUTED_VALUE"""),"18-09-2025")</f>
        <v>18-09-2025</v>
      </c>
      <c r="B509" s="13" t="str">
        <f ca="1">IFERROR(__xludf.DUMMYFUNCTION("""COMPUTED_VALUE"""),"Surabaya")</f>
        <v>Surabaya</v>
      </c>
      <c r="C509" s="13" t="str">
        <f ca="1">IFERROR(__xludf.DUMMYFUNCTION("""COMPUTED_VALUE"""),"P05")</f>
        <v>P05</v>
      </c>
      <c r="D509" s="13">
        <f ca="1">IFERROR(__xludf.DUMMYFUNCTION("""COMPUTED_VALUE"""),4)</f>
        <v>4</v>
      </c>
      <c r="E509" s="14">
        <f ca="1">IFERROR(__xludf.DUMMYFUNCTION("""COMPUTED_VALUE"""),35000)</f>
        <v>35000</v>
      </c>
      <c r="F509" s="14">
        <f ca="1">IFERROR(__xludf.DUMMYFUNCTION("""COMPUTED_VALUE"""),140000)</f>
        <v>140000</v>
      </c>
      <c r="G509" s="13" t="str">
        <f ca="1"/>
        <v>Mocha</v>
      </c>
      <c r="H509" s="13" t="str">
        <f ca="1"/>
        <v>Chocolate</v>
      </c>
      <c r="I509" s="13">
        <f ca="1">IFERROR(__xludf.DUMMYFUNCTION("""COMPUTED_VALUE"""),18)</f>
        <v>18</v>
      </c>
      <c r="J509" s="13">
        <f ca="1">IFERROR(__xludf.DUMMYFUNCTION("""COMPUTED_VALUE"""),9)</f>
        <v>9</v>
      </c>
      <c r="K509" s="13">
        <f ca="1">IFERROR(__xludf.DUMMYFUNCTION("""COMPUTED_VALUE"""),2025)</f>
        <v>2025</v>
      </c>
      <c r="L509" s="15">
        <f ca="1"/>
        <v>45918</v>
      </c>
    </row>
    <row r="510" spans="1:12">
      <c r="A510" s="12" t="str">
        <f ca="1">IFERROR(__xludf.DUMMYFUNCTION("""COMPUTED_VALUE"""),"01-09-2025")</f>
        <v>01-09-2025</v>
      </c>
      <c r="B510" s="13" t="str">
        <f ca="1">IFERROR(__xludf.DUMMYFUNCTION("""COMPUTED_VALUE"""),"Surabaya")</f>
        <v>Surabaya</v>
      </c>
      <c r="C510" s="13" t="str">
        <f ca="1">IFERROR(__xludf.DUMMYFUNCTION("""COMPUTED_VALUE"""),"P01")</f>
        <v>P01</v>
      </c>
      <c r="D510" s="13">
        <f ca="1">IFERROR(__xludf.DUMMYFUNCTION("""COMPUTED_VALUE"""),2)</f>
        <v>2</v>
      </c>
      <c r="E510" s="14">
        <f ca="1">IFERROR(__xludf.DUMMYFUNCTION("""COMPUTED_VALUE"""),20000)</f>
        <v>20000</v>
      </c>
      <c r="F510" s="14">
        <f ca="1">IFERROR(__xludf.DUMMYFUNCTION("""COMPUTED_VALUE"""),40000)</f>
        <v>40000</v>
      </c>
      <c r="G510" s="13" t="str">
        <f ca="1"/>
        <v>Cappuccino</v>
      </c>
      <c r="H510" s="13" t="str">
        <f ca="1"/>
        <v>Coffee</v>
      </c>
      <c r="I510" s="13">
        <f ca="1">IFERROR(__xludf.DUMMYFUNCTION("""COMPUTED_VALUE"""),1)</f>
        <v>1</v>
      </c>
      <c r="J510" s="13">
        <f ca="1">IFERROR(__xludf.DUMMYFUNCTION("""COMPUTED_VALUE"""),9)</f>
        <v>9</v>
      </c>
      <c r="K510" s="13">
        <f ca="1">IFERROR(__xludf.DUMMYFUNCTION("""COMPUTED_VALUE"""),2025)</f>
        <v>2025</v>
      </c>
      <c r="L510" s="15">
        <f ca="1"/>
        <v>45901</v>
      </c>
    </row>
    <row r="511" spans="1:12">
      <c r="A511" s="12" t="str">
        <f ca="1">IFERROR(__xludf.DUMMYFUNCTION("""COMPUTED_VALUE"""),"13-09-2025")</f>
        <v>13-09-2025</v>
      </c>
      <c r="B511" s="13" t="str">
        <f ca="1">IFERROR(__xludf.DUMMYFUNCTION("""COMPUTED_VALUE"""),"Surabaya")</f>
        <v>Surabaya</v>
      </c>
      <c r="C511" s="13" t="str">
        <f ca="1">IFERROR(__xludf.DUMMYFUNCTION("""COMPUTED_VALUE"""),"P02")</f>
        <v>P02</v>
      </c>
      <c r="D511" s="13">
        <f ca="1">IFERROR(__xludf.DUMMYFUNCTION("""COMPUTED_VALUE"""),1)</f>
        <v>1</v>
      </c>
      <c r="E511" s="14">
        <f ca="1">IFERROR(__xludf.DUMMYFUNCTION("""COMPUTED_VALUE"""),28000)</f>
        <v>28000</v>
      </c>
      <c r="F511" s="14">
        <f ca="1">IFERROR(__xludf.DUMMYFUNCTION("""COMPUTED_VALUE"""),28000)</f>
        <v>28000</v>
      </c>
      <c r="G511" s="13" t="str">
        <f ca="1"/>
        <v>Latte</v>
      </c>
      <c r="H511" s="13" t="str">
        <f ca="1"/>
        <v>Coffee</v>
      </c>
      <c r="I511" s="13">
        <f ca="1">IFERROR(__xludf.DUMMYFUNCTION("""COMPUTED_VALUE"""),13)</f>
        <v>13</v>
      </c>
      <c r="J511" s="13">
        <f ca="1">IFERROR(__xludf.DUMMYFUNCTION("""COMPUTED_VALUE"""),9)</f>
        <v>9</v>
      </c>
      <c r="K511" s="13">
        <f ca="1">IFERROR(__xludf.DUMMYFUNCTION("""COMPUTED_VALUE"""),2025)</f>
        <v>2025</v>
      </c>
      <c r="L511" s="15">
        <f ca="1"/>
        <v>45913</v>
      </c>
    </row>
    <row r="512" spans="1:12">
      <c r="A512" s="12" t="str">
        <f ca="1">IFERROR(__xludf.DUMMYFUNCTION("""COMPUTED_VALUE"""),"14-09-2025")</f>
        <v>14-09-2025</v>
      </c>
      <c r="B512" s="13" t="str">
        <f ca="1">IFERROR(__xludf.DUMMYFUNCTION("""COMPUTED_VALUE"""),"Surabaya")</f>
        <v>Surabaya</v>
      </c>
      <c r="C512" s="13" t="str">
        <f ca="1">IFERROR(__xludf.DUMMYFUNCTION("""COMPUTED_VALUE"""),"P03")</f>
        <v>P03</v>
      </c>
      <c r="D512" s="13">
        <f ca="1">IFERROR(__xludf.DUMMYFUNCTION("""COMPUTED_VALUE"""),1)</f>
        <v>1</v>
      </c>
      <c r="E512" s="14">
        <f ca="1">IFERROR(__xludf.DUMMYFUNCTION("""COMPUTED_VALUE"""),28000)</f>
        <v>28000</v>
      </c>
      <c r="F512" s="14">
        <f ca="1">IFERROR(__xludf.DUMMYFUNCTION("""COMPUTED_VALUE"""),28000)</f>
        <v>28000</v>
      </c>
      <c r="G512" s="13" t="str">
        <f ca="1"/>
        <v>Espresso</v>
      </c>
      <c r="H512" s="13" t="str">
        <f ca="1"/>
        <v>Coffee</v>
      </c>
      <c r="I512" s="13">
        <f ca="1">IFERROR(__xludf.DUMMYFUNCTION("""COMPUTED_VALUE"""),14)</f>
        <v>14</v>
      </c>
      <c r="J512" s="13">
        <f ca="1">IFERROR(__xludf.DUMMYFUNCTION("""COMPUTED_VALUE"""),9)</f>
        <v>9</v>
      </c>
      <c r="K512" s="13">
        <f ca="1">IFERROR(__xludf.DUMMYFUNCTION("""COMPUTED_VALUE"""),2025)</f>
        <v>2025</v>
      </c>
      <c r="L512" s="15">
        <f ca="1"/>
        <v>45914</v>
      </c>
    </row>
    <row r="513" spans="1:12">
      <c r="A513" s="12" t="str">
        <f ca="1">IFERROR(__xludf.DUMMYFUNCTION("""COMPUTED_VALUE"""),"14-09-2025")</f>
        <v>14-09-2025</v>
      </c>
      <c r="B513" s="13" t="str">
        <f ca="1">IFERROR(__xludf.DUMMYFUNCTION("""COMPUTED_VALUE"""),"Surabaya")</f>
        <v>Surabaya</v>
      </c>
      <c r="C513" s="13" t="str">
        <f ca="1">IFERROR(__xludf.DUMMYFUNCTION("""COMPUTED_VALUE"""),"P04")</f>
        <v>P04</v>
      </c>
      <c r="D513" s="13">
        <f ca="1">IFERROR(__xludf.DUMMYFUNCTION("""COMPUTED_VALUE"""),5)</f>
        <v>5</v>
      </c>
      <c r="E513" s="14">
        <f ca="1">IFERROR(__xludf.DUMMYFUNCTION("""COMPUTED_VALUE"""),20000)</f>
        <v>20000</v>
      </c>
      <c r="F513" s="14">
        <f ca="1">IFERROR(__xludf.DUMMYFUNCTION("""COMPUTED_VALUE"""),100000)</f>
        <v>100000</v>
      </c>
      <c r="G513" s="13" t="str">
        <f ca="1"/>
        <v>Americano</v>
      </c>
      <c r="H513" s="13" t="str">
        <f ca="1"/>
        <v>Coffee</v>
      </c>
      <c r="I513" s="13">
        <f ca="1">IFERROR(__xludf.DUMMYFUNCTION("""COMPUTED_VALUE"""),14)</f>
        <v>14</v>
      </c>
      <c r="J513" s="13">
        <f ca="1">IFERROR(__xludf.DUMMYFUNCTION("""COMPUTED_VALUE"""),9)</f>
        <v>9</v>
      </c>
      <c r="K513" s="13">
        <f ca="1">IFERROR(__xludf.DUMMYFUNCTION("""COMPUTED_VALUE"""),2025)</f>
        <v>2025</v>
      </c>
      <c r="L513" s="15">
        <f ca="1"/>
        <v>45914</v>
      </c>
    </row>
    <row r="514" spans="1:12">
      <c r="A514" s="12" t="str">
        <f ca="1">IFERROR(__xludf.DUMMYFUNCTION("""COMPUTED_VALUE"""),"27-09-2025")</f>
        <v>27-09-2025</v>
      </c>
      <c r="B514" s="13" t="str">
        <f ca="1">IFERROR(__xludf.DUMMYFUNCTION("""COMPUTED_VALUE"""),"Surabaya")</f>
        <v>Surabaya</v>
      </c>
      <c r="C514" s="13" t="str">
        <f ca="1">IFERROR(__xludf.DUMMYFUNCTION("""COMPUTED_VALUE"""),"P05")</f>
        <v>P05</v>
      </c>
      <c r="D514" s="13">
        <f ca="1">IFERROR(__xludf.DUMMYFUNCTION("""COMPUTED_VALUE"""),5)</f>
        <v>5</v>
      </c>
      <c r="E514" s="14">
        <f ca="1">IFERROR(__xludf.DUMMYFUNCTION("""COMPUTED_VALUE"""),20000)</f>
        <v>20000</v>
      </c>
      <c r="F514" s="14">
        <f ca="1">IFERROR(__xludf.DUMMYFUNCTION("""COMPUTED_VALUE"""),100000)</f>
        <v>100000</v>
      </c>
      <c r="G514" s="13" t="str">
        <f ca="1"/>
        <v>Mocha</v>
      </c>
      <c r="H514" s="13" t="str">
        <f ca="1"/>
        <v>Chocolate</v>
      </c>
      <c r="I514" s="13">
        <f ca="1">IFERROR(__xludf.DUMMYFUNCTION("""COMPUTED_VALUE"""),27)</f>
        <v>27</v>
      </c>
      <c r="J514" s="13">
        <f ca="1">IFERROR(__xludf.DUMMYFUNCTION("""COMPUTED_VALUE"""),9)</f>
        <v>9</v>
      </c>
      <c r="K514" s="13">
        <f ca="1">IFERROR(__xludf.DUMMYFUNCTION("""COMPUTED_VALUE"""),2025)</f>
        <v>2025</v>
      </c>
      <c r="L514" s="15">
        <f ca="1"/>
        <v>45927</v>
      </c>
    </row>
    <row r="515" spans="1:12">
      <c r="A515" s="12" t="str">
        <f ca="1">IFERROR(__xludf.DUMMYFUNCTION("""COMPUTED_VALUE"""),"05-09-2025")</f>
        <v>05-09-2025</v>
      </c>
      <c r="B515" s="13" t="str">
        <f ca="1">IFERROR(__xludf.DUMMYFUNCTION("""COMPUTED_VALUE"""),"Surabaya")</f>
        <v>Surabaya</v>
      </c>
      <c r="C515" s="13" t="str">
        <f ca="1">IFERROR(__xludf.DUMMYFUNCTION("""COMPUTED_VALUE"""),"P04")</f>
        <v>P04</v>
      </c>
      <c r="D515" s="13">
        <f ca="1">IFERROR(__xludf.DUMMYFUNCTION("""COMPUTED_VALUE"""),1)</f>
        <v>1</v>
      </c>
      <c r="E515" s="14">
        <f ca="1">IFERROR(__xludf.DUMMYFUNCTION("""COMPUTED_VALUE"""),28000)</f>
        <v>28000</v>
      </c>
      <c r="F515" s="14">
        <f ca="1">IFERROR(__xludf.DUMMYFUNCTION("""COMPUTED_VALUE"""),28000)</f>
        <v>28000</v>
      </c>
      <c r="G515" s="13" t="str">
        <f ca="1"/>
        <v>Americano</v>
      </c>
      <c r="H515" s="13" t="str">
        <f ca="1"/>
        <v>Coffee</v>
      </c>
      <c r="I515" s="13">
        <f ca="1">IFERROR(__xludf.DUMMYFUNCTION("""COMPUTED_VALUE"""),5)</f>
        <v>5</v>
      </c>
      <c r="J515" s="13">
        <f ca="1">IFERROR(__xludf.DUMMYFUNCTION("""COMPUTED_VALUE"""),9)</f>
        <v>9</v>
      </c>
      <c r="K515" s="13">
        <f ca="1">IFERROR(__xludf.DUMMYFUNCTION("""COMPUTED_VALUE"""),2025)</f>
        <v>2025</v>
      </c>
      <c r="L515" s="15">
        <f ca="1"/>
        <v>45905</v>
      </c>
    </row>
    <row r="516" spans="1:12">
      <c r="A516" s="12" t="str">
        <f ca="1">IFERROR(__xludf.DUMMYFUNCTION("""COMPUTED_VALUE"""),"11-09-2025")</f>
        <v>11-09-2025</v>
      </c>
      <c r="B516" s="13" t="str">
        <f ca="1">IFERROR(__xludf.DUMMYFUNCTION("""COMPUTED_VALUE"""),"Surabaya")</f>
        <v>Surabaya</v>
      </c>
      <c r="C516" s="13" t="str">
        <f ca="1">IFERROR(__xludf.DUMMYFUNCTION("""COMPUTED_VALUE"""),"P05")</f>
        <v>P05</v>
      </c>
      <c r="D516" s="13">
        <f ca="1">IFERROR(__xludf.DUMMYFUNCTION("""COMPUTED_VALUE"""),1)</f>
        <v>1</v>
      </c>
      <c r="E516" s="14">
        <f ca="1">IFERROR(__xludf.DUMMYFUNCTION("""COMPUTED_VALUE"""),30000)</f>
        <v>30000</v>
      </c>
      <c r="F516" s="14">
        <f ca="1">IFERROR(__xludf.DUMMYFUNCTION("""COMPUTED_VALUE"""),30000)</f>
        <v>30000</v>
      </c>
      <c r="G516" s="13" t="str">
        <f ca="1"/>
        <v>Mocha</v>
      </c>
      <c r="H516" s="13" t="str">
        <f ca="1"/>
        <v>Chocolate</v>
      </c>
      <c r="I516" s="13">
        <f ca="1">IFERROR(__xludf.DUMMYFUNCTION("""COMPUTED_VALUE"""),11)</f>
        <v>11</v>
      </c>
      <c r="J516" s="13">
        <f ca="1">IFERROR(__xludf.DUMMYFUNCTION("""COMPUTED_VALUE"""),9)</f>
        <v>9</v>
      </c>
      <c r="K516" s="13">
        <f ca="1">IFERROR(__xludf.DUMMYFUNCTION("""COMPUTED_VALUE"""),2025)</f>
        <v>2025</v>
      </c>
      <c r="L516" s="15">
        <f ca="1"/>
        <v>45911</v>
      </c>
    </row>
    <row r="517" spans="1:12">
      <c r="A517" s="12" t="str">
        <f ca="1">IFERROR(__xludf.DUMMYFUNCTION("""COMPUTED_VALUE"""),"04-09-2025")</f>
        <v>04-09-2025</v>
      </c>
      <c r="B517" s="13" t="str">
        <f ca="1">IFERROR(__xludf.DUMMYFUNCTION("""COMPUTED_VALUE"""),"Surabaya")</f>
        <v>Surabaya</v>
      </c>
      <c r="C517" s="13" t="str">
        <f ca="1">IFERROR(__xludf.DUMMYFUNCTION("""COMPUTED_VALUE"""),"P01")</f>
        <v>P01</v>
      </c>
      <c r="D517" s="13">
        <f ca="1">IFERROR(__xludf.DUMMYFUNCTION("""COMPUTED_VALUE"""),3)</f>
        <v>3</v>
      </c>
      <c r="E517" s="14">
        <f ca="1">IFERROR(__xludf.DUMMYFUNCTION("""COMPUTED_VALUE"""),20000)</f>
        <v>20000</v>
      </c>
      <c r="F517" s="14">
        <f ca="1">IFERROR(__xludf.DUMMYFUNCTION("""COMPUTED_VALUE"""),60000)</f>
        <v>60000</v>
      </c>
      <c r="G517" s="13" t="str">
        <f ca="1"/>
        <v>Cappuccino</v>
      </c>
      <c r="H517" s="13" t="str">
        <f ca="1"/>
        <v>Coffee</v>
      </c>
      <c r="I517" s="13">
        <f ca="1">IFERROR(__xludf.DUMMYFUNCTION("""COMPUTED_VALUE"""),4)</f>
        <v>4</v>
      </c>
      <c r="J517" s="13">
        <f ca="1">IFERROR(__xludf.DUMMYFUNCTION("""COMPUTED_VALUE"""),9)</f>
        <v>9</v>
      </c>
      <c r="K517" s="13">
        <f ca="1">IFERROR(__xludf.DUMMYFUNCTION("""COMPUTED_VALUE"""),2025)</f>
        <v>2025</v>
      </c>
      <c r="L517" s="15">
        <f ca="1"/>
        <v>45904</v>
      </c>
    </row>
    <row r="518" spans="1:12">
      <c r="A518" s="12" t="str">
        <f ca="1">IFERROR(__xludf.DUMMYFUNCTION("""COMPUTED_VALUE"""),"17-09-2025")</f>
        <v>17-09-2025</v>
      </c>
      <c r="B518" s="13" t="str">
        <f ca="1">IFERROR(__xludf.DUMMYFUNCTION("""COMPUTED_VALUE"""),"Surabaya")</f>
        <v>Surabaya</v>
      </c>
      <c r="C518" s="13" t="str">
        <f ca="1">IFERROR(__xludf.DUMMYFUNCTION("""COMPUTED_VALUE"""),"P02")</f>
        <v>P02</v>
      </c>
      <c r="D518" s="13">
        <f ca="1">IFERROR(__xludf.DUMMYFUNCTION("""COMPUTED_VALUE"""),2)</f>
        <v>2</v>
      </c>
      <c r="E518" s="14">
        <f ca="1">IFERROR(__xludf.DUMMYFUNCTION("""COMPUTED_VALUE"""),20000)</f>
        <v>20000</v>
      </c>
      <c r="F518" s="14">
        <f ca="1">IFERROR(__xludf.DUMMYFUNCTION("""COMPUTED_VALUE"""),40000)</f>
        <v>40000</v>
      </c>
      <c r="G518" s="13" t="str">
        <f ca="1"/>
        <v>Latte</v>
      </c>
      <c r="H518" s="13" t="str">
        <f ca="1"/>
        <v>Coffee</v>
      </c>
      <c r="I518" s="13">
        <f ca="1">IFERROR(__xludf.DUMMYFUNCTION("""COMPUTED_VALUE"""),17)</f>
        <v>17</v>
      </c>
      <c r="J518" s="13">
        <f ca="1">IFERROR(__xludf.DUMMYFUNCTION("""COMPUTED_VALUE"""),9)</f>
        <v>9</v>
      </c>
      <c r="K518" s="13">
        <f ca="1">IFERROR(__xludf.DUMMYFUNCTION("""COMPUTED_VALUE"""),2025)</f>
        <v>2025</v>
      </c>
      <c r="L518" s="15">
        <f ca="1"/>
        <v>45917</v>
      </c>
    </row>
    <row r="519" spans="1:12">
      <c r="A519" s="12" t="str">
        <f ca="1">IFERROR(__xludf.DUMMYFUNCTION("""COMPUTED_VALUE"""),"28-09-2025")</f>
        <v>28-09-2025</v>
      </c>
      <c r="B519" s="13" t="str">
        <f ca="1">IFERROR(__xludf.DUMMYFUNCTION("""COMPUTED_VALUE"""),"Surabaya")</f>
        <v>Surabaya</v>
      </c>
      <c r="C519" s="13" t="str">
        <f ca="1">IFERROR(__xludf.DUMMYFUNCTION("""COMPUTED_VALUE"""),"P03")</f>
        <v>P03</v>
      </c>
      <c r="D519" s="13">
        <f ca="1">IFERROR(__xludf.DUMMYFUNCTION("""COMPUTED_VALUE"""),4)</f>
        <v>4</v>
      </c>
      <c r="E519" s="14">
        <f ca="1">IFERROR(__xludf.DUMMYFUNCTION("""COMPUTED_VALUE"""),25000)</f>
        <v>25000</v>
      </c>
      <c r="F519" s="14">
        <f ca="1">IFERROR(__xludf.DUMMYFUNCTION("""COMPUTED_VALUE"""),100000)</f>
        <v>100000</v>
      </c>
      <c r="G519" s="13" t="str">
        <f ca="1"/>
        <v>Espresso</v>
      </c>
      <c r="H519" s="13" t="str">
        <f ca="1"/>
        <v>Coffee</v>
      </c>
      <c r="I519" s="13">
        <f ca="1">IFERROR(__xludf.DUMMYFUNCTION("""COMPUTED_VALUE"""),28)</f>
        <v>28</v>
      </c>
      <c r="J519" s="13">
        <f ca="1">IFERROR(__xludf.DUMMYFUNCTION("""COMPUTED_VALUE"""),9)</f>
        <v>9</v>
      </c>
      <c r="K519" s="13">
        <f ca="1">IFERROR(__xludf.DUMMYFUNCTION("""COMPUTED_VALUE"""),2025)</f>
        <v>2025</v>
      </c>
      <c r="L519" s="15">
        <f ca="1"/>
        <v>45928</v>
      </c>
    </row>
    <row r="520" spans="1:12">
      <c r="A520" s="12" t="str">
        <f ca="1">IFERROR(__xludf.DUMMYFUNCTION("""COMPUTED_VALUE"""),"04-09-2025")</f>
        <v>04-09-2025</v>
      </c>
      <c r="B520" s="13" t="str">
        <f ca="1">IFERROR(__xludf.DUMMYFUNCTION("""COMPUTED_VALUE"""),"Surabaya")</f>
        <v>Surabaya</v>
      </c>
      <c r="C520" s="13" t="str">
        <f ca="1">IFERROR(__xludf.DUMMYFUNCTION("""COMPUTED_VALUE"""),"P04")</f>
        <v>P04</v>
      </c>
      <c r="D520" s="13">
        <f ca="1">IFERROR(__xludf.DUMMYFUNCTION("""COMPUTED_VALUE"""),4)</f>
        <v>4</v>
      </c>
      <c r="E520" s="14">
        <f ca="1">IFERROR(__xludf.DUMMYFUNCTION("""COMPUTED_VALUE"""),25000)</f>
        <v>25000</v>
      </c>
      <c r="F520" s="14">
        <f ca="1">IFERROR(__xludf.DUMMYFUNCTION("""COMPUTED_VALUE"""),100000)</f>
        <v>100000</v>
      </c>
      <c r="G520" s="13" t="str">
        <f ca="1"/>
        <v>Americano</v>
      </c>
      <c r="H520" s="13" t="str">
        <f ca="1"/>
        <v>Coffee</v>
      </c>
      <c r="I520" s="13">
        <f ca="1">IFERROR(__xludf.DUMMYFUNCTION("""COMPUTED_VALUE"""),4)</f>
        <v>4</v>
      </c>
      <c r="J520" s="13">
        <f ca="1">IFERROR(__xludf.DUMMYFUNCTION("""COMPUTED_VALUE"""),9)</f>
        <v>9</v>
      </c>
      <c r="K520" s="13">
        <f ca="1">IFERROR(__xludf.DUMMYFUNCTION("""COMPUTED_VALUE"""),2025)</f>
        <v>2025</v>
      </c>
      <c r="L520" s="15">
        <f ca="1"/>
        <v>45904</v>
      </c>
    </row>
    <row r="521" spans="1:12">
      <c r="A521" s="12" t="str">
        <f ca="1">IFERROR(__xludf.DUMMYFUNCTION("""COMPUTED_VALUE"""),"20-09-2025")</f>
        <v>20-09-2025</v>
      </c>
      <c r="B521" s="13" t="str">
        <f ca="1">IFERROR(__xludf.DUMMYFUNCTION("""COMPUTED_VALUE"""),"Surabaya")</f>
        <v>Surabaya</v>
      </c>
      <c r="C521" s="13" t="str">
        <f ca="1">IFERROR(__xludf.DUMMYFUNCTION("""COMPUTED_VALUE"""),"P05")</f>
        <v>P05</v>
      </c>
      <c r="D521" s="13">
        <f ca="1">IFERROR(__xludf.DUMMYFUNCTION("""COMPUTED_VALUE"""),3)</f>
        <v>3</v>
      </c>
      <c r="E521" s="14">
        <f ca="1">IFERROR(__xludf.DUMMYFUNCTION("""COMPUTED_VALUE"""),25000)</f>
        <v>25000</v>
      </c>
      <c r="F521" s="14">
        <f ca="1">IFERROR(__xludf.DUMMYFUNCTION("""COMPUTED_VALUE"""),75000)</f>
        <v>75000</v>
      </c>
      <c r="G521" s="13" t="str">
        <f ca="1"/>
        <v>Mocha</v>
      </c>
      <c r="H521" s="13" t="str">
        <f ca="1"/>
        <v>Chocolate</v>
      </c>
      <c r="I521" s="13">
        <f ca="1">IFERROR(__xludf.DUMMYFUNCTION("""COMPUTED_VALUE"""),20)</f>
        <v>20</v>
      </c>
      <c r="J521" s="13">
        <f ca="1">IFERROR(__xludf.DUMMYFUNCTION("""COMPUTED_VALUE"""),9)</f>
        <v>9</v>
      </c>
      <c r="K521" s="13">
        <f ca="1">IFERROR(__xludf.DUMMYFUNCTION("""COMPUTED_VALUE"""),2025)</f>
        <v>2025</v>
      </c>
      <c r="L521" s="15">
        <f ca="1"/>
        <v>45920</v>
      </c>
    </row>
    <row r="522" spans="1:12">
      <c r="A522" s="12" t="str">
        <f ca="1">IFERROR(__xludf.DUMMYFUNCTION("""COMPUTED_VALUE"""),"08-09-2025")</f>
        <v>08-09-2025</v>
      </c>
      <c r="B522" s="13" t="str">
        <f ca="1">IFERROR(__xludf.DUMMYFUNCTION("""COMPUTED_VALUE"""),"Surabaya")</f>
        <v>Surabaya</v>
      </c>
      <c r="C522" s="13" t="str">
        <f ca="1">IFERROR(__xludf.DUMMYFUNCTION("""COMPUTED_VALUE"""),"P03")</f>
        <v>P03</v>
      </c>
      <c r="D522" s="13">
        <f ca="1">IFERROR(__xludf.DUMMYFUNCTION("""COMPUTED_VALUE"""),1)</f>
        <v>1</v>
      </c>
      <c r="E522" s="14">
        <f ca="1">IFERROR(__xludf.DUMMYFUNCTION("""COMPUTED_VALUE"""),20000)</f>
        <v>20000</v>
      </c>
      <c r="F522" s="14">
        <f ca="1">IFERROR(__xludf.DUMMYFUNCTION("""COMPUTED_VALUE"""),20000)</f>
        <v>20000</v>
      </c>
      <c r="G522" s="13" t="str">
        <f ca="1"/>
        <v>Espresso</v>
      </c>
      <c r="H522" s="13" t="str">
        <f ca="1"/>
        <v>Coffee</v>
      </c>
      <c r="I522" s="13">
        <f ca="1">IFERROR(__xludf.DUMMYFUNCTION("""COMPUTED_VALUE"""),8)</f>
        <v>8</v>
      </c>
      <c r="J522" s="13">
        <f ca="1">IFERROR(__xludf.DUMMYFUNCTION("""COMPUTED_VALUE"""),9)</f>
        <v>9</v>
      </c>
      <c r="K522" s="13">
        <f ca="1">IFERROR(__xludf.DUMMYFUNCTION("""COMPUTED_VALUE"""),2025)</f>
        <v>2025</v>
      </c>
      <c r="L522" s="15">
        <f ca="1"/>
        <v>45908</v>
      </c>
    </row>
    <row r="523" spans="1:12">
      <c r="A523" s="12" t="str">
        <f ca="1">IFERROR(__xludf.DUMMYFUNCTION("""COMPUTED_VALUE"""),"01-09-2025")</f>
        <v>01-09-2025</v>
      </c>
      <c r="B523" s="13" t="str">
        <f ca="1">IFERROR(__xludf.DUMMYFUNCTION("""COMPUTED_VALUE"""),"Surabaya")</f>
        <v>Surabaya</v>
      </c>
      <c r="C523" s="13" t="str">
        <f ca="1">IFERROR(__xludf.DUMMYFUNCTION("""COMPUTED_VALUE"""),"P04")</f>
        <v>P04</v>
      </c>
      <c r="D523" s="13">
        <f ca="1">IFERROR(__xludf.DUMMYFUNCTION("""COMPUTED_VALUE"""),3)</f>
        <v>3</v>
      </c>
      <c r="E523" s="14">
        <f ca="1">IFERROR(__xludf.DUMMYFUNCTION("""COMPUTED_VALUE"""),25000)</f>
        <v>25000</v>
      </c>
      <c r="F523" s="14">
        <f ca="1">IFERROR(__xludf.DUMMYFUNCTION("""COMPUTED_VALUE"""),75000)</f>
        <v>75000</v>
      </c>
      <c r="G523" s="13" t="str">
        <f ca="1"/>
        <v>Americano</v>
      </c>
      <c r="H523" s="13" t="str">
        <f ca="1"/>
        <v>Coffee</v>
      </c>
      <c r="I523" s="13">
        <f ca="1">IFERROR(__xludf.DUMMYFUNCTION("""COMPUTED_VALUE"""),1)</f>
        <v>1</v>
      </c>
      <c r="J523" s="13">
        <f ca="1">IFERROR(__xludf.DUMMYFUNCTION("""COMPUTED_VALUE"""),9)</f>
        <v>9</v>
      </c>
      <c r="K523" s="13">
        <f ca="1">IFERROR(__xludf.DUMMYFUNCTION("""COMPUTED_VALUE"""),2025)</f>
        <v>2025</v>
      </c>
      <c r="L523" s="15">
        <f ca="1"/>
        <v>45901</v>
      </c>
    </row>
    <row r="524" spans="1:12">
      <c r="A524" s="12" t="str">
        <f ca="1">IFERROR(__xludf.DUMMYFUNCTION("""COMPUTED_VALUE"""),"12-09-2025")</f>
        <v>12-09-2025</v>
      </c>
      <c r="B524" s="13" t="str">
        <f ca="1">IFERROR(__xludf.DUMMYFUNCTION("""COMPUTED_VALUE"""),"Surabaya")</f>
        <v>Surabaya</v>
      </c>
      <c r="C524" s="13" t="str">
        <f ca="1">IFERROR(__xludf.DUMMYFUNCTION("""COMPUTED_VALUE"""),"P05")</f>
        <v>P05</v>
      </c>
      <c r="D524" s="13">
        <f ca="1">IFERROR(__xludf.DUMMYFUNCTION("""COMPUTED_VALUE"""),1)</f>
        <v>1</v>
      </c>
      <c r="E524" s="14">
        <f ca="1">IFERROR(__xludf.DUMMYFUNCTION("""COMPUTED_VALUE"""),30000)</f>
        <v>30000</v>
      </c>
      <c r="F524" s="14">
        <f ca="1">IFERROR(__xludf.DUMMYFUNCTION("""COMPUTED_VALUE"""),30000)</f>
        <v>30000</v>
      </c>
      <c r="G524" s="13" t="str">
        <f ca="1"/>
        <v>Mocha</v>
      </c>
      <c r="H524" s="13" t="str">
        <f ca="1"/>
        <v>Chocolate</v>
      </c>
      <c r="I524" s="13">
        <f ca="1">IFERROR(__xludf.DUMMYFUNCTION("""COMPUTED_VALUE"""),12)</f>
        <v>12</v>
      </c>
      <c r="J524" s="13">
        <f ca="1">IFERROR(__xludf.DUMMYFUNCTION("""COMPUTED_VALUE"""),9)</f>
        <v>9</v>
      </c>
      <c r="K524" s="13">
        <f ca="1">IFERROR(__xludf.DUMMYFUNCTION("""COMPUTED_VALUE"""),2025)</f>
        <v>2025</v>
      </c>
      <c r="L524" s="15">
        <f ca="1"/>
        <v>45912</v>
      </c>
    </row>
    <row r="525" spans="1:12">
      <c r="A525" s="12" t="str">
        <f ca="1">IFERROR(__xludf.DUMMYFUNCTION("""COMPUTED_VALUE"""),"04-09-2025")</f>
        <v>04-09-2025</v>
      </c>
      <c r="B525" s="13" t="str">
        <f ca="1">IFERROR(__xludf.DUMMYFUNCTION("""COMPUTED_VALUE"""),"Surabaya")</f>
        <v>Surabaya</v>
      </c>
      <c r="C525" s="13" t="str">
        <f ca="1">IFERROR(__xludf.DUMMYFUNCTION("""COMPUTED_VALUE"""),"P01")</f>
        <v>P01</v>
      </c>
      <c r="D525" s="13">
        <f ca="1">IFERROR(__xludf.DUMMYFUNCTION("""COMPUTED_VALUE"""),3)</f>
        <v>3</v>
      </c>
      <c r="E525" s="14">
        <f ca="1">IFERROR(__xludf.DUMMYFUNCTION("""COMPUTED_VALUE"""),25000)</f>
        <v>25000</v>
      </c>
      <c r="F525" s="14">
        <f ca="1">IFERROR(__xludf.DUMMYFUNCTION("""COMPUTED_VALUE"""),75000)</f>
        <v>75000</v>
      </c>
      <c r="G525" s="13" t="str">
        <f ca="1"/>
        <v>Cappuccino</v>
      </c>
      <c r="H525" s="13" t="str">
        <f ca="1"/>
        <v>Coffee</v>
      </c>
      <c r="I525" s="13">
        <f ca="1">IFERROR(__xludf.DUMMYFUNCTION("""COMPUTED_VALUE"""),4)</f>
        <v>4</v>
      </c>
      <c r="J525" s="13">
        <f ca="1">IFERROR(__xludf.DUMMYFUNCTION("""COMPUTED_VALUE"""),9)</f>
        <v>9</v>
      </c>
      <c r="K525" s="13">
        <f ca="1">IFERROR(__xludf.DUMMYFUNCTION("""COMPUTED_VALUE"""),2025)</f>
        <v>2025</v>
      </c>
      <c r="L525" s="15">
        <f ca="1"/>
        <v>45904</v>
      </c>
    </row>
    <row r="526" spans="1:12">
      <c r="A526" s="12" t="str">
        <f ca="1">IFERROR(__xludf.DUMMYFUNCTION("""COMPUTED_VALUE"""),"07-09-2025")</f>
        <v>07-09-2025</v>
      </c>
      <c r="B526" s="13" t="str">
        <f ca="1">IFERROR(__xludf.DUMMYFUNCTION("""COMPUTED_VALUE"""),"Surabaya")</f>
        <v>Surabaya</v>
      </c>
      <c r="C526" s="13" t="str">
        <f ca="1">IFERROR(__xludf.DUMMYFUNCTION("""COMPUTED_VALUE"""),"P02")</f>
        <v>P02</v>
      </c>
      <c r="D526" s="13">
        <f ca="1">IFERROR(__xludf.DUMMYFUNCTION("""COMPUTED_VALUE"""),5)</f>
        <v>5</v>
      </c>
      <c r="E526" s="14">
        <f ca="1">IFERROR(__xludf.DUMMYFUNCTION("""COMPUTED_VALUE"""),28000)</f>
        <v>28000</v>
      </c>
      <c r="F526" s="14">
        <f ca="1">IFERROR(__xludf.DUMMYFUNCTION("""COMPUTED_VALUE"""),140000)</f>
        <v>140000</v>
      </c>
      <c r="G526" s="13" t="str">
        <f ca="1"/>
        <v>Latte</v>
      </c>
      <c r="H526" s="13" t="str">
        <f ca="1"/>
        <v>Coffee</v>
      </c>
      <c r="I526" s="13">
        <f ca="1">IFERROR(__xludf.DUMMYFUNCTION("""COMPUTED_VALUE"""),7)</f>
        <v>7</v>
      </c>
      <c r="J526" s="13">
        <f ca="1">IFERROR(__xludf.DUMMYFUNCTION("""COMPUTED_VALUE"""),9)</f>
        <v>9</v>
      </c>
      <c r="K526" s="13">
        <f ca="1">IFERROR(__xludf.DUMMYFUNCTION("""COMPUTED_VALUE"""),2025)</f>
        <v>2025</v>
      </c>
      <c r="L526" s="15">
        <f ca="1"/>
        <v>45907</v>
      </c>
    </row>
    <row r="527" spans="1:12">
      <c r="A527" s="12" t="str">
        <f ca="1">IFERROR(__xludf.DUMMYFUNCTION("""COMPUTED_VALUE"""),"19-09-2025")</f>
        <v>19-09-2025</v>
      </c>
      <c r="B527" s="13" t="str">
        <f ca="1">IFERROR(__xludf.DUMMYFUNCTION("""COMPUTED_VALUE"""),"Surabaya")</f>
        <v>Surabaya</v>
      </c>
      <c r="C527" s="13" t="str">
        <f ca="1">IFERROR(__xludf.DUMMYFUNCTION("""COMPUTED_VALUE"""),"P03")</f>
        <v>P03</v>
      </c>
      <c r="D527" s="13">
        <f ca="1">IFERROR(__xludf.DUMMYFUNCTION("""COMPUTED_VALUE"""),4)</f>
        <v>4</v>
      </c>
      <c r="E527" s="14">
        <f ca="1">IFERROR(__xludf.DUMMYFUNCTION("""COMPUTED_VALUE"""),20000)</f>
        <v>20000</v>
      </c>
      <c r="F527" s="14">
        <f ca="1">IFERROR(__xludf.DUMMYFUNCTION("""COMPUTED_VALUE"""),80000)</f>
        <v>80000</v>
      </c>
      <c r="G527" s="13" t="str">
        <f ca="1"/>
        <v>Espresso</v>
      </c>
      <c r="H527" s="13" t="str">
        <f ca="1"/>
        <v>Coffee</v>
      </c>
      <c r="I527" s="13">
        <f ca="1">IFERROR(__xludf.DUMMYFUNCTION("""COMPUTED_VALUE"""),19)</f>
        <v>19</v>
      </c>
      <c r="J527" s="13">
        <f ca="1">IFERROR(__xludf.DUMMYFUNCTION("""COMPUTED_VALUE"""),9)</f>
        <v>9</v>
      </c>
      <c r="K527" s="13">
        <f ca="1">IFERROR(__xludf.DUMMYFUNCTION("""COMPUTED_VALUE"""),2025)</f>
        <v>2025</v>
      </c>
      <c r="L527" s="15">
        <f ca="1"/>
        <v>45919</v>
      </c>
    </row>
    <row r="528" spans="1:12">
      <c r="A528" s="12" t="str">
        <f ca="1">IFERROR(__xludf.DUMMYFUNCTION("""COMPUTED_VALUE"""),"09-09-2025")</f>
        <v>09-09-2025</v>
      </c>
      <c r="B528" s="13" t="str">
        <f ca="1">IFERROR(__xludf.DUMMYFUNCTION("""COMPUTED_VALUE"""),"Surabaya")</f>
        <v>Surabaya</v>
      </c>
      <c r="C528" s="13" t="str">
        <f ca="1">IFERROR(__xludf.DUMMYFUNCTION("""COMPUTED_VALUE"""),"P04")</f>
        <v>P04</v>
      </c>
      <c r="D528" s="13">
        <f ca="1">IFERROR(__xludf.DUMMYFUNCTION("""COMPUTED_VALUE"""),4)</f>
        <v>4</v>
      </c>
      <c r="E528" s="14">
        <f ca="1">IFERROR(__xludf.DUMMYFUNCTION("""COMPUTED_VALUE"""),20000)</f>
        <v>20000</v>
      </c>
      <c r="F528" s="14">
        <f ca="1">IFERROR(__xludf.DUMMYFUNCTION("""COMPUTED_VALUE"""),80000)</f>
        <v>80000</v>
      </c>
      <c r="G528" s="13" t="str">
        <f ca="1"/>
        <v>Americano</v>
      </c>
      <c r="H528" s="13" t="str">
        <f ca="1"/>
        <v>Coffee</v>
      </c>
      <c r="I528" s="13">
        <f ca="1">IFERROR(__xludf.DUMMYFUNCTION("""COMPUTED_VALUE"""),9)</f>
        <v>9</v>
      </c>
      <c r="J528" s="13">
        <f ca="1">IFERROR(__xludf.DUMMYFUNCTION("""COMPUTED_VALUE"""),9)</f>
        <v>9</v>
      </c>
      <c r="K528" s="13">
        <f ca="1">IFERROR(__xludf.DUMMYFUNCTION("""COMPUTED_VALUE"""),2025)</f>
        <v>2025</v>
      </c>
      <c r="L528" s="15">
        <f ca="1"/>
        <v>45909</v>
      </c>
    </row>
    <row r="529" spans="1:12">
      <c r="A529" s="12" t="str">
        <f ca="1">IFERROR(__xludf.DUMMYFUNCTION("""COMPUTED_VALUE"""),"26-09-2025")</f>
        <v>26-09-2025</v>
      </c>
      <c r="B529" s="13" t="str">
        <f ca="1">IFERROR(__xludf.DUMMYFUNCTION("""COMPUTED_VALUE"""),"Surabaya")</f>
        <v>Surabaya</v>
      </c>
      <c r="C529" s="13" t="str">
        <f ca="1">IFERROR(__xludf.DUMMYFUNCTION("""COMPUTED_VALUE"""),"P05")</f>
        <v>P05</v>
      </c>
      <c r="D529" s="13">
        <f ca="1">IFERROR(__xludf.DUMMYFUNCTION("""COMPUTED_VALUE"""),4)</f>
        <v>4</v>
      </c>
      <c r="E529" s="14">
        <f ca="1">IFERROR(__xludf.DUMMYFUNCTION("""COMPUTED_VALUE"""),25000)</f>
        <v>25000</v>
      </c>
      <c r="F529" s="14">
        <f ca="1">IFERROR(__xludf.DUMMYFUNCTION("""COMPUTED_VALUE"""),100000)</f>
        <v>100000</v>
      </c>
      <c r="G529" s="13" t="str">
        <f ca="1"/>
        <v>Mocha</v>
      </c>
      <c r="H529" s="13" t="str">
        <f ca="1"/>
        <v>Chocolate</v>
      </c>
      <c r="I529" s="13">
        <f ca="1">IFERROR(__xludf.DUMMYFUNCTION("""COMPUTED_VALUE"""),26)</f>
        <v>26</v>
      </c>
      <c r="J529" s="13">
        <f ca="1">IFERROR(__xludf.DUMMYFUNCTION("""COMPUTED_VALUE"""),9)</f>
        <v>9</v>
      </c>
      <c r="K529" s="13">
        <f ca="1">IFERROR(__xludf.DUMMYFUNCTION("""COMPUTED_VALUE"""),2025)</f>
        <v>2025</v>
      </c>
      <c r="L529" s="15">
        <f ca="1"/>
        <v>45926</v>
      </c>
    </row>
    <row r="530" spans="1:12">
      <c r="A530" s="12" t="str">
        <f ca="1">IFERROR(__xludf.DUMMYFUNCTION("""COMPUTED_VALUE"""),"28-09-2025")</f>
        <v>28-09-2025</v>
      </c>
      <c r="B530" s="13" t="str">
        <f ca="1">IFERROR(__xludf.DUMMYFUNCTION("""COMPUTED_VALUE"""),"Surabaya")</f>
        <v>Surabaya</v>
      </c>
      <c r="C530" s="13" t="str">
        <f ca="1">IFERROR(__xludf.DUMMYFUNCTION("""COMPUTED_VALUE"""),"P01")</f>
        <v>P01</v>
      </c>
      <c r="D530" s="13">
        <f ca="1">IFERROR(__xludf.DUMMYFUNCTION("""COMPUTED_VALUE"""),4)</f>
        <v>4</v>
      </c>
      <c r="E530" s="14">
        <f ca="1">IFERROR(__xludf.DUMMYFUNCTION("""COMPUTED_VALUE"""),28000)</f>
        <v>28000</v>
      </c>
      <c r="F530" s="14">
        <f ca="1">IFERROR(__xludf.DUMMYFUNCTION("""COMPUTED_VALUE"""),112000)</f>
        <v>112000</v>
      </c>
      <c r="G530" s="13" t="str">
        <f ca="1"/>
        <v>Cappuccino</v>
      </c>
      <c r="H530" s="13" t="str">
        <f ca="1"/>
        <v>Coffee</v>
      </c>
      <c r="I530" s="13">
        <f ca="1">IFERROR(__xludf.DUMMYFUNCTION("""COMPUTED_VALUE"""),28)</f>
        <v>28</v>
      </c>
      <c r="J530" s="13">
        <f ca="1">IFERROR(__xludf.DUMMYFUNCTION("""COMPUTED_VALUE"""),9)</f>
        <v>9</v>
      </c>
      <c r="K530" s="13">
        <f ca="1">IFERROR(__xludf.DUMMYFUNCTION("""COMPUTED_VALUE"""),2025)</f>
        <v>2025</v>
      </c>
      <c r="L530" s="15">
        <f ca="1"/>
        <v>45928</v>
      </c>
    </row>
    <row r="531" spans="1:12">
      <c r="A531" s="12" t="str">
        <f ca="1">IFERROR(__xludf.DUMMYFUNCTION("""COMPUTED_VALUE"""),"25-09-2025")</f>
        <v>25-09-2025</v>
      </c>
      <c r="B531" s="13" t="str">
        <f ca="1">IFERROR(__xludf.DUMMYFUNCTION("""COMPUTED_VALUE"""),"Surabaya")</f>
        <v>Surabaya</v>
      </c>
      <c r="C531" s="13" t="str">
        <f ca="1">IFERROR(__xludf.DUMMYFUNCTION("""COMPUTED_VALUE"""),"P02")</f>
        <v>P02</v>
      </c>
      <c r="D531" s="13">
        <f ca="1">IFERROR(__xludf.DUMMYFUNCTION("""COMPUTED_VALUE"""),1)</f>
        <v>1</v>
      </c>
      <c r="E531" s="14">
        <f ca="1">IFERROR(__xludf.DUMMYFUNCTION("""COMPUTED_VALUE"""),25000)</f>
        <v>25000</v>
      </c>
      <c r="F531" s="14">
        <f ca="1">IFERROR(__xludf.DUMMYFUNCTION("""COMPUTED_VALUE"""),25000)</f>
        <v>25000</v>
      </c>
      <c r="G531" s="13" t="str">
        <f ca="1"/>
        <v>Latte</v>
      </c>
      <c r="H531" s="13" t="str">
        <f ca="1"/>
        <v>Coffee</v>
      </c>
      <c r="I531" s="13">
        <f ca="1">IFERROR(__xludf.DUMMYFUNCTION("""COMPUTED_VALUE"""),25)</f>
        <v>25</v>
      </c>
      <c r="J531" s="13">
        <f ca="1">IFERROR(__xludf.DUMMYFUNCTION("""COMPUTED_VALUE"""),9)</f>
        <v>9</v>
      </c>
      <c r="K531" s="13">
        <f ca="1">IFERROR(__xludf.DUMMYFUNCTION("""COMPUTED_VALUE"""),2025)</f>
        <v>2025</v>
      </c>
      <c r="L531" s="15">
        <f ca="1"/>
        <v>45925</v>
      </c>
    </row>
    <row r="532" spans="1:12">
      <c r="A532" s="12" t="str">
        <f ca="1">IFERROR(__xludf.DUMMYFUNCTION("""COMPUTED_VALUE"""),"22-09-2025")</f>
        <v>22-09-2025</v>
      </c>
      <c r="B532" s="13" t="str">
        <f ca="1">IFERROR(__xludf.DUMMYFUNCTION("""COMPUTED_VALUE"""),"Surabaya")</f>
        <v>Surabaya</v>
      </c>
      <c r="C532" s="13" t="str">
        <f ca="1">IFERROR(__xludf.DUMMYFUNCTION("""COMPUTED_VALUE"""),"P03")</f>
        <v>P03</v>
      </c>
      <c r="D532" s="13">
        <f ca="1">IFERROR(__xludf.DUMMYFUNCTION("""COMPUTED_VALUE"""),1)</f>
        <v>1</v>
      </c>
      <c r="E532" s="14">
        <f ca="1">IFERROR(__xludf.DUMMYFUNCTION("""COMPUTED_VALUE"""),25000)</f>
        <v>25000</v>
      </c>
      <c r="F532" s="14">
        <f ca="1">IFERROR(__xludf.DUMMYFUNCTION("""COMPUTED_VALUE"""),25000)</f>
        <v>25000</v>
      </c>
      <c r="G532" s="13" t="str">
        <f ca="1"/>
        <v>Espresso</v>
      </c>
      <c r="H532" s="13" t="str">
        <f ca="1"/>
        <v>Coffee</v>
      </c>
      <c r="I532" s="13">
        <f ca="1">IFERROR(__xludf.DUMMYFUNCTION("""COMPUTED_VALUE"""),22)</f>
        <v>22</v>
      </c>
      <c r="J532" s="13">
        <f ca="1">IFERROR(__xludf.DUMMYFUNCTION("""COMPUTED_VALUE"""),9)</f>
        <v>9</v>
      </c>
      <c r="K532" s="13">
        <f ca="1">IFERROR(__xludf.DUMMYFUNCTION("""COMPUTED_VALUE"""),2025)</f>
        <v>2025</v>
      </c>
      <c r="L532" s="15">
        <f ca="1"/>
        <v>45922</v>
      </c>
    </row>
    <row r="533" spans="1:12">
      <c r="A533" s="12" t="str">
        <f ca="1">IFERROR(__xludf.DUMMYFUNCTION("""COMPUTED_VALUE"""),"17-09-2025")</f>
        <v>17-09-2025</v>
      </c>
      <c r="B533" s="13" t="str">
        <f ca="1">IFERROR(__xludf.DUMMYFUNCTION("""COMPUTED_VALUE"""),"Surabaya")</f>
        <v>Surabaya</v>
      </c>
      <c r="C533" s="13" t="str">
        <f ca="1">IFERROR(__xludf.DUMMYFUNCTION("""COMPUTED_VALUE"""),"P04")</f>
        <v>P04</v>
      </c>
      <c r="D533" s="13">
        <f ca="1">IFERROR(__xludf.DUMMYFUNCTION("""COMPUTED_VALUE"""),3)</f>
        <v>3</v>
      </c>
      <c r="E533" s="14">
        <f ca="1">IFERROR(__xludf.DUMMYFUNCTION("""COMPUTED_VALUE"""),20000)</f>
        <v>20000</v>
      </c>
      <c r="F533" s="14">
        <f ca="1">IFERROR(__xludf.DUMMYFUNCTION("""COMPUTED_VALUE"""),60000)</f>
        <v>60000</v>
      </c>
      <c r="G533" s="13" t="str">
        <f ca="1"/>
        <v>Americano</v>
      </c>
      <c r="H533" s="13" t="str">
        <f ca="1"/>
        <v>Coffee</v>
      </c>
      <c r="I533" s="13">
        <f ca="1">IFERROR(__xludf.DUMMYFUNCTION("""COMPUTED_VALUE"""),17)</f>
        <v>17</v>
      </c>
      <c r="J533" s="13">
        <f ca="1">IFERROR(__xludf.DUMMYFUNCTION("""COMPUTED_VALUE"""),9)</f>
        <v>9</v>
      </c>
      <c r="K533" s="13">
        <f ca="1">IFERROR(__xludf.DUMMYFUNCTION("""COMPUTED_VALUE"""),2025)</f>
        <v>2025</v>
      </c>
      <c r="L533" s="15">
        <f ca="1"/>
        <v>45917</v>
      </c>
    </row>
    <row r="534" spans="1:12">
      <c r="A534" s="12" t="str">
        <f ca="1">IFERROR(__xludf.DUMMYFUNCTION("""COMPUTED_VALUE"""),"26-09-2025")</f>
        <v>26-09-2025</v>
      </c>
      <c r="B534" s="13" t="str">
        <f ca="1">IFERROR(__xludf.DUMMYFUNCTION("""COMPUTED_VALUE"""),"Surabaya")</f>
        <v>Surabaya</v>
      </c>
      <c r="C534" s="13" t="str">
        <f ca="1">IFERROR(__xludf.DUMMYFUNCTION("""COMPUTED_VALUE"""),"P05")</f>
        <v>P05</v>
      </c>
      <c r="D534" s="13">
        <f ca="1">IFERROR(__xludf.DUMMYFUNCTION("""COMPUTED_VALUE"""),1)</f>
        <v>1</v>
      </c>
      <c r="E534" s="14">
        <f ca="1">IFERROR(__xludf.DUMMYFUNCTION("""COMPUTED_VALUE"""),20000)</f>
        <v>20000</v>
      </c>
      <c r="F534" s="14">
        <f ca="1">IFERROR(__xludf.DUMMYFUNCTION("""COMPUTED_VALUE"""),20000)</f>
        <v>20000</v>
      </c>
      <c r="G534" s="13" t="str">
        <f ca="1"/>
        <v>Mocha</v>
      </c>
      <c r="H534" s="13" t="str">
        <f ca="1"/>
        <v>Chocolate</v>
      </c>
      <c r="I534" s="13">
        <f ca="1">IFERROR(__xludf.DUMMYFUNCTION("""COMPUTED_VALUE"""),26)</f>
        <v>26</v>
      </c>
      <c r="J534" s="13">
        <f ca="1">IFERROR(__xludf.DUMMYFUNCTION("""COMPUTED_VALUE"""),9)</f>
        <v>9</v>
      </c>
      <c r="K534" s="13">
        <f ca="1">IFERROR(__xludf.DUMMYFUNCTION("""COMPUTED_VALUE"""),2025)</f>
        <v>2025</v>
      </c>
      <c r="L534" s="15">
        <f ca="1"/>
        <v>45926</v>
      </c>
    </row>
    <row r="535" spans="1:12">
      <c r="A535" s="12" t="str">
        <f ca="1">IFERROR(__xludf.DUMMYFUNCTION("""COMPUTED_VALUE"""),"14-09-2025")</f>
        <v>14-09-2025</v>
      </c>
      <c r="B535" s="13" t="str">
        <f ca="1">IFERROR(__xludf.DUMMYFUNCTION("""COMPUTED_VALUE"""),"Surabaya")</f>
        <v>Surabaya</v>
      </c>
      <c r="C535" s="13" t="str">
        <f ca="1">IFERROR(__xludf.DUMMYFUNCTION("""COMPUTED_VALUE"""),"P01")</f>
        <v>P01</v>
      </c>
      <c r="D535" s="13">
        <f ca="1">IFERROR(__xludf.DUMMYFUNCTION("""COMPUTED_VALUE"""),2)</f>
        <v>2</v>
      </c>
      <c r="E535" s="14">
        <f ca="1">IFERROR(__xludf.DUMMYFUNCTION("""COMPUTED_VALUE"""),28000)</f>
        <v>28000</v>
      </c>
      <c r="F535" s="14">
        <f ca="1">IFERROR(__xludf.DUMMYFUNCTION("""COMPUTED_VALUE"""),56000)</f>
        <v>56000</v>
      </c>
      <c r="G535" s="13" t="str">
        <f ca="1"/>
        <v>Cappuccino</v>
      </c>
      <c r="H535" s="13" t="str">
        <f ca="1"/>
        <v>Coffee</v>
      </c>
      <c r="I535" s="13">
        <f ca="1">IFERROR(__xludf.DUMMYFUNCTION("""COMPUTED_VALUE"""),14)</f>
        <v>14</v>
      </c>
      <c r="J535" s="13">
        <f ca="1">IFERROR(__xludf.DUMMYFUNCTION("""COMPUTED_VALUE"""),9)</f>
        <v>9</v>
      </c>
      <c r="K535" s="13">
        <f ca="1">IFERROR(__xludf.DUMMYFUNCTION("""COMPUTED_VALUE"""),2025)</f>
        <v>2025</v>
      </c>
      <c r="L535" s="15">
        <f ca="1"/>
        <v>45914</v>
      </c>
    </row>
    <row r="536" spans="1:12">
      <c r="A536" s="12" t="str">
        <f ca="1">IFERROR(__xludf.DUMMYFUNCTION("""COMPUTED_VALUE"""),"01-09-2025")</f>
        <v>01-09-2025</v>
      </c>
      <c r="B536" s="13" t="str">
        <f ca="1">IFERROR(__xludf.DUMMYFUNCTION("""COMPUTED_VALUE"""),"Surabaya")</f>
        <v>Surabaya</v>
      </c>
      <c r="C536" s="13" t="str">
        <f ca="1">IFERROR(__xludf.DUMMYFUNCTION("""COMPUTED_VALUE"""),"P02")</f>
        <v>P02</v>
      </c>
      <c r="D536" s="13">
        <f ca="1">IFERROR(__xludf.DUMMYFUNCTION("""COMPUTED_VALUE"""),1)</f>
        <v>1</v>
      </c>
      <c r="E536" s="14">
        <f ca="1">IFERROR(__xludf.DUMMYFUNCTION("""COMPUTED_VALUE"""),28000)</f>
        <v>28000</v>
      </c>
      <c r="F536" s="14">
        <f ca="1">IFERROR(__xludf.DUMMYFUNCTION("""COMPUTED_VALUE"""),28000)</f>
        <v>28000</v>
      </c>
      <c r="G536" s="13" t="str">
        <f ca="1"/>
        <v>Latte</v>
      </c>
      <c r="H536" s="13" t="str">
        <f ca="1"/>
        <v>Coffee</v>
      </c>
      <c r="I536" s="13">
        <f ca="1">IFERROR(__xludf.DUMMYFUNCTION("""COMPUTED_VALUE"""),1)</f>
        <v>1</v>
      </c>
      <c r="J536" s="13">
        <f ca="1">IFERROR(__xludf.DUMMYFUNCTION("""COMPUTED_VALUE"""),9)</f>
        <v>9</v>
      </c>
      <c r="K536" s="13">
        <f ca="1">IFERROR(__xludf.DUMMYFUNCTION("""COMPUTED_VALUE"""),2025)</f>
        <v>2025</v>
      </c>
      <c r="L536" s="15">
        <f ca="1"/>
        <v>45901</v>
      </c>
    </row>
    <row r="537" spans="1:12">
      <c r="A537" s="12" t="str">
        <f ca="1">IFERROR(__xludf.DUMMYFUNCTION("""COMPUTED_VALUE"""),"24-09-2025")</f>
        <v>24-09-2025</v>
      </c>
      <c r="B537" s="13" t="str">
        <f ca="1">IFERROR(__xludf.DUMMYFUNCTION("""COMPUTED_VALUE"""),"Surabaya")</f>
        <v>Surabaya</v>
      </c>
      <c r="C537" s="13" t="str">
        <f ca="1">IFERROR(__xludf.DUMMYFUNCTION("""COMPUTED_VALUE"""),"P03")</f>
        <v>P03</v>
      </c>
      <c r="D537" s="13">
        <f ca="1">IFERROR(__xludf.DUMMYFUNCTION("""COMPUTED_VALUE"""),2)</f>
        <v>2</v>
      </c>
      <c r="E537" s="14">
        <f ca="1">IFERROR(__xludf.DUMMYFUNCTION("""COMPUTED_VALUE"""),35000)</f>
        <v>35000</v>
      </c>
      <c r="F537" s="14">
        <f ca="1">IFERROR(__xludf.DUMMYFUNCTION("""COMPUTED_VALUE"""),70000)</f>
        <v>70000</v>
      </c>
      <c r="G537" s="13" t="str">
        <f ca="1"/>
        <v>Espresso</v>
      </c>
      <c r="H537" s="13" t="str">
        <f ca="1"/>
        <v>Coffee</v>
      </c>
      <c r="I537" s="13">
        <f ca="1">IFERROR(__xludf.DUMMYFUNCTION("""COMPUTED_VALUE"""),24)</f>
        <v>24</v>
      </c>
      <c r="J537" s="13">
        <f ca="1">IFERROR(__xludf.DUMMYFUNCTION("""COMPUTED_VALUE"""),9)</f>
        <v>9</v>
      </c>
      <c r="K537" s="13">
        <f ca="1">IFERROR(__xludf.DUMMYFUNCTION("""COMPUTED_VALUE"""),2025)</f>
        <v>2025</v>
      </c>
      <c r="L537" s="15">
        <f ca="1"/>
        <v>45924</v>
      </c>
    </row>
    <row r="538" spans="1:12">
      <c r="A538" s="12" t="str">
        <f ca="1">IFERROR(__xludf.DUMMYFUNCTION("""COMPUTED_VALUE"""),"27-09-2025")</f>
        <v>27-09-2025</v>
      </c>
      <c r="B538" s="13" t="str">
        <f ca="1">IFERROR(__xludf.DUMMYFUNCTION("""COMPUTED_VALUE"""),"Surabaya")</f>
        <v>Surabaya</v>
      </c>
      <c r="C538" s="13" t="str">
        <f ca="1">IFERROR(__xludf.DUMMYFUNCTION("""COMPUTED_VALUE"""),"P04")</f>
        <v>P04</v>
      </c>
      <c r="D538" s="13">
        <f ca="1">IFERROR(__xludf.DUMMYFUNCTION("""COMPUTED_VALUE"""),1)</f>
        <v>1</v>
      </c>
      <c r="E538" s="14">
        <f ca="1">IFERROR(__xludf.DUMMYFUNCTION("""COMPUTED_VALUE"""),28000)</f>
        <v>28000</v>
      </c>
      <c r="F538" s="14">
        <f ca="1">IFERROR(__xludf.DUMMYFUNCTION("""COMPUTED_VALUE"""),28000)</f>
        <v>28000</v>
      </c>
      <c r="G538" s="13" t="str">
        <f ca="1"/>
        <v>Americano</v>
      </c>
      <c r="H538" s="13" t="str">
        <f ca="1"/>
        <v>Coffee</v>
      </c>
      <c r="I538" s="13">
        <f ca="1">IFERROR(__xludf.DUMMYFUNCTION("""COMPUTED_VALUE"""),27)</f>
        <v>27</v>
      </c>
      <c r="J538" s="13">
        <f ca="1">IFERROR(__xludf.DUMMYFUNCTION("""COMPUTED_VALUE"""),9)</f>
        <v>9</v>
      </c>
      <c r="K538" s="13">
        <f ca="1">IFERROR(__xludf.DUMMYFUNCTION("""COMPUTED_VALUE"""),2025)</f>
        <v>2025</v>
      </c>
      <c r="L538" s="15">
        <f ca="1"/>
        <v>45927</v>
      </c>
    </row>
    <row r="539" spans="1:12">
      <c r="A539" s="12" t="str">
        <f ca="1">IFERROR(__xludf.DUMMYFUNCTION("""COMPUTED_VALUE"""),"21-09-2025")</f>
        <v>21-09-2025</v>
      </c>
      <c r="B539" s="13" t="str">
        <f ca="1">IFERROR(__xludf.DUMMYFUNCTION("""COMPUTED_VALUE"""),"Surabaya")</f>
        <v>Surabaya</v>
      </c>
      <c r="C539" s="13" t="str">
        <f ca="1">IFERROR(__xludf.DUMMYFUNCTION("""COMPUTED_VALUE"""),"P05")</f>
        <v>P05</v>
      </c>
      <c r="D539" s="13">
        <f ca="1">IFERROR(__xludf.DUMMYFUNCTION("""COMPUTED_VALUE"""),1)</f>
        <v>1</v>
      </c>
      <c r="E539" s="14">
        <f ca="1">IFERROR(__xludf.DUMMYFUNCTION("""COMPUTED_VALUE"""),28000)</f>
        <v>28000</v>
      </c>
      <c r="F539" s="14">
        <f ca="1">IFERROR(__xludf.DUMMYFUNCTION("""COMPUTED_VALUE"""),28000)</f>
        <v>28000</v>
      </c>
      <c r="G539" s="13" t="str">
        <f ca="1"/>
        <v>Mocha</v>
      </c>
      <c r="H539" s="13" t="str">
        <f ca="1"/>
        <v>Chocolate</v>
      </c>
      <c r="I539" s="13">
        <f ca="1">IFERROR(__xludf.DUMMYFUNCTION("""COMPUTED_VALUE"""),21)</f>
        <v>21</v>
      </c>
      <c r="J539" s="13">
        <f ca="1">IFERROR(__xludf.DUMMYFUNCTION("""COMPUTED_VALUE"""),9)</f>
        <v>9</v>
      </c>
      <c r="K539" s="13">
        <f ca="1">IFERROR(__xludf.DUMMYFUNCTION("""COMPUTED_VALUE"""),2025)</f>
        <v>2025</v>
      </c>
      <c r="L539" s="15">
        <f ca="1"/>
        <v>45921</v>
      </c>
    </row>
    <row r="540" spans="1:12">
      <c r="A540" s="12" t="str">
        <f ca="1">IFERROR(__xludf.DUMMYFUNCTION("""COMPUTED_VALUE"""),"28-09-2025")</f>
        <v>28-09-2025</v>
      </c>
      <c r="B540" s="13" t="str">
        <f ca="1">IFERROR(__xludf.DUMMYFUNCTION("""COMPUTED_VALUE"""),"Surabaya")</f>
        <v>Surabaya</v>
      </c>
      <c r="C540" s="13" t="str">
        <f ca="1">IFERROR(__xludf.DUMMYFUNCTION("""COMPUTED_VALUE"""),"P01")</f>
        <v>P01</v>
      </c>
      <c r="D540" s="13">
        <f ca="1">IFERROR(__xludf.DUMMYFUNCTION("""COMPUTED_VALUE"""),1)</f>
        <v>1</v>
      </c>
      <c r="E540" s="14">
        <f ca="1">IFERROR(__xludf.DUMMYFUNCTION("""COMPUTED_VALUE"""),30000)</f>
        <v>30000</v>
      </c>
      <c r="F540" s="14">
        <f ca="1">IFERROR(__xludf.DUMMYFUNCTION("""COMPUTED_VALUE"""),30000)</f>
        <v>30000</v>
      </c>
      <c r="G540" s="13" t="str">
        <f ca="1"/>
        <v>Cappuccino</v>
      </c>
      <c r="H540" s="13" t="str">
        <f ca="1"/>
        <v>Coffee</v>
      </c>
      <c r="I540" s="13">
        <f ca="1">IFERROR(__xludf.DUMMYFUNCTION("""COMPUTED_VALUE"""),28)</f>
        <v>28</v>
      </c>
      <c r="J540" s="13">
        <f ca="1">IFERROR(__xludf.DUMMYFUNCTION("""COMPUTED_VALUE"""),9)</f>
        <v>9</v>
      </c>
      <c r="K540" s="13">
        <f ca="1">IFERROR(__xludf.DUMMYFUNCTION("""COMPUTED_VALUE"""),2025)</f>
        <v>2025</v>
      </c>
      <c r="L540" s="15">
        <f ca="1"/>
        <v>45928</v>
      </c>
    </row>
    <row r="541" spans="1:12">
      <c r="A541" s="12" t="str">
        <f ca="1">IFERROR(__xludf.DUMMYFUNCTION("""COMPUTED_VALUE"""),"17-09-2025")</f>
        <v>17-09-2025</v>
      </c>
      <c r="B541" s="13" t="str">
        <f ca="1">IFERROR(__xludf.DUMMYFUNCTION("""COMPUTED_VALUE"""),"Surabaya")</f>
        <v>Surabaya</v>
      </c>
      <c r="C541" s="13" t="str">
        <f ca="1">IFERROR(__xludf.DUMMYFUNCTION("""COMPUTED_VALUE"""),"P02")</f>
        <v>P02</v>
      </c>
      <c r="D541" s="13">
        <f ca="1">IFERROR(__xludf.DUMMYFUNCTION("""COMPUTED_VALUE"""),3)</f>
        <v>3</v>
      </c>
      <c r="E541" s="14">
        <f ca="1">IFERROR(__xludf.DUMMYFUNCTION("""COMPUTED_VALUE"""),25000)</f>
        <v>25000</v>
      </c>
      <c r="F541" s="14">
        <f ca="1">IFERROR(__xludf.DUMMYFUNCTION("""COMPUTED_VALUE"""),75000)</f>
        <v>75000</v>
      </c>
      <c r="G541" s="13" t="str">
        <f ca="1"/>
        <v>Latte</v>
      </c>
      <c r="H541" s="13" t="str">
        <f ca="1"/>
        <v>Coffee</v>
      </c>
      <c r="I541" s="13">
        <f ca="1">IFERROR(__xludf.DUMMYFUNCTION("""COMPUTED_VALUE"""),17)</f>
        <v>17</v>
      </c>
      <c r="J541" s="13">
        <f ca="1">IFERROR(__xludf.DUMMYFUNCTION("""COMPUTED_VALUE"""),9)</f>
        <v>9</v>
      </c>
      <c r="K541" s="13">
        <f ca="1">IFERROR(__xludf.DUMMYFUNCTION("""COMPUTED_VALUE"""),2025)</f>
        <v>2025</v>
      </c>
      <c r="L541" s="15">
        <f ca="1"/>
        <v>45917</v>
      </c>
    </row>
    <row r="542" spans="1:12">
      <c r="A542" s="12" t="str">
        <f ca="1">IFERROR(__xludf.DUMMYFUNCTION("""COMPUTED_VALUE"""),"16-09-2025")</f>
        <v>16-09-2025</v>
      </c>
      <c r="B542" s="13" t="str">
        <f ca="1">IFERROR(__xludf.DUMMYFUNCTION("""COMPUTED_VALUE"""),"Surabaya")</f>
        <v>Surabaya</v>
      </c>
      <c r="C542" s="13" t="str">
        <f ca="1">IFERROR(__xludf.DUMMYFUNCTION("""COMPUTED_VALUE"""),"P03")</f>
        <v>P03</v>
      </c>
      <c r="D542" s="13">
        <f ca="1">IFERROR(__xludf.DUMMYFUNCTION("""COMPUTED_VALUE"""),2)</f>
        <v>2</v>
      </c>
      <c r="E542" s="14">
        <f ca="1">IFERROR(__xludf.DUMMYFUNCTION("""COMPUTED_VALUE"""),25000)</f>
        <v>25000</v>
      </c>
      <c r="F542" s="14">
        <f ca="1">IFERROR(__xludf.DUMMYFUNCTION("""COMPUTED_VALUE"""),50000)</f>
        <v>50000</v>
      </c>
      <c r="G542" s="13" t="str">
        <f ca="1"/>
        <v>Espresso</v>
      </c>
      <c r="H542" s="13" t="str">
        <f ca="1"/>
        <v>Coffee</v>
      </c>
      <c r="I542" s="13">
        <f ca="1">IFERROR(__xludf.DUMMYFUNCTION("""COMPUTED_VALUE"""),16)</f>
        <v>16</v>
      </c>
      <c r="J542" s="13">
        <f ca="1">IFERROR(__xludf.DUMMYFUNCTION("""COMPUTED_VALUE"""),9)</f>
        <v>9</v>
      </c>
      <c r="K542" s="13">
        <f ca="1">IFERROR(__xludf.DUMMYFUNCTION("""COMPUTED_VALUE"""),2025)</f>
        <v>2025</v>
      </c>
      <c r="L542" s="15">
        <f ca="1"/>
        <v>45916</v>
      </c>
    </row>
    <row r="543" spans="1:12">
      <c r="A543" s="12" t="str">
        <f ca="1">IFERROR(__xludf.DUMMYFUNCTION("""COMPUTED_VALUE"""),"16-09-2025")</f>
        <v>16-09-2025</v>
      </c>
      <c r="B543" s="13" t="str">
        <f ca="1">IFERROR(__xludf.DUMMYFUNCTION("""COMPUTED_VALUE"""),"Surabaya")</f>
        <v>Surabaya</v>
      </c>
      <c r="C543" s="13" t="str">
        <f ca="1">IFERROR(__xludf.DUMMYFUNCTION("""COMPUTED_VALUE"""),"P04")</f>
        <v>P04</v>
      </c>
      <c r="D543" s="13">
        <f ca="1">IFERROR(__xludf.DUMMYFUNCTION("""COMPUTED_VALUE"""),4)</f>
        <v>4</v>
      </c>
      <c r="E543" s="14">
        <f ca="1">IFERROR(__xludf.DUMMYFUNCTION("""COMPUTED_VALUE"""),28000)</f>
        <v>28000</v>
      </c>
      <c r="F543" s="14">
        <f ca="1">IFERROR(__xludf.DUMMYFUNCTION("""COMPUTED_VALUE"""),112000)</f>
        <v>112000</v>
      </c>
      <c r="G543" s="13" t="str">
        <f ca="1"/>
        <v>Americano</v>
      </c>
      <c r="H543" s="13" t="str">
        <f ca="1"/>
        <v>Coffee</v>
      </c>
      <c r="I543" s="13">
        <f ca="1">IFERROR(__xludf.DUMMYFUNCTION("""COMPUTED_VALUE"""),16)</f>
        <v>16</v>
      </c>
      <c r="J543" s="13">
        <f ca="1">IFERROR(__xludf.DUMMYFUNCTION("""COMPUTED_VALUE"""),9)</f>
        <v>9</v>
      </c>
      <c r="K543" s="13">
        <f ca="1">IFERROR(__xludf.DUMMYFUNCTION("""COMPUTED_VALUE"""),2025)</f>
        <v>2025</v>
      </c>
      <c r="L543" s="15">
        <f ca="1"/>
        <v>45916</v>
      </c>
    </row>
    <row r="544" spans="1:12">
      <c r="A544" s="12" t="str">
        <f ca="1">IFERROR(__xludf.DUMMYFUNCTION("""COMPUTED_VALUE"""),"18-09-2025")</f>
        <v>18-09-2025</v>
      </c>
      <c r="B544" s="13" t="str">
        <f ca="1">IFERROR(__xludf.DUMMYFUNCTION("""COMPUTED_VALUE"""),"Surabaya")</f>
        <v>Surabaya</v>
      </c>
      <c r="C544" s="13" t="str">
        <f ca="1">IFERROR(__xludf.DUMMYFUNCTION("""COMPUTED_VALUE"""),"P05")</f>
        <v>P05</v>
      </c>
      <c r="D544" s="13">
        <f ca="1">IFERROR(__xludf.DUMMYFUNCTION("""COMPUTED_VALUE"""),2)</f>
        <v>2</v>
      </c>
      <c r="E544" s="14">
        <f ca="1">IFERROR(__xludf.DUMMYFUNCTION("""COMPUTED_VALUE"""),30000)</f>
        <v>30000</v>
      </c>
      <c r="F544" s="14">
        <f ca="1">IFERROR(__xludf.DUMMYFUNCTION("""COMPUTED_VALUE"""),60000)</f>
        <v>60000</v>
      </c>
      <c r="G544" s="13" t="str">
        <f ca="1"/>
        <v>Mocha</v>
      </c>
      <c r="H544" s="13" t="str">
        <f ca="1"/>
        <v>Chocolate</v>
      </c>
      <c r="I544" s="13">
        <f ca="1">IFERROR(__xludf.DUMMYFUNCTION("""COMPUTED_VALUE"""),18)</f>
        <v>18</v>
      </c>
      <c r="J544" s="13">
        <f ca="1">IFERROR(__xludf.DUMMYFUNCTION("""COMPUTED_VALUE"""),9)</f>
        <v>9</v>
      </c>
      <c r="K544" s="13">
        <f ca="1">IFERROR(__xludf.DUMMYFUNCTION("""COMPUTED_VALUE"""),2025)</f>
        <v>2025</v>
      </c>
      <c r="L544" s="15">
        <f ca="1"/>
        <v>45918</v>
      </c>
    </row>
    <row r="545" spans="1:12">
      <c r="A545" s="12" t="str">
        <f ca="1">IFERROR(__xludf.DUMMYFUNCTION("""COMPUTED_VALUE"""),"18-09-2025")</f>
        <v>18-09-2025</v>
      </c>
      <c r="B545" s="13" t="str">
        <f ca="1">IFERROR(__xludf.DUMMYFUNCTION("""COMPUTED_VALUE"""),"Surabaya")</f>
        <v>Surabaya</v>
      </c>
      <c r="C545" s="13" t="str">
        <f ca="1">IFERROR(__xludf.DUMMYFUNCTION("""COMPUTED_VALUE"""),"P01")</f>
        <v>P01</v>
      </c>
      <c r="D545" s="13">
        <f ca="1">IFERROR(__xludf.DUMMYFUNCTION("""COMPUTED_VALUE"""),5)</f>
        <v>5</v>
      </c>
      <c r="E545" s="14">
        <f ca="1">IFERROR(__xludf.DUMMYFUNCTION("""COMPUTED_VALUE"""),20000)</f>
        <v>20000</v>
      </c>
      <c r="F545" s="14">
        <f ca="1">IFERROR(__xludf.DUMMYFUNCTION("""COMPUTED_VALUE"""),100000)</f>
        <v>100000</v>
      </c>
      <c r="G545" s="13" t="str">
        <f ca="1"/>
        <v>Cappuccino</v>
      </c>
      <c r="H545" s="13" t="str">
        <f ca="1"/>
        <v>Coffee</v>
      </c>
      <c r="I545" s="13">
        <f ca="1">IFERROR(__xludf.DUMMYFUNCTION("""COMPUTED_VALUE"""),18)</f>
        <v>18</v>
      </c>
      <c r="J545" s="13">
        <f ca="1">IFERROR(__xludf.DUMMYFUNCTION("""COMPUTED_VALUE"""),9)</f>
        <v>9</v>
      </c>
      <c r="K545" s="13">
        <f ca="1">IFERROR(__xludf.DUMMYFUNCTION("""COMPUTED_VALUE"""),2025)</f>
        <v>2025</v>
      </c>
      <c r="L545" s="15">
        <f ca="1"/>
        <v>45918</v>
      </c>
    </row>
    <row r="546" spans="1:12">
      <c r="A546" s="12" t="str">
        <f ca="1">IFERROR(__xludf.DUMMYFUNCTION("""COMPUTED_VALUE"""),"21-09-2025")</f>
        <v>21-09-2025</v>
      </c>
      <c r="B546" s="13" t="str">
        <f ca="1">IFERROR(__xludf.DUMMYFUNCTION("""COMPUTED_VALUE"""),"Surabaya")</f>
        <v>Surabaya</v>
      </c>
      <c r="C546" s="13" t="str">
        <f ca="1">IFERROR(__xludf.DUMMYFUNCTION("""COMPUTED_VALUE"""),"P02")</f>
        <v>P02</v>
      </c>
      <c r="D546" s="13">
        <f ca="1">IFERROR(__xludf.DUMMYFUNCTION("""COMPUTED_VALUE"""),2)</f>
        <v>2</v>
      </c>
      <c r="E546" s="14">
        <f ca="1">IFERROR(__xludf.DUMMYFUNCTION("""COMPUTED_VALUE"""),20000)</f>
        <v>20000</v>
      </c>
      <c r="F546" s="14">
        <f ca="1">IFERROR(__xludf.DUMMYFUNCTION("""COMPUTED_VALUE"""),40000)</f>
        <v>40000</v>
      </c>
      <c r="G546" s="13" t="str">
        <f ca="1"/>
        <v>Latte</v>
      </c>
      <c r="H546" s="13" t="str">
        <f ca="1"/>
        <v>Coffee</v>
      </c>
      <c r="I546" s="13">
        <f ca="1">IFERROR(__xludf.DUMMYFUNCTION("""COMPUTED_VALUE"""),21)</f>
        <v>21</v>
      </c>
      <c r="J546" s="13">
        <f ca="1">IFERROR(__xludf.DUMMYFUNCTION("""COMPUTED_VALUE"""),9)</f>
        <v>9</v>
      </c>
      <c r="K546" s="13">
        <f ca="1">IFERROR(__xludf.DUMMYFUNCTION("""COMPUTED_VALUE"""),2025)</f>
        <v>2025</v>
      </c>
      <c r="L546" s="15">
        <f ca="1"/>
        <v>45921</v>
      </c>
    </row>
    <row r="547" spans="1:12">
      <c r="A547" s="12" t="str">
        <f ca="1">IFERROR(__xludf.DUMMYFUNCTION("""COMPUTED_VALUE"""),"26-09-2025")</f>
        <v>26-09-2025</v>
      </c>
      <c r="B547" s="13" t="str">
        <f ca="1">IFERROR(__xludf.DUMMYFUNCTION("""COMPUTED_VALUE"""),"Surabaya")</f>
        <v>Surabaya</v>
      </c>
      <c r="C547" s="13" t="str">
        <f ca="1">IFERROR(__xludf.DUMMYFUNCTION("""COMPUTED_VALUE"""),"P03")</f>
        <v>P03</v>
      </c>
      <c r="D547" s="13">
        <f ca="1">IFERROR(__xludf.DUMMYFUNCTION("""COMPUTED_VALUE"""),5)</f>
        <v>5</v>
      </c>
      <c r="E547" s="14">
        <f ca="1">IFERROR(__xludf.DUMMYFUNCTION("""COMPUTED_VALUE"""),30000)</f>
        <v>30000</v>
      </c>
      <c r="F547" s="14">
        <f ca="1">IFERROR(__xludf.DUMMYFUNCTION("""COMPUTED_VALUE"""),150000)</f>
        <v>150000</v>
      </c>
      <c r="G547" s="13" t="str">
        <f ca="1"/>
        <v>Espresso</v>
      </c>
      <c r="H547" s="13" t="str">
        <f ca="1"/>
        <v>Coffee</v>
      </c>
      <c r="I547" s="13">
        <f ca="1">IFERROR(__xludf.DUMMYFUNCTION("""COMPUTED_VALUE"""),26)</f>
        <v>26</v>
      </c>
      <c r="J547" s="13">
        <f ca="1">IFERROR(__xludf.DUMMYFUNCTION("""COMPUTED_VALUE"""),9)</f>
        <v>9</v>
      </c>
      <c r="K547" s="13">
        <f ca="1">IFERROR(__xludf.DUMMYFUNCTION("""COMPUTED_VALUE"""),2025)</f>
        <v>2025</v>
      </c>
      <c r="L547" s="15">
        <f ca="1"/>
        <v>45926</v>
      </c>
    </row>
    <row r="548" spans="1:12">
      <c r="A548" s="12" t="str">
        <f ca="1">IFERROR(__xludf.DUMMYFUNCTION("""COMPUTED_VALUE"""),"16-09-2025")</f>
        <v>16-09-2025</v>
      </c>
      <c r="B548" s="13" t="str">
        <f ca="1">IFERROR(__xludf.DUMMYFUNCTION("""COMPUTED_VALUE"""),"Surabaya")</f>
        <v>Surabaya</v>
      </c>
      <c r="C548" s="13" t="str">
        <f ca="1">IFERROR(__xludf.DUMMYFUNCTION("""COMPUTED_VALUE"""),"P04")</f>
        <v>P04</v>
      </c>
      <c r="D548" s="13">
        <f ca="1">IFERROR(__xludf.DUMMYFUNCTION("""COMPUTED_VALUE"""),4)</f>
        <v>4</v>
      </c>
      <c r="E548" s="14">
        <f ca="1">IFERROR(__xludf.DUMMYFUNCTION("""COMPUTED_VALUE"""),25000)</f>
        <v>25000</v>
      </c>
      <c r="F548" s="14">
        <f ca="1">IFERROR(__xludf.DUMMYFUNCTION("""COMPUTED_VALUE"""),100000)</f>
        <v>100000</v>
      </c>
      <c r="G548" s="13" t="str">
        <f ca="1"/>
        <v>Americano</v>
      </c>
      <c r="H548" s="13" t="str">
        <f ca="1"/>
        <v>Coffee</v>
      </c>
      <c r="I548" s="13">
        <f ca="1">IFERROR(__xludf.DUMMYFUNCTION("""COMPUTED_VALUE"""),16)</f>
        <v>16</v>
      </c>
      <c r="J548" s="13">
        <f ca="1">IFERROR(__xludf.DUMMYFUNCTION("""COMPUTED_VALUE"""),9)</f>
        <v>9</v>
      </c>
      <c r="K548" s="13">
        <f ca="1">IFERROR(__xludf.DUMMYFUNCTION("""COMPUTED_VALUE"""),2025)</f>
        <v>2025</v>
      </c>
      <c r="L548" s="15">
        <f ca="1"/>
        <v>45916</v>
      </c>
    </row>
    <row r="549" spans="1:12">
      <c r="A549" s="12" t="str">
        <f ca="1">IFERROR(__xludf.DUMMYFUNCTION("""COMPUTED_VALUE"""),"16-09-2025")</f>
        <v>16-09-2025</v>
      </c>
      <c r="B549" s="13" t="str">
        <f ca="1">IFERROR(__xludf.DUMMYFUNCTION("""COMPUTED_VALUE"""),"Surabaya")</f>
        <v>Surabaya</v>
      </c>
      <c r="C549" s="13" t="str">
        <f ca="1">IFERROR(__xludf.DUMMYFUNCTION("""COMPUTED_VALUE"""),"P05")</f>
        <v>P05</v>
      </c>
      <c r="D549" s="13">
        <f ca="1">IFERROR(__xludf.DUMMYFUNCTION("""COMPUTED_VALUE"""),2)</f>
        <v>2</v>
      </c>
      <c r="E549" s="14">
        <f ca="1">IFERROR(__xludf.DUMMYFUNCTION("""COMPUTED_VALUE"""),20000)</f>
        <v>20000</v>
      </c>
      <c r="F549" s="14">
        <f ca="1">IFERROR(__xludf.DUMMYFUNCTION("""COMPUTED_VALUE"""),40000)</f>
        <v>40000</v>
      </c>
      <c r="G549" s="13" t="str">
        <f ca="1"/>
        <v>Mocha</v>
      </c>
      <c r="H549" s="13" t="str">
        <f ca="1"/>
        <v>Chocolate</v>
      </c>
      <c r="I549" s="13">
        <f ca="1">IFERROR(__xludf.DUMMYFUNCTION("""COMPUTED_VALUE"""),16)</f>
        <v>16</v>
      </c>
      <c r="J549" s="13">
        <f ca="1">IFERROR(__xludf.DUMMYFUNCTION("""COMPUTED_VALUE"""),9)</f>
        <v>9</v>
      </c>
      <c r="K549" s="13">
        <f ca="1">IFERROR(__xludf.DUMMYFUNCTION("""COMPUTED_VALUE"""),2025)</f>
        <v>2025</v>
      </c>
      <c r="L549" s="15">
        <f ca="1"/>
        <v>45916</v>
      </c>
    </row>
    <row r="550" spans="1:12">
      <c r="A550" s="12" t="str">
        <f ca="1">IFERROR(__xludf.DUMMYFUNCTION("""COMPUTED_VALUE"""),"24-09-2025")</f>
        <v>24-09-2025</v>
      </c>
      <c r="B550" s="13" t="str">
        <f ca="1">IFERROR(__xludf.DUMMYFUNCTION("""COMPUTED_VALUE"""),"Surabaya")</f>
        <v>Surabaya</v>
      </c>
      <c r="C550" s="13" t="str">
        <f ca="1">IFERROR(__xludf.DUMMYFUNCTION("""COMPUTED_VALUE"""),"P01")</f>
        <v>P01</v>
      </c>
      <c r="D550" s="13">
        <f ca="1">IFERROR(__xludf.DUMMYFUNCTION("""COMPUTED_VALUE"""),2)</f>
        <v>2</v>
      </c>
      <c r="E550" s="14">
        <f ca="1">IFERROR(__xludf.DUMMYFUNCTION("""COMPUTED_VALUE"""),30000)</f>
        <v>30000</v>
      </c>
      <c r="F550" s="14">
        <f ca="1">IFERROR(__xludf.DUMMYFUNCTION("""COMPUTED_VALUE"""),60000)</f>
        <v>60000</v>
      </c>
      <c r="G550" s="13" t="str">
        <f ca="1"/>
        <v>Cappuccino</v>
      </c>
      <c r="H550" s="13" t="str">
        <f ca="1"/>
        <v>Coffee</v>
      </c>
      <c r="I550" s="13">
        <f ca="1">IFERROR(__xludf.DUMMYFUNCTION("""COMPUTED_VALUE"""),24)</f>
        <v>24</v>
      </c>
      <c r="J550" s="13">
        <f ca="1">IFERROR(__xludf.DUMMYFUNCTION("""COMPUTED_VALUE"""),9)</f>
        <v>9</v>
      </c>
      <c r="K550" s="13">
        <f ca="1">IFERROR(__xludf.DUMMYFUNCTION("""COMPUTED_VALUE"""),2025)</f>
        <v>2025</v>
      </c>
      <c r="L550" s="15">
        <f ca="1"/>
        <v>45924</v>
      </c>
    </row>
    <row r="551" spans="1:12">
      <c r="A551" s="12" t="str">
        <f ca="1">IFERROR(__xludf.DUMMYFUNCTION("""COMPUTED_VALUE"""),"17-09-2025")</f>
        <v>17-09-2025</v>
      </c>
      <c r="B551" s="13" t="str">
        <f ca="1">IFERROR(__xludf.DUMMYFUNCTION("""COMPUTED_VALUE"""),"Surabaya")</f>
        <v>Surabaya</v>
      </c>
      <c r="C551" s="13" t="str">
        <f ca="1">IFERROR(__xludf.DUMMYFUNCTION("""COMPUTED_VALUE"""),"P02")</f>
        <v>P02</v>
      </c>
      <c r="D551" s="13">
        <f ca="1">IFERROR(__xludf.DUMMYFUNCTION("""COMPUTED_VALUE"""),4)</f>
        <v>4</v>
      </c>
      <c r="E551" s="14">
        <f ca="1">IFERROR(__xludf.DUMMYFUNCTION("""COMPUTED_VALUE"""),25000)</f>
        <v>25000</v>
      </c>
      <c r="F551" s="14">
        <f ca="1">IFERROR(__xludf.DUMMYFUNCTION("""COMPUTED_VALUE"""),100000)</f>
        <v>100000</v>
      </c>
      <c r="G551" s="13" t="str">
        <f ca="1"/>
        <v>Latte</v>
      </c>
      <c r="H551" s="13" t="str">
        <f ca="1"/>
        <v>Coffee</v>
      </c>
      <c r="I551" s="13">
        <f ca="1">IFERROR(__xludf.DUMMYFUNCTION("""COMPUTED_VALUE"""),17)</f>
        <v>17</v>
      </c>
      <c r="J551" s="13">
        <f ca="1">IFERROR(__xludf.DUMMYFUNCTION("""COMPUTED_VALUE"""),9)</f>
        <v>9</v>
      </c>
      <c r="K551" s="13">
        <f ca="1">IFERROR(__xludf.DUMMYFUNCTION("""COMPUTED_VALUE"""),2025)</f>
        <v>2025</v>
      </c>
      <c r="L551" s="15">
        <f ca="1"/>
        <v>45917</v>
      </c>
    </row>
    <row r="552" spans="1:12">
      <c r="A552" s="12" t="str">
        <f ca="1">IFERROR(__xludf.DUMMYFUNCTION("""COMPUTED_VALUE"""),"12-09-2025")</f>
        <v>12-09-2025</v>
      </c>
      <c r="B552" s="13" t="str">
        <f ca="1">IFERROR(__xludf.DUMMYFUNCTION("""COMPUTED_VALUE"""),"Surabaya")</f>
        <v>Surabaya</v>
      </c>
      <c r="C552" s="13" t="str">
        <f ca="1">IFERROR(__xludf.DUMMYFUNCTION("""COMPUTED_VALUE"""),"P03")</f>
        <v>P03</v>
      </c>
      <c r="D552" s="13">
        <f ca="1">IFERROR(__xludf.DUMMYFUNCTION("""COMPUTED_VALUE"""),1)</f>
        <v>1</v>
      </c>
      <c r="E552" s="14">
        <f ca="1">IFERROR(__xludf.DUMMYFUNCTION("""COMPUTED_VALUE"""),25000)</f>
        <v>25000</v>
      </c>
      <c r="F552" s="14">
        <f ca="1">IFERROR(__xludf.DUMMYFUNCTION("""COMPUTED_VALUE"""),25000)</f>
        <v>25000</v>
      </c>
      <c r="G552" s="13" t="str">
        <f ca="1"/>
        <v>Espresso</v>
      </c>
      <c r="H552" s="13" t="str">
        <f ca="1"/>
        <v>Coffee</v>
      </c>
      <c r="I552" s="13">
        <f ca="1">IFERROR(__xludf.DUMMYFUNCTION("""COMPUTED_VALUE"""),12)</f>
        <v>12</v>
      </c>
      <c r="J552" s="13">
        <f ca="1">IFERROR(__xludf.DUMMYFUNCTION("""COMPUTED_VALUE"""),9)</f>
        <v>9</v>
      </c>
      <c r="K552" s="13">
        <f ca="1">IFERROR(__xludf.DUMMYFUNCTION("""COMPUTED_VALUE"""),2025)</f>
        <v>2025</v>
      </c>
      <c r="L552" s="15">
        <f ca="1"/>
        <v>45912</v>
      </c>
    </row>
    <row r="553" spans="1:12">
      <c r="A553" s="12" t="str">
        <f ca="1">IFERROR(__xludf.DUMMYFUNCTION("""COMPUTED_VALUE"""),"27-09-2025")</f>
        <v>27-09-2025</v>
      </c>
      <c r="B553" s="13" t="str">
        <f ca="1">IFERROR(__xludf.DUMMYFUNCTION("""COMPUTED_VALUE"""),"Surabaya")</f>
        <v>Surabaya</v>
      </c>
      <c r="C553" s="13" t="str">
        <f ca="1">IFERROR(__xludf.DUMMYFUNCTION("""COMPUTED_VALUE"""),"P04")</f>
        <v>P04</v>
      </c>
      <c r="D553" s="13">
        <f ca="1">IFERROR(__xludf.DUMMYFUNCTION("""COMPUTED_VALUE"""),5)</f>
        <v>5</v>
      </c>
      <c r="E553" s="14">
        <f ca="1">IFERROR(__xludf.DUMMYFUNCTION("""COMPUTED_VALUE"""),30000)</f>
        <v>30000</v>
      </c>
      <c r="F553" s="14">
        <f ca="1">IFERROR(__xludf.DUMMYFUNCTION("""COMPUTED_VALUE"""),150000)</f>
        <v>150000</v>
      </c>
      <c r="G553" s="13" t="str">
        <f ca="1"/>
        <v>Americano</v>
      </c>
      <c r="H553" s="13" t="str">
        <f ca="1"/>
        <v>Coffee</v>
      </c>
      <c r="I553" s="13">
        <f ca="1">IFERROR(__xludf.DUMMYFUNCTION("""COMPUTED_VALUE"""),27)</f>
        <v>27</v>
      </c>
      <c r="J553" s="13">
        <f ca="1">IFERROR(__xludf.DUMMYFUNCTION("""COMPUTED_VALUE"""),9)</f>
        <v>9</v>
      </c>
      <c r="K553" s="13">
        <f ca="1">IFERROR(__xludf.DUMMYFUNCTION("""COMPUTED_VALUE"""),2025)</f>
        <v>2025</v>
      </c>
      <c r="L553" s="15">
        <f ca="1"/>
        <v>45927</v>
      </c>
    </row>
    <row r="554" spans="1:12">
      <c r="A554" s="12" t="str">
        <f ca="1">IFERROR(__xludf.DUMMYFUNCTION("""COMPUTED_VALUE"""),"23-09-2025")</f>
        <v>23-09-2025</v>
      </c>
      <c r="B554" s="13" t="str">
        <f ca="1">IFERROR(__xludf.DUMMYFUNCTION("""COMPUTED_VALUE"""),"Surabaya")</f>
        <v>Surabaya</v>
      </c>
      <c r="C554" s="13" t="str">
        <f ca="1">IFERROR(__xludf.DUMMYFUNCTION("""COMPUTED_VALUE"""),"P05")</f>
        <v>P05</v>
      </c>
      <c r="D554" s="13">
        <f ca="1">IFERROR(__xludf.DUMMYFUNCTION("""COMPUTED_VALUE"""),2)</f>
        <v>2</v>
      </c>
      <c r="E554" s="14">
        <f ca="1">IFERROR(__xludf.DUMMYFUNCTION("""COMPUTED_VALUE"""),25000)</f>
        <v>25000</v>
      </c>
      <c r="F554" s="14">
        <f ca="1">IFERROR(__xludf.DUMMYFUNCTION("""COMPUTED_VALUE"""),50000)</f>
        <v>50000</v>
      </c>
      <c r="G554" s="13" t="str">
        <f ca="1"/>
        <v>Mocha</v>
      </c>
      <c r="H554" s="13" t="str">
        <f ca="1"/>
        <v>Chocolate</v>
      </c>
      <c r="I554" s="13">
        <f ca="1">IFERROR(__xludf.DUMMYFUNCTION("""COMPUTED_VALUE"""),23)</f>
        <v>23</v>
      </c>
      <c r="J554" s="13">
        <f ca="1">IFERROR(__xludf.DUMMYFUNCTION("""COMPUTED_VALUE"""),9)</f>
        <v>9</v>
      </c>
      <c r="K554" s="13">
        <f ca="1">IFERROR(__xludf.DUMMYFUNCTION("""COMPUTED_VALUE"""),2025)</f>
        <v>2025</v>
      </c>
      <c r="L554" s="15">
        <f ca="1"/>
        <v>45923</v>
      </c>
    </row>
    <row r="555" spans="1:12">
      <c r="A555" s="12" t="str">
        <f ca="1">IFERROR(__xludf.DUMMYFUNCTION("""COMPUTED_VALUE"""),"11-09-2025")</f>
        <v>11-09-2025</v>
      </c>
      <c r="B555" s="13" t="str">
        <f ca="1">IFERROR(__xludf.DUMMYFUNCTION("""COMPUTED_VALUE"""),"Surabaya")</f>
        <v>Surabaya</v>
      </c>
      <c r="C555" s="13" t="str">
        <f ca="1">IFERROR(__xludf.DUMMYFUNCTION("""COMPUTED_VALUE"""),"P03")</f>
        <v>P03</v>
      </c>
      <c r="D555" s="13">
        <f ca="1">IFERROR(__xludf.DUMMYFUNCTION("""COMPUTED_VALUE"""),2)</f>
        <v>2</v>
      </c>
      <c r="E555" s="14">
        <f ca="1">IFERROR(__xludf.DUMMYFUNCTION("""COMPUTED_VALUE"""),30000)</f>
        <v>30000</v>
      </c>
      <c r="F555" s="14">
        <f ca="1">IFERROR(__xludf.DUMMYFUNCTION("""COMPUTED_VALUE"""),60000)</f>
        <v>60000</v>
      </c>
      <c r="G555" s="13" t="str">
        <f ca="1"/>
        <v>Espresso</v>
      </c>
      <c r="H555" s="13" t="str">
        <f ca="1"/>
        <v>Coffee</v>
      </c>
      <c r="I555" s="13">
        <f ca="1">IFERROR(__xludf.DUMMYFUNCTION("""COMPUTED_VALUE"""),11)</f>
        <v>11</v>
      </c>
      <c r="J555" s="13">
        <f ca="1">IFERROR(__xludf.DUMMYFUNCTION("""COMPUTED_VALUE"""),9)</f>
        <v>9</v>
      </c>
      <c r="K555" s="13">
        <f ca="1">IFERROR(__xludf.DUMMYFUNCTION("""COMPUTED_VALUE"""),2025)</f>
        <v>2025</v>
      </c>
      <c r="L555" s="15">
        <f ca="1"/>
        <v>45911</v>
      </c>
    </row>
    <row r="556" spans="1:12">
      <c r="A556" s="12" t="str">
        <f ca="1">IFERROR(__xludf.DUMMYFUNCTION("""COMPUTED_VALUE"""),"22-09-2025")</f>
        <v>22-09-2025</v>
      </c>
      <c r="B556" s="13" t="str">
        <f ca="1">IFERROR(__xludf.DUMMYFUNCTION("""COMPUTED_VALUE"""),"Surabaya")</f>
        <v>Surabaya</v>
      </c>
      <c r="C556" s="13" t="str">
        <f ca="1">IFERROR(__xludf.DUMMYFUNCTION("""COMPUTED_VALUE"""),"P04")</f>
        <v>P04</v>
      </c>
      <c r="D556" s="13">
        <f ca="1">IFERROR(__xludf.DUMMYFUNCTION("""COMPUTED_VALUE"""),4)</f>
        <v>4</v>
      </c>
      <c r="E556" s="14">
        <f ca="1">IFERROR(__xludf.DUMMYFUNCTION("""COMPUTED_VALUE"""),20000)</f>
        <v>20000</v>
      </c>
      <c r="F556" s="14">
        <f ca="1">IFERROR(__xludf.DUMMYFUNCTION("""COMPUTED_VALUE"""),80000)</f>
        <v>80000</v>
      </c>
      <c r="G556" s="13" t="str">
        <f ca="1"/>
        <v>Americano</v>
      </c>
      <c r="H556" s="13" t="str">
        <f ca="1"/>
        <v>Coffee</v>
      </c>
      <c r="I556" s="13">
        <f ca="1">IFERROR(__xludf.DUMMYFUNCTION("""COMPUTED_VALUE"""),22)</f>
        <v>22</v>
      </c>
      <c r="J556" s="13">
        <f ca="1">IFERROR(__xludf.DUMMYFUNCTION("""COMPUTED_VALUE"""),9)</f>
        <v>9</v>
      </c>
      <c r="K556" s="13">
        <f ca="1">IFERROR(__xludf.DUMMYFUNCTION("""COMPUTED_VALUE"""),2025)</f>
        <v>2025</v>
      </c>
      <c r="L556" s="15">
        <f ca="1"/>
        <v>45922</v>
      </c>
    </row>
    <row r="557" spans="1:12">
      <c r="A557" s="12" t="str">
        <f ca="1">IFERROR(__xludf.DUMMYFUNCTION("""COMPUTED_VALUE"""),"10-09-2025")</f>
        <v>10-09-2025</v>
      </c>
      <c r="B557" s="13" t="str">
        <f ca="1">IFERROR(__xludf.DUMMYFUNCTION("""COMPUTED_VALUE"""),"Surabaya")</f>
        <v>Surabaya</v>
      </c>
      <c r="C557" s="13" t="str">
        <f ca="1">IFERROR(__xludf.DUMMYFUNCTION("""COMPUTED_VALUE"""),"P05")</f>
        <v>P05</v>
      </c>
      <c r="D557" s="13">
        <f ca="1">IFERROR(__xludf.DUMMYFUNCTION("""COMPUTED_VALUE"""),2)</f>
        <v>2</v>
      </c>
      <c r="E557" s="14">
        <f ca="1">IFERROR(__xludf.DUMMYFUNCTION("""COMPUTED_VALUE"""),20000)</f>
        <v>20000</v>
      </c>
      <c r="F557" s="14">
        <f ca="1">IFERROR(__xludf.DUMMYFUNCTION("""COMPUTED_VALUE"""),40000)</f>
        <v>40000</v>
      </c>
      <c r="G557" s="13" t="str">
        <f ca="1"/>
        <v>Mocha</v>
      </c>
      <c r="H557" s="13" t="str">
        <f ca="1"/>
        <v>Chocolate</v>
      </c>
      <c r="I557" s="13">
        <f ca="1">IFERROR(__xludf.DUMMYFUNCTION("""COMPUTED_VALUE"""),10)</f>
        <v>10</v>
      </c>
      <c r="J557" s="13">
        <f ca="1">IFERROR(__xludf.DUMMYFUNCTION("""COMPUTED_VALUE"""),9)</f>
        <v>9</v>
      </c>
      <c r="K557" s="13">
        <f ca="1">IFERROR(__xludf.DUMMYFUNCTION("""COMPUTED_VALUE"""),2025)</f>
        <v>2025</v>
      </c>
      <c r="L557" s="15">
        <f ca="1"/>
        <v>45910</v>
      </c>
    </row>
    <row r="558" spans="1:12">
      <c r="A558" s="12" t="str">
        <f ca="1">IFERROR(__xludf.DUMMYFUNCTION("""COMPUTED_VALUE"""),"11-09-2025")</f>
        <v>11-09-2025</v>
      </c>
      <c r="B558" s="13" t="str">
        <f ca="1">IFERROR(__xludf.DUMMYFUNCTION("""COMPUTED_VALUE"""),"Surabaya")</f>
        <v>Surabaya</v>
      </c>
      <c r="C558" s="13" t="str">
        <f ca="1">IFERROR(__xludf.DUMMYFUNCTION("""COMPUTED_VALUE"""),"P01")</f>
        <v>P01</v>
      </c>
      <c r="D558" s="13">
        <f ca="1">IFERROR(__xludf.DUMMYFUNCTION("""COMPUTED_VALUE"""),2)</f>
        <v>2</v>
      </c>
      <c r="E558" s="14">
        <f ca="1">IFERROR(__xludf.DUMMYFUNCTION("""COMPUTED_VALUE"""),35000)</f>
        <v>35000</v>
      </c>
      <c r="F558" s="14">
        <f ca="1">IFERROR(__xludf.DUMMYFUNCTION("""COMPUTED_VALUE"""),70000)</f>
        <v>70000</v>
      </c>
      <c r="G558" s="13" t="str">
        <f ca="1"/>
        <v>Cappuccino</v>
      </c>
      <c r="H558" s="13" t="str">
        <f ca="1"/>
        <v>Coffee</v>
      </c>
      <c r="I558" s="13">
        <f ca="1">IFERROR(__xludf.DUMMYFUNCTION("""COMPUTED_VALUE"""),11)</f>
        <v>11</v>
      </c>
      <c r="J558" s="13">
        <f ca="1">IFERROR(__xludf.DUMMYFUNCTION("""COMPUTED_VALUE"""),9)</f>
        <v>9</v>
      </c>
      <c r="K558" s="13">
        <f ca="1">IFERROR(__xludf.DUMMYFUNCTION("""COMPUTED_VALUE"""),2025)</f>
        <v>2025</v>
      </c>
      <c r="L558" s="15">
        <f ca="1"/>
        <v>45911</v>
      </c>
    </row>
    <row r="559" spans="1:12">
      <c r="A559" s="12" t="str">
        <f ca="1">IFERROR(__xludf.DUMMYFUNCTION("""COMPUTED_VALUE"""),"15-09-2025")</f>
        <v>15-09-2025</v>
      </c>
      <c r="B559" s="13" t="str">
        <f ca="1">IFERROR(__xludf.DUMMYFUNCTION("""COMPUTED_VALUE"""),"Surabaya")</f>
        <v>Surabaya</v>
      </c>
      <c r="C559" s="13" t="str">
        <f ca="1">IFERROR(__xludf.DUMMYFUNCTION("""COMPUTED_VALUE"""),"P02")</f>
        <v>P02</v>
      </c>
      <c r="D559" s="13">
        <f ca="1">IFERROR(__xludf.DUMMYFUNCTION("""COMPUTED_VALUE"""),5)</f>
        <v>5</v>
      </c>
      <c r="E559" s="14">
        <f ca="1">IFERROR(__xludf.DUMMYFUNCTION("""COMPUTED_VALUE"""),30000)</f>
        <v>30000</v>
      </c>
      <c r="F559" s="14">
        <f ca="1">IFERROR(__xludf.DUMMYFUNCTION("""COMPUTED_VALUE"""),150000)</f>
        <v>150000</v>
      </c>
      <c r="G559" s="13" t="str">
        <f ca="1"/>
        <v>Latte</v>
      </c>
      <c r="H559" s="13" t="str">
        <f ca="1"/>
        <v>Coffee</v>
      </c>
      <c r="I559" s="13">
        <f ca="1">IFERROR(__xludf.DUMMYFUNCTION("""COMPUTED_VALUE"""),15)</f>
        <v>15</v>
      </c>
      <c r="J559" s="13">
        <f ca="1">IFERROR(__xludf.DUMMYFUNCTION("""COMPUTED_VALUE"""),9)</f>
        <v>9</v>
      </c>
      <c r="K559" s="13">
        <f ca="1">IFERROR(__xludf.DUMMYFUNCTION("""COMPUTED_VALUE"""),2025)</f>
        <v>2025</v>
      </c>
      <c r="L559" s="15">
        <f ca="1"/>
        <v>45915</v>
      </c>
    </row>
    <row r="560" spans="1:12">
      <c r="A560" s="12" t="str">
        <f ca="1">IFERROR(__xludf.DUMMYFUNCTION("""COMPUTED_VALUE"""),"28-09-2025")</f>
        <v>28-09-2025</v>
      </c>
      <c r="B560" s="13" t="str">
        <f ca="1">IFERROR(__xludf.DUMMYFUNCTION("""COMPUTED_VALUE"""),"Surabaya")</f>
        <v>Surabaya</v>
      </c>
      <c r="C560" s="13" t="str">
        <f ca="1">IFERROR(__xludf.DUMMYFUNCTION("""COMPUTED_VALUE"""),"P03")</f>
        <v>P03</v>
      </c>
      <c r="D560" s="13">
        <f ca="1">IFERROR(__xludf.DUMMYFUNCTION("""COMPUTED_VALUE"""),4)</f>
        <v>4</v>
      </c>
      <c r="E560" s="14">
        <f ca="1">IFERROR(__xludf.DUMMYFUNCTION("""COMPUTED_VALUE"""),30000)</f>
        <v>30000</v>
      </c>
      <c r="F560" s="14">
        <f ca="1">IFERROR(__xludf.DUMMYFUNCTION("""COMPUTED_VALUE"""),120000)</f>
        <v>120000</v>
      </c>
      <c r="G560" s="13" t="str">
        <f ca="1"/>
        <v>Espresso</v>
      </c>
      <c r="H560" s="13" t="str">
        <f ca="1"/>
        <v>Coffee</v>
      </c>
      <c r="I560" s="13">
        <f ca="1">IFERROR(__xludf.DUMMYFUNCTION("""COMPUTED_VALUE"""),28)</f>
        <v>28</v>
      </c>
      <c r="J560" s="13">
        <f ca="1">IFERROR(__xludf.DUMMYFUNCTION("""COMPUTED_VALUE"""),9)</f>
        <v>9</v>
      </c>
      <c r="K560" s="13">
        <f ca="1">IFERROR(__xludf.DUMMYFUNCTION("""COMPUTED_VALUE"""),2025)</f>
        <v>2025</v>
      </c>
      <c r="L560" s="15">
        <f ca="1"/>
        <v>45928</v>
      </c>
    </row>
    <row r="561" spans="1:12">
      <c r="A561" s="12" t="str">
        <f ca="1">IFERROR(__xludf.DUMMYFUNCTION("""COMPUTED_VALUE"""),"13-09-2025")</f>
        <v>13-09-2025</v>
      </c>
      <c r="B561" s="13" t="str">
        <f ca="1">IFERROR(__xludf.DUMMYFUNCTION("""COMPUTED_VALUE"""),"Surabaya")</f>
        <v>Surabaya</v>
      </c>
      <c r="C561" s="13" t="str">
        <f ca="1">IFERROR(__xludf.DUMMYFUNCTION("""COMPUTED_VALUE"""),"P04")</f>
        <v>P04</v>
      </c>
      <c r="D561" s="13">
        <f ca="1">IFERROR(__xludf.DUMMYFUNCTION("""COMPUTED_VALUE"""),3)</f>
        <v>3</v>
      </c>
      <c r="E561" s="14">
        <f ca="1">IFERROR(__xludf.DUMMYFUNCTION("""COMPUTED_VALUE"""),28000)</f>
        <v>28000</v>
      </c>
      <c r="F561" s="14">
        <f ca="1">IFERROR(__xludf.DUMMYFUNCTION("""COMPUTED_VALUE"""),84000)</f>
        <v>84000</v>
      </c>
      <c r="G561" s="13" t="str">
        <f ca="1"/>
        <v>Americano</v>
      </c>
      <c r="H561" s="13" t="str">
        <f ca="1"/>
        <v>Coffee</v>
      </c>
      <c r="I561" s="13">
        <f ca="1">IFERROR(__xludf.DUMMYFUNCTION("""COMPUTED_VALUE"""),13)</f>
        <v>13</v>
      </c>
      <c r="J561" s="13">
        <f ca="1">IFERROR(__xludf.DUMMYFUNCTION("""COMPUTED_VALUE"""),9)</f>
        <v>9</v>
      </c>
      <c r="K561" s="13">
        <f ca="1">IFERROR(__xludf.DUMMYFUNCTION("""COMPUTED_VALUE"""),2025)</f>
        <v>2025</v>
      </c>
      <c r="L561" s="15">
        <f ca="1"/>
        <v>45913</v>
      </c>
    </row>
    <row r="562" spans="1:12">
      <c r="A562" s="12" t="str">
        <f ca="1">IFERROR(__xludf.DUMMYFUNCTION("""COMPUTED_VALUE"""),"24-09-2025")</f>
        <v>24-09-2025</v>
      </c>
      <c r="B562" s="13" t="str">
        <f ca="1">IFERROR(__xludf.DUMMYFUNCTION("""COMPUTED_VALUE"""),"Surabaya")</f>
        <v>Surabaya</v>
      </c>
      <c r="C562" s="13" t="str">
        <f ca="1">IFERROR(__xludf.DUMMYFUNCTION("""COMPUTED_VALUE"""),"P05")</f>
        <v>P05</v>
      </c>
      <c r="D562" s="13">
        <f ca="1">IFERROR(__xludf.DUMMYFUNCTION("""COMPUTED_VALUE"""),5)</f>
        <v>5</v>
      </c>
      <c r="E562" s="14">
        <f ca="1">IFERROR(__xludf.DUMMYFUNCTION("""COMPUTED_VALUE"""),20000)</f>
        <v>20000</v>
      </c>
      <c r="F562" s="14">
        <f ca="1">IFERROR(__xludf.DUMMYFUNCTION("""COMPUTED_VALUE"""),100000)</f>
        <v>100000</v>
      </c>
      <c r="G562" s="13" t="str">
        <f ca="1"/>
        <v>Mocha</v>
      </c>
      <c r="H562" s="13" t="str">
        <f ca="1"/>
        <v>Chocolate</v>
      </c>
      <c r="I562" s="13">
        <f ca="1">IFERROR(__xludf.DUMMYFUNCTION("""COMPUTED_VALUE"""),24)</f>
        <v>24</v>
      </c>
      <c r="J562" s="13">
        <f ca="1">IFERROR(__xludf.DUMMYFUNCTION("""COMPUTED_VALUE"""),9)</f>
        <v>9</v>
      </c>
      <c r="K562" s="13">
        <f ca="1">IFERROR(__xludf.DUMMYFUNCTION("""COMPUTED_VALUE"""),2025)</f>
        <v>2025</v>
      </c>
      <c r="L562" s="15">
        <f ca="1"/>
        <v>45924</v>
      </c>
    </row>
    <row r="563" spans="1:12">
      <c r="A563" s="12" t="str">
        <f ca="1">IFERROR(__xludf.DUMMYFUNCTION("""COMPUTED_VALUE"""),"11-09-2025")</f>
        <v>11-09-2025</v>
      </c>
      <c r="B563" s="13" t="str">
        <f ca="1">IFERROR(__xludf.DUMMYFUNCTION("""COMPUTED_VALUE"""),"Surabaya")</f>
        <v>Surabaya</v>
      </c>
      <c r="C563" s="13" t="str">
        <f ca="1">IFERROR(__xludf.DUMMYFUNCTION("""COMPUTED_VALUE"""),"P01")</f>
        <v>P01</v>
      </c>
      <c r="D563" s="13">
        <f ca="1">IFERROR(__xludf.DUMMYFUNCTION("""COMPUTED_VALUE"""),2)</f>
        <v>2</v>
      </c>
      <c r="E563" s="14">
        <f ca="1">IFERROR(__xludf.DUMMYFUNCTION("""COMPUTED_VALUE"""),25000)</f>
        <v>25000</v>
      </c>
      <c r="F563" s="14">
        <f ca="1">IFERROR(__xludf.DUMMYFUNCTION("""COMPUTED_VALUE"""),50000)</f>
        <v>50000</v>
      </c>
      <c r="G563" s="13" t="str">
        <f ca="1"/>
        <v>Cappuccino</v>
      </c>
      <c r="H563" s="13" t="str">
        <f ca="1"/>
        <v>Coffee</v>
      </c>
      <c r="I563" s="13">
        <f ca="1">IFERROR(__xludf.DUMMYFUNCTION("""COMPUTED_VALUE"""),11)</f>
        <v>11</v>
      </c>
      <c r="J563" s="13">
        <f ca="1">IFERROR(__xludf.DUMMYFUNCTION("""COMPUTED_VALUE"""),9)</f>
        <v>9</v>
      </c>
      <c r="K563" s="13">
        <f ca="1">IFERROR(__xludf.DUMMYFUNCTION("""COMPUTED_VALUE"""),2025)</f>
        <v>2025</v>
      </c>
      <c r="L563" s="15">
        <f ca="1"/>
        <v>45911</v>
      </c>
    </row>
    <row r="564" spans="1:12">
      <c r="A564" s="12" t="str">
        <f ca="1">IFERROR(__xludf.DUMMYFUNCTION("""COMPUTED_VALUE"""),"27-09-2025")</f>
        <v>27-09-2025</v>
      </c>
      <c r="B564" s="13" t="str">
        <f ca="1">IFERROR(__xludf.DUMMYFUNCTION("""COMPUTED_VALUE"""),"Surabaya")</f>
        <v>Surabaya</v>
      </c>
      <c r="C564" s="13" t="str">
        <f ca="1">IFERROR(__xludf.DUMMYFUNCTION("""COMPUTED_VALUE"""),"P02")</f>
        <v>P02</v>
      </c>
      <c r="D564" s="13">
        <f ca="1">IFERROR(__xludf.DUMMYFUNCTION("""COMPUTED_VALUE"""),3)</f>
        <v>3</v>
      </c>
      <c r="E564" s="14">
        <f ca="1">IFERROR(__xludf.DUMMYFUNCTION("""COMPUTED_VALUE"""),28000)</f>
        <v>28000</v>
      </c>
      <c r="F564" s="14">
        <f ca="1">IFERROR(__xludf.DUMMYFUNCTION("""COMPUTED_VALUE"""),84000)</f>
        <v>84000</v>
      </c>
      <c r="G564" s="13" t="str">
        <f ca="1"/>
        <v>Latte</v>
      </c>
      <c r="H564" s="13" t="str">
        <f ca="1"/>
        <v>Coffee</v>
      </c>
      <c r="I564" s="13">
        <f ca="1">IFERROR(__xludf.DUMMYFUNCTION("""COMPUTED_VALUE"""),27)</f>
        <v>27</v>
      </c>
      <c r="J564" s="13">
        <f ca="1">IFERROR(__xludf.DUMMYFUNCTION("""COMPUTED_VALUE"""),9)</f>
        <v>9</v>
      </c>
      <c r="K564" s="13">
        <f ca="1">IFERROR(__xludf.DUMMYFUNCTION("""COMPUTED_VALUE"""),2025)</f>
        <v>2025</v>
      </c>
      <c r="L564" s="15">
        <f ca="1"/>
        <v>45927</v>
      </c>
    </row>
    <row r="565" spans="1:12">
      <c r="A565" s="12" t="str">
        <f ca="1">IFERROR(__xludf.DUMMYFUNCTION("""COMPUTED_VALUE"""),"17-09-2025")</f>
        <v>17-09-2025</v>
      </c>
      <c r="B565" s="13" t="str">
        <f ca="1">IFERROR(__xludf.DUMMYFUNCTION("""COMPUTED_VALUE"""),"Surabaya")</f>
        <v>Surabaya</v>
      </c>
      <c r="C565" s="13" t="str">
        <f ca="1">IFERROR(__xludf.DUMMYFUNCTION("""COMPUTED_VALUE"""),"P03")</f>
        <v>P03</v>
      </c>
      <c r="D565" s="13">
        <f ca="1">IFERROR(__xludf.DUMMYFUNCTION("""COMPUTED_VALUE"""),1)</f>
        <v>1</v>
      </c>
      <c r="E565" s="14">
        <f ca="1">IFERROR(__xludf.DUMMYFUNCTION("""COMPUTED_VALUE"""),20000)</f>
        <v>20000</v>
      </c>
      <c r="F565" s="14">
        <f ca="1">IFERROR(__xludf.DUMMYFUNCTION("""COMPUTED_VALUE"""),20000)</f>
        <v>20000</v>
      </c>
      <c r="G565" s="13" t="str">
        <f ca="1"/>
        <v>Espresso</v>
      </c>
      <c r="H565" s="13" t="str">
        <f ca="1"/>
        <v>Coffee</v>
      </c>
      <c r="I565" s="13">
        <f ca="1">IFERROR(__xludf.DUMMYFUNCTION("""COMPUTED_VALUE"""),17)</f>
        <v>17</v>
      </c>
      <c r="J565" s="13">
        <f ca="1">IFERROR(__xludf.DUMMYFUNCTION("""COMPUTED_VALUE"""),9)</f>
        <v>9</v>
      </c>
      <c r="K565" s="13">
        <f ca="1">IFERROR(__xludf.DUMMYFUNCTION("""COMPUTED_VALUE"""),2025)</f>
        <v>2025</v>
      </c>
      <c r="L565" s="15">
        <f ca="1"/>
        <v>45917</v>
      </c>
    </row>
    <row r="566" spans="1:12">
      <c r="A566" s="12" t="str">
        <f ca="1">IFERROR(__xludf.DUMMYFUNCTION("""COMPUTED_VALUE"""),"06-09-2025")</f>
        <v>06-09-2025</v>
      </c>
      <c r="B566" s="13" t="str">
        <f ca="1">IFERROR(__xludf.DUMMYFUNCTION("""COMPUTED_VALUE"""),"Surabaya")</f>
        <v>Surabaya</v>
      </c>
      <c r="C566" s="13" t="str">
        <f ca="1">IFERROR(__xludf.DUMMYFUNCTION("""COMPUTED_VALUE"""),"P04")</f>
        <v>P04</v>
      </c>
      <c r="D566" s="13">
        <f ca="1">IFERROR(__xludf.DUMMYFUNCTION("""COMPUTED_VALUE"""),5)</f>
        <v>5</v>
      </c>
      <c r="E566" s="14">
        <f ca="1">IFERROR(__xludf.DUMMYFUNCTION("""COMPUTED_VALUE"""),30000)</f>
        <v>30000</v>
      </c>
      <c r="F566" s="14">
        <f ca="1">IFERROR(__xludf.DUMMYFUNCTION("""COMPUTED_VALUE"""),150000)</f>
        <v>150000</v>
      </c>
      <c r="G566" s="13" t="str">
        <f ca="1"/>
        <v>Americano</v>
      </c>
      <c r="H566" s="13" t="str">
        <f ca="1"/>
        <v>Coffee</v>
      </c>
      <c r="I566" s="13">
        <f ca="1">IFERROR(__xludf.DUMMYFUNCTION("""COMPUTED_VALUE"""),6)</f>
        <v>6</v>
      </c>
      <c r="J566" s="13">
        <f ca="1">IFERROR(__xludf.DUMMYFUNCTION("""COMPUTED_VALUE"""),9)</f>
        <v>9</v>
      </c>
      <c r="K566" s="13">
        <f ca="1">IFERROR(__xludf.DUMMYFUNCTION("""COMPUTED_VALUE"""),2025)</f>
        <v>2025</v>
      </c>
      <c r="L566" s="15">
        <f ca="1"/>
        <v>45906</v>
      </c>
    </row>
    <row r="567" spans="1:12">
      <c r="A567" s="12" t="str">
        <f ca="1">IFERROR(__xludf.DUMMYFUNCTION("""COMPUTED_VALUE"""),"04-09-2025")</f>
        <v>04-09-2025</v>
      </c>
      <c r="B567" s="13" t="str">
        <f ca="1">IFERROR(__xludf.DUMMYFUNCTION("""COMPUTED_VALUE"""),"Surabaya")</f>
        <v>Surabaya</v>
      </c>
      <c r="C567" s="13" t="str">
        <f ca="1">IFERROR(__xludf.DUMMYFUNCTION("""COMPUTED_VALUE"""),"P05")</f>
        <v>P05</v>
      </c>
      <c r="D567" s="13">
        <f ca="1">IFERROR(__xludf.DUMMYFUNCTION("""COMPUTED_VALUE"""),4)</f>
        <v>4</v>
      </c>
      <c r="E567" s="14">
        <f ca="1">IFERROR(__xludf.DUMMYFUNCTION("""COMPUTED_VALUE"""),20000)</f>
        <v>20000</v>
      </c>
      <c r="F567" s="14">
        <f ca="1">IFERROR(__xludf.DUMMYFUNCTION("""COMPUTED_VALUE"""),80000)</f>
        <v>80000</v>
      </c>
      <c r="G567" s="13" t="str">
        <f ca="1"/>
        <v>Mocha</v>
      </c>
      <c r="H567" s="13" t="str">
        <f ca="1"/>
        <v>Chocolate</v>
      </c>
      <c r="I567" s="13">
        <f ca="1">IFERROR(__xludf.DUMMYFUNCTION("""COMPUTED_VALUE"""),4)</f>
        <v>4</v>
      </c>
      <c r="J567" s="13">
        <f ca="1">IFERROR(__xludf.DUMMYFUNCTION("""COMPUTED_VALUE"""),9)</f>
        <v>9</v>
      </c>
      <c r="K567" s="13">
        <f ca="1">IFERROR(__xludf.DUMMYFUNCTION("""COMPUTED_VALUE"""),2025)</f>
        <v>2025</v>
      </c>
      <c r="L567" s="15">
        <f ca="1"/>
        <v>45904</v>
      </c>
    </row>
    <row r="568" spans="1:12">
      <c r="A568" s="12" t="str">
        <f ca="1">IFERROR(__xludf.DUMMYFUNCTION("""COMPUTED_VALUE"""),"15-09-2025")</f>
        <v>15-09-2025</v>
      </c>
      <c r="B568" s="13" t="str">
        <f ca="1">IFERROR(__xludf.DUMMYFUNCTION("""COMPUTED_VALUE"""),"Surabaya")</f>
        <v>Surabaya</v>
      </c>
      <c r="C568" s="13" t="str">
        <f ca="1">IFERROR(__xludf.DUMMYFUNCTION("""COMPUTED_VALUE"""),"P04")</f>
        <v>P04</v>
      </c>
      <c r="D568" s="13">
        <f ca="1">IFERROR(__xludf.DUMMYFUNCTION("""COMPUTED_VALUE"""),1)</f>
        <v>1</v>
      </c>
      <c r="E568" s="14">
        <f ca="1">IFERROR(__xludf.DUMMYFUNCTION("""COMPUTED_VALUE"""),25000)</f>
        <v>25000</v>
      </c>
      <c r="F568" s="14">
        <f ca="1">IFERROR(__xludf.DUMMYFUNCTION("""COMPUTED_VALUE"""),25000)</f>
        <v>25000</v>
      </c>
      <c r="G568" s="13" t="str">
        <f ca="1"/>
        <v>Americano</v>
      </c>
      <c r="H568" s="13" t="str">
        <f ca="1"/>
        <v>Coffee</v>
      </c>
      <c r="I568" s="13">
        <f ca="1">IFERROR(__xludf.DUMMYFUNCTION("""COMPUTED_VALUE"""),15)</f>
        <v>15</v>
      </c>
      <c r="J568" s="13">
        <f ca="1">IFERROR(__xludf.DUMMYFUNCTION("""COMPUTED_VALUE"""),9)</f>
        <v>9</v>
      </c>
      <c r="K568" s="13">
        <f ca="1">IFERROR(__xludf.DUMMYFUNCTION("""COMPUTED_VALUE"""),2025)</f>
        <v>2025</v>
      </c>
      <c r="L568" s="15">
        <f ca="1"/>
        <v>45915</v>
      </c>
    </row>
    <row r="569" spans="1:12">
      <c r="A569" s="12" t="str">
        <f ca="1">IFERROR(__xludf.DUMMYFUNCTION("""COMPUTED_VALUE"""),"06-09-2025")</f>
        <v>06-09-2025</v>
      </c>
      <c r="B569" s="13" t="str">
        <f ca="1">IFERROR(__xludf.DUMMYFUNCTION("""COMPUTED_VALUE"""),"Surabaya")</f>
        <v>Surabaya</v>
      </c>
      <c r="C569" s="13" t="str">
        <f ca="1">IFERROR(__xludf.DUMMYFUNCTION("""COMPUTED_VALUE"""),"P05")</f>
        <v>P05</v>
      </c>
      <c r="D569" s="13">
        <f ca="1">IFERROR(__xludf.DUMMYFUNCTION("""COMPUTED_VALUE"""),2)</f>
        <v>2</v>
      </c>
      <c r="E569" s="14">
        <f ca="1">IFERROR(__xludf.DUMMYFUNCTION("""COMPUTED_VALUE"""),30000)</f>
        <v>30000</v>
      </c>
      <c r="F569" s="14">
        <f ca="1">IFERROR(__xludf.DUMMYFUNCTION("""COMPUTED_VALUE"""),60000)</f>
        <v>60000</v>
      </c>
      <c r="G569" s="13" t="str">
        <f ca="1"/>
        <v>Mocha</v>
      </c>
      <c r="H569" s="13" t="str">
        <f ca="1"/>
        <v>Chocolate</v>
      </c>
      <c r="I569" s="13">
        <f ca="1">IFERROR(__xludf.DUMMYFUNCTION("""COMPUTED_VALUE"""),6)</f>
        <v>6</v>
      </c>
      <c r="J569" s="13">
        <f ca="1">IFERROR(__xludf.DUMMYFUNCTION("""COMPUTED_VALUE"""),9)</f>
        <v>9</v>
      </c>
      <c r="K569" s="13">
        <f ca="1">IFERROR(__xludf.DUMMYFUNCTION("""COMPUTED_VALUE"""),2025)</f>
        <v>2025</v>
      </c>
      <c r="L569" s="15">
        <f ca="1"/>
        <v>45906</v>
      </c>
    </row>
    <row r="570" spans="1:12">
      <c r="A570" s="12" t="str">
        <f ca="1">IFERROR(__xludf.DUMMYFUNCTION("""COMPUTED_VALUE"""),"27-09-2025")</f>
        <v>27-09-2025</v>
      </c>
      <c r="B570" s="13" t="str">
        <f ca="1">IFERROR(__xludf.DUMMYFUNCTION("""COMPUTED_VALUE"""),"Surabaya")</f>
        <v>Surabaya</v>
      </c>
      <c r="C570" s="13" t="str">
        <f ca="1">IFERROR(__xludf.DUMMYFUNCTION("""COMPUTED_VALUE"""),"P01")</f>
        <v>P01</v>
      </c>
      <c r="D570" s="13">
        <f ca="1">IFERROR(__xludf.DUMMYFUNCTION("""COMPUTED_VALUE"""),1)</f>
        <v>1</v>
      </c>
      <c r="E570" s="14">
        <f ca="1">IFERROR(__xludf.DUMMYFUNCTION("""COMPUTED_VALUE"""),35000)</f>
        <v>35000</v>
      </c>
      <c r="F570" s="14">
        <f ca="1">IFERROR(__xludf.DUMMYFUNCTION("""COMPUTED_VALUE"""),35000)</f>
        <v>35000</v>
      </c>
      <c r="G570" s="13" t="str">
        <f ca="1"/>
        <v>Cappuccino</v>
      </c>
      <c r="H570" s="13" t="str">
        <f ca="1"/>
        <v>Coffee</v>
      </c>
      <c r="I570" s="13">
        <f ca="1">IFERROR(__xludf.DUMMYFUNCTION("""COMPUTED_VALUE"""),27)</f>
        <v>27</v>
      </c>
      <c r="J570" s="13">
        <f ca="1">IFERROR(__xludf.DUMMYFUNCTION("""COMPUTED_VALUE"""),9)</f>
        <v>9</v>
      </c>
      <c r="K570" s="13">
        <f ca="1">IFERROR(__xludf.DUMMYFUNCTION("""COMPUTED_VALUE"""),2025)</f>
        <v>2025</v>
      </c>
      <c r="L570" s="15">
        <f ca="1"/>
        <v>45927</v>
      </c>
    </row>
    <row r="571" spans="1:12">
      <c r="A571" s="12" t="str">
        <f ca="1">IFERROR(__xludf.DUMMYFUNCTION("""COMPUTED_VALUE"""),"18-09-2025")</f>
        <v>18-09-2025</v>
      </c>
      <c r="B571" s="13" t="str">
        <f ca="1">IFERROR(__xludf.DUMMYFUNCTION("""COMPUTED_VALUE"""),"Surabaya")</f>
        <v>Surabaya</v>
      </c>
      <c r="C571" s="13" t="str">
        <f ca="1">IFERROR(__xludf.DUMMYFUNCTION("""COMPUTED_VALUE"""),"P02")</f>
        <v>P02</v>
      </c>
      <c r="D571" s="13">
        <f ca="1">IFERROR(__xludf.DUMMYFUNCTION("""COMPUTED_VALUE"""),1)</f>
        <v>1</v>
      </c>
      <c r="E571" s="14">
        <f ca="1">IFERROR(__xludf.DUMMYFUNCTION("""COMPUTED_VALUE"""),35000)</f>
        <v>35000</v>
      </c>
      <c r="F571" s="14">
        <f ca="1">IFERROR(__xludf.DUMMYFUNCTION("""COMPUTED_VALUE"""),35000)</f>
        <v>35000</v>
      </c>
      <c r="G571" s="13" t="str">
        <f ca="1"/>
        <v>Latte</v>
      </c>
      <c r="H571" s="13" t="str">
        <f ca="1"/>
        <v>Coffee</v>
      </c>
      <c r="I571" s="13">
        <f ca="1">IFERROR(__xludf.DUMMYFUNCTION("""COMPUTED_VALUE"""),18)</f>
        <v>18</v>
      </c>
      <c r="J571" s="13">
        <f ca="1">IFERROR(__xludf.DUMMYFUNCTION("""COMPUTED_VALUE"""),9)</f>
        <v>9</v>
      </c>
      <c r="K571" s="13">
        <f ca="1">IFERROR(__xludf.DUMMYFUNCTION("""COMPUTED_VALUE"""),2025)</f>
        <v>2025</v>
      </c>
      <c r="L571" s="15">
        <f ca="1"/>
        <v>45918</v>
      </c>
    </row>
    <row r="572" spans="1:12">
      <c r="A572" s="12" t="str">
        <f ca="1">IFERROR(__xludf.DUMMYFUNCTION("""COMPUTED_VALUE"""),"09-09-2025")</f>
        <v>09-09-2025</v>
      </c>
      <c r="B572" s="13" t="str">
        <f ca="1">IFERROR(__xludf.DUMMYFUNCTION("""COMPUTED_VALUE"""),"Surabaya")</f>
        <v>Surabaya</v>
      </c>
      <c r="C572" s="13" t="str">
        <f ca="1">IFERROR(__xludf.DUMMYFUNCTION("""COMPUTED_VALUE"""),"P03")</f>
        <v>P03</v>
      </c>
      <c r="D572" s="13">
        <f ca="1">IFERROR(__xludf.DUMMYFUNCTION("""COMPUTED_VALUE"""),4)</f>
        <v>4</v>
      </c>
      <c r="E572" s="14">
        <f ca="1">IFERROR(__xludf.DUMMYFUNCTION("""COMPUTED_VALUE"""),25000)</f>
        <v>25000</v>
      </c>
      <c r="F572" s="14">
        <f ca="1">IFERROR(__xludf.DUMMYFUNCTION("""COMPUTED_VALUE"""),100000)</f>
        <v>100000</v>
      </c>
      <c r="G572" s="13" t="str">
        <f ca="1"/>
        <v>Espresso</v>
      </c>
      <c r="H572" s="13" t="str">
        <f ca="1"/>
        <v>Coffee</v>
      </c>
      <c r="I572" s="13">
        <f ca="1">IFERROR(__xludf.DUMMYFUNCTION("""COMPUTED_VALUE"""),9)</f>
        <v>9</v>
      </c>
      <c r="J572" s="13">
        <f ca="1">IFERROR(__xludf.DUMMYFUNCTION("""COMPUTED_VALUE"""),9)</f>
        <v>9</v>
      </c>
      <c r="K572" s="13">
        <f ca="1">IFERROR(__xludf.DUMMYFUNCTION("""COMPUTED_VALUE"""),2025)</f>
        <v>2025</v>
      </c>
      <c r="L572" s="15">
        <f ca="1"/>
        <v>45909</v>
      </c>
    </row>
    <row r="573" spans="1:12">
      <c r="A573" s="12" t="str">
        <f ca="1">IFERROR(__xludf.DUMMYFUNCTION("""COMPUTED_VALUE"""),"21-09-2025")</f>
        <v>21-09-2025</v>
      </c>
      <c r="B573" s="13" t="str">
        <f ca="1">IFERROR(__xludf.DUMMYFUNCTION("""COMPUTED_VALUE"""),"Surabaya")</f>
        <v>Surabaya</v>
      </c>
      <c r="C573" s="13" t="str">
        <f ca="1">IFERROR(__xludf.DUMMYFUNCTION("""COMPUTED_VALUE"""),"P04")</f>
        <v>P04</v>
      </c>
      <c r="D573" s="13">
        <f ca="1">IFERROR(__xludf.DUMMYFUNCTION("""COMPUTED_VALUE"""),2)</f>
        <v>2</v>
      </c>
      <c r="E573" s="14">
        <f ca="1">IFERROR(__xludf.DUMMYFUNCTION("""COMPUTED_VALUE"""),35000)</f>
        <v>35000</v>
      </c>
      <c r="F573" s="14">
        <f ca="1">IFERROR(__xludf.DUMMYFUNCTION("""COMPUTED_VALUE"""),70000)</f>
        <v>70000</v>
      </c>
      <c r="G573" s="13" t="str">
        <f ca="1"/>
        <v>Americano</v>
      </c>
      <c r="H573" s="13" t="str">
        <f ca="1"/>
        <v>Coffee</v>
      </c>
      <c r="I573" s="13">
        <f ca="1">IFERROR(__xludf.DUMMYFUNCTION("""COMPUTED_VALUE"""),21)</f>
        <v>21</v>
      </c>
      <c r="J573" s="13">
        <f ca="1">IFERROR(__xludf.DUMMYFUNCTION("""COMPUTED_VALUE"""),9)</f>
        <v>9</v>
      </c>
      <c r="K573" s="13">
        <f ca="1">IFERROR(__xludf.DUMMYFUNCTION("""COMPUTED_VALUE"""),2025)</f>
        <v>2025</v>
      </c>
      <c r="L573" s="15">
        <f ca="1"/>
        <v>45921</v>
      </c>
    </row>
    <row r="574" spans="1:12">
      <c r="A574" s="12" t="str">
        <f ca="1">IFERROR(__xludf.DUMMYFUNCTION("""COMPUTED_VALUE"""),"26-09-2025")</f>
        <v>26-09-2025</v>
      </c>
      <c r="B574" s="13" t="str">
        <f ca="1">IFERROR(__xludf.DUMMYFUNCTION("""COMPUTED_VALUE"""),"Surabaya")</f>
        <v>Surabaya</v>
      </c>
      <c r="C574" s="13" t="str">
        <f ca="1">IFERROR(__xludf.DUMMYFUNCTION("""COMPUTED_VALUE"""),"P05")</f>
        <v>P05</v>
      </c>
      <c r="D574" s="13">
        <f ca="1">IFERROR(__xludf.DUMMYFUNCTION("""COMPUTED_VALUE"""),5)</f>
        <v>5</v>
      </c>
      <c r="E574" s="14">
        <f ca="1">IFERROR(__xludf.DUMMYFUNCTION("""COMPUTED_VALUE"""),30000)</f>
        <v>30000</v>
      </c>
      <c r="F574" s="14">
        <f ca="1">IFERROR(__xludf.DUMMYFUNCTION("""COMPUTED_VALUE"""),150000)</f>
        <v>150000</v>
      </c>
      <c r="G574" s="13" t="str">
        <f ca="1"/>
        <v>Mocha</v>
      </c>
      <c r="H574" s="13" t="str">
        <f ca="1"/>
        <v>Chocolate</v>
      </c>
      <c r="I574" s="13">
        <f ca="1">IFERROR(__xludf.DUMMYFUNCTION("""COMPUTED_VALUE"""),26)</f>
        <v>26</v>
      </c>
      <c r="J574" s="13">
        <f ca="1">IFERROR(__xludf.DUMMYFUNCTION("""COMPUTED_VALUE"""),9)</f>
        <v>9</v>
      </c>
      <c r="K574" s="13">
        <f ca="1">IFERROR(__xludf.DUMMYFUNCTION("""COMPUTED_VALUE"""),2025)</f>
        <v>2025</v>
      </c>
      <c r="L574" s="15">
        <f ca="1"/>
        <v>45926</v>
      </c>
    </row>
    <row r="575" spans="1:12">
      <c r="A575" s="12" t="str">
        <f ca="1">IFERROR(__xludf.DUMMYFUNCTION("""COMPUTED_VALUE"""),"20-09-2025")</f>
        <v>20-09-2025</v>
      </c>
      <c r="B575" s="13" t="str">
        <f ca="1">IFERROR(__xludf.DUMMYFUNCTION("""COMPUTED_VALUE"""),"Surabaya")</f>
        <v>Surabaya</v>
      </c>
      <c r="C575" s="13" t="str">
        <f ca="1">IFERROR(__xludf.DUMMYFUNCTION("""COMPUTED_VALUE"""),"P03")</f>
        <v>P03</v>
      </c>
      <c r="D575" s="13">
        <f ca="1">IFERROR(__xludf.DUMMYFUNCTION("""COMPUTED_VALUE"""),1)</f>
        <v>1</v>
      </c>
      <c r="E575" s="14">
        <f ca="1">IFERROR(__xludf.DUMMYFUNCTION("""COMPUTED_VALUE"""),28000)</f>
        <v>28000</v>
      </c>
      <c r="F575" s="14">
        <f ca="1">IFERROR(__xludf.DUMMYFUNCTION("""COMPUTED_VALUE"""),28000)</f>
        <v>28000</v>
      </c>
      <c r="G575" s="13" t="str">
        <f ca="1"/>
        <v>Espresso</v>
      </c>
      <c r="H575" s="13" t="str">
        <f ca="1"/>
        <v>Coffee</v>
      </c>
      <c r="I575" s="13">
        <f ca="1">IFERROR(__xludf.DUMMYFUNCTION("""COMPUTED_VALUE"""),20)</f>
        <v>20</v>
      </c>
      <c r="J575" s="13">
        <f ca="1">IFERROR(__xludf.DUMMYFUNCTION("""COMPUTED_VALUE"""),9)</f>
        <v>9</v>
      </c>
      <c r="K575" s="13">
        <f ca="1">IFERROR(__xludf.DUMMYFUNCTION("""COMPUTED_VALUE"""),2025)</f>
        <v>2025</v>
      </c>
      <c r="L575" s="15">
        <f ca="1"/>
        <v>45920</v>
      </c>
    </row>
    <row r="576" spans="1:12">
      <c r="A576" s="12" t="str">
        <f ca="1">IFERROR(__xludf.DUMMYFUNCTION("""COMPUTED_VALUE"""),"02-09-2025")</f>
        <v>02-09-2025</v>
      </c>
      <c r="B576" s="13" t="str">
        <f ca="1">IFERROR(__xludf.DUMMYFUNCTION("""COMPUTED_VALUE"""),"Surabaya")</f>
        <v>Surabaya</v>
      </c>
      <c r="C576" s="13" t="str">
        <f ca="1">IFERROR(__xludf.DUMMYFUNCTION("""COMPUTED_VALUE"""),"P04")</f>
        <v>P04</v>
      </c>
      <c r="D576" s="13">
        <f ca="1">IFERROR(__xludf.DUMMYFUNCTION("""COMPUTED_VALUE"""),2)</f>
        <v>2</v>
      </c>
      <c r="E576" s="14">
        <f ca="1">IFERROR(__xludf.DUMMYFUNCTION("""COMPUTED_VALUE"""),30000)</f>
        <v>30000</v>
      </c>
      <c r="F576" s="14">
        <f ca="1">IFERROR(__xludf.DUMMYFUNCTION("""COMPUTED_VALUE"""),60000)</f>
        <v>60000</v>
      </c>
      <c r="G576" s="13" t="str">
        <f ca="1"/>
        <v>Americano</v>
      </c>
      <c r="H576" s="13" t="str">
        <f ca="1"/>
        <v>Coffee</v>
      </c>
      <c r="I576" s="13">
        <f ca="1">IFERROR(__xludf.DUMMYFUNCTION("""COMPUTED_VALUE"""),2)</f>
        <v>2</v>
      </c>
      <c r="J576" s="13">
        <f ca="1">IFERROR(__xludf.DUMMYFUNCTION("""COMPUTED_VALUE"""),9)</f>
        <v>9</v>
      </c>
      <c r="K576" s="13">
        <f ca="1">IFERROR(__xludf.DUMMYFUNCTION("""COMPUTED_VALUE"""),2025)</f>
        <v>2025</v>
      </c>
      <c r="L576" s="15">
        <f ca="1"/>
        <v>45902</v>
      </c>
    </row>
    <row r="577" spans="1:12">
      <c r="A577" s="12" t="str">
        <f ca="1">IFERROR(__xludf.DUMMYFUNCTION("""COMPUTED_VALUE"""),"27-09-2025")</f>
        <v>27-09-2025</v>
      </c>
      <c r="B577" s="13" t="str">
        <f ca="1">IFERROR(__xludf.DUMMYFUNCTION("""COMPUTED_VALUE"""),"Surabaya")</f>
        <v>Surabaya</v>
      </c>
      <c r="C577" s="13" t="str">
        <f ca="1">IFERROR(__xludf.DUMMYFUNCTION("""COMPUTED_VALUE"""),"P05")</f>
        <v>P05</v>
      </c>
      <c r="D577" s="13">
        <f ca="1">IFERROR(__xludf.DUMMYFUNCTION("""COMPUTED_VALUE"""),1)</f>
        <v>1</v>
      </c>
      <c r="E577" s="14">
        <f ca="1">IFERROR(__xludf.DUMMYFUNCTION("""COMPUTED_VALUE"""),20000)</f>
        <v>20000</v>
      </c>
      <c r="F577" s="14">
        <f ca="1">IFERROR(__xludf.DUMMYFUNCTION("""COMPUTED_VALUE"""),20000)</f>
        <v>20000</v>
      </c>
      <c r="G577" s="13" t="str">
        <f ca="1"/>
        <v>Mocha</v>
      </c>
      <c r="H577" s="13" t="str">
        <f ca="1"/>
        <v>Chocolate</v>
      </c>
      <c r="I577" s="13">
        <f ca="1">IFERROR(__xludf.DUMMYFUNCTION("""COMPUTED_VALUE"""),27)</f>
        <v>27</v>
      </c>
      <c r="J577" s="13">
        <f ca="1">IFERROR(__xludf.DUMMYFUNCTION("""COMPUTED_VALUE"""),9)</f>
        <v>9</v>
      </c>
      <c r="K577" s="13">
        <f ca="1">IFERROR(__xludf.DUMMYFUNCTION("""COMPUTED_VALUE"""),2025)</f>
        <v>2025</v>
      </c>
      <c r="L577" s="15">
        <f ca="1"/>
        <v>45927</v>
      </c>
    </row>
    <row r="578" spans="1:12">
      <c r="A578" s="12" t="str">
        <f ca="1">IFERROR(__xludf.DUMMYFUNCTION("""COMPUTED_VALUE"""),"08-09-2025")</f>
        <v>08-09-2025</v>
      </c>
      <c r="B578" s="13" t="str">
        <f ca="1">IFERROR(__xludf.DUMMYFUNCTION("""COMPUTED_VALUE"""),"Surabaya")</f>
        <v>Surabaya</v>
      </c>
      <c r="C578" s="13" t="str">
        <f ca="1">IFERROR(__xludf.DUMMYFUNCTION("""COMPUTED_VALUE"""),"P01")</f>
        <v>P01</v>
      </c>
      <c r="D578" s="13">
        <f ca="1">IFERROR(__xludf.DUMMYFUNCTION("""COMPUTED_VALUE"""),2)</f>
        <v>2</v>
      </c>
      <c r="E578" s="14">
        <f ca="1">IFERROR(__xludf.DUMMYFUNCTION("""COMPUTED_VALUE"""),25000)</f>
        <v>25000</v>
      </c>
      <c r="F578" s="14">
        <f ca="1">IFERROR(__xludf.DUMMYFUNCTION("""COMPUTED_VALUE"""),50000)</f>
        <v>50000</v>
      </c>
      <c r="G578" s="13" t="str">
        <f ca="1"/>
        <v>Cappuccino</v>
      </c>
      <c r="H578" s="13" t="str">
        <f ca="1"/>
        <v>Coffee</v>
      </c>
      <c r="I578" s="13">
        <f ca="1">IFERROR(__xludf.DUMMYFUNCTION("""COMPUTED_VALUE"""),8)</f>
        <v>8</v>
      </c>
      <c r="J578" s="13">
        <f ca="1">IFERROR(__xludf.DUMMYFUNCTION("""COMPUTED_VALUE"""),9)</f>
        <v>9</v>
      </c>
      <c r="K578" s="13">
        <f ca="1">IFERROR(__xludf.DUMMYFUNCTION("""COMPUTED_VALUE"""),2025)</f>
        <v>2025</v>
      </c>
      <c r="L578" s="15">
        <f ca="1"/>
        <v>45908</v>
      </c>
    </row>
    <row r="579" spans="1:12">
      <c r="A579" s="12" t="str">
        <f ca="1">IFERROR(__xludf.DUMMYFUNCTION("""COMPUTED_VALUE"""),"08-09-2025")</f>
        <v>08-09-2025</v>
      </c>
      <c r="B579" s="13" t="str">
        <f ca="1">IFERROR(__xludf.DUMMYFUNCTION("""COMPUTED_VALUE"""),"Surabaya")</f>
        <v>Surabaya</v>
      </c>
      <c r="C579" s="13" t="str">
        <f ca="1">IFERROR(__xludf.DUMMYFUNCTION("""COMPUTED_VALUE"""),"P02")</f>
        <v>P02</v>
      </c>
      <c r="D579" s="13">
        <f ca="1">IFERROR(__xludf.DUMMYFUNCTION("""COMPUTED_VALUE"""),4)</f>
        <v>4</v>
      </c>
      <c r="E579" s="14">
        <f ca="1">IFERROR(__xludf.DUMMYFUNCTION("""COMPUTED_VALUE"""),35000)</f>
        <v>35000</v>
      </c>
      <c r="F579" s="14">
        <f ca="1">IFERROR(__xludf.DUMMYFUNCTION("""COMPUTED_VALUE"""),140000)</f>
        <v>140000</v>
      </c>
      <c r="G579" s="13" t="str">
        <f ca="1"/>
        <v>Latte</v>
      </c>
      <c r="H579" s="13" t="str">
        <f ca="1"/>
        <v>Coffee</v>
      </c>
      <c r="I579" s="13">
        <f ca="1">IFERROR(__xludf.DUMMYFUNCTION("""COMPUTED_VALUE"""),8)</f>
        <v>8</v>
      </c>
      <c r="J579" s="13">
        <f ca="1">IFERROR(__xludf.DUMMYFUNCTION("""COMPUTED_VALUE"""),9)</f>
        <v>9</v>
      </c>
      <c r="K579" s="13">
        <f ca="1">IFERROR(__xludf.DUMMYFUNCTION("""COMPUTED_VALUE"""),2025)</f>
        <v>2025</v>
      </c>
      <c r="L579" s="15">
        <f ca="1"/>
        <v>45908</v>
      </c>
    </row>
    <row r="580" spans="1:12">
      <c r="A580" s="12" t="str">
        <f ca="1">IFERROR(__xludf.DUMMYFUNCTION("""COMPUTED_VALUE"""),"25-09-2025")</f>
        <v>25-09-2025</v>
      </c>
      <c r="B580" s="13" t="str">
        <f ca="1">IFERROR(__xludf.DUMMYFUNCTION("""COMPUTED_VALUE"""),"Surabaya")</f>
        <v>Surabaya</v>
      </c>
      <c r="C580" s="13" t="str">
        <f ca="1">IFERROR(__xludf.DUMMYFUNCTION("""COMPUTED_VALUE"""),"P03")</f>
        <v>P03</v>
      </c>
      <c r="D580" s="13">
        <f ca="1">IFERROR(__xludf.DUMMYFUNCTION("""COMPUTED_VALUE"""),3)</f>
        <v>3</v>
      </c>
      <c r="E580" s="14">
        <f ca="1">IFERROR(__xludf.DUMMYFUNCTION("""COMPUTED_VALUE"""),28000)</f>
        <v>28000</v>
      </c>
      <c r="F580" s="14">
        <f ca="1">IFERROR(__xludf.DUMMYFUNCTION("""COMPUTED_VALUE"""),84000)</f>
        <v>84000</v>
      </c>
      <c r="G580" s="13" t="str">
        <f ca="1"/>
        <v>Espresso</v>
      </c>
      <c r="H580" s="13" t="str">
        <f ca="1"/>
        <v>Coffee</v>
      </c>
      <c r="I580" s="13">
        <f ca="1">IFERROR(__xludf.DUMMYFUNCTION("""COMPUTED_VALUE"""),25)</f>
        <v>25</v>
      </c>
      <c r="J580" s="13">
        <f ca="1">IFERROR(__xludf.DUMMYFUNCTION("""COMPUTED_VALUE"""),9)</f>
        <v>9</v>
      </c>
      <c r="K580" s="13">
        <f ca="1">IFERROR(__xludf.DUMMYFUNCTION("""COMPUTED_VALUE"""),2025)</f>
        <v>2025</v>
      </c>
      <c r="L580" s="15">
        <f ca="1"/>
        <v>45925</v>
      </c>
    </row>
    <row r="581" spans="1:12">
      <c r="A581" s="12" t="str">
        <f ca="1">IFERROR(__xludf.DUMMYFUNCTION("""COMPUTED_VALUE"""),"10-09-2025")</f>
        <v>10-09-2025</v>
      </c>
      <c r="B581" s="13" t="str">
        <f ca="1">IFERROR(__xludf.DUMMYFUNCTION("""COMPUTED_VALUE"""),"Surabaya")</f>
        <v>Surabaya</v>
      </c>
      <c r="C581" s="13" t="str">
        <f ca="1">IFERROR(__xludf.DUMMYFUNCTION("""COMPUTED_VALUE"""),"P04")</f>
        <v>P04</v>
      </c>
      <c r="D581" s="13">
        <f ca="1">IFERROR(__xludf.DUMMYFUNCTION("""COMPUTED_VALUE"""),3)</f>
        <v>3</v>
      </c>
      <c r="E581" s="14">
        <f ca="1">IFERROR(__xludf.DUMMYFUNCTION("""COMPUTED_VALUE"""),30000)</f>
        <v>30000</v>
      </c>
      <c r="F581" s="14">
        <f ca="1">IFERROR(__xludf.DUMMYFUNCTION("""COMPUTED_VALUE"""),90000)</f>
        <v>90000</v>
      </c>
      <c r="G581" s="13" t="str">
        <f ca="1"/>
        <v>Americano</v>
      </c>
      <c r="H581" s="13" t="str">
        <f ca="1"/>
        <v>Coffee</v>
      </c>
      <c r="I581" s="13">
        <f ca="1">IFERROR(__xludf.DUMMYFUNCTION("""COMPUTED_VALUE"""),10)</f>
        <v>10</v>
      </c>
      <c r="J581" s="13">
        <f ca="1">IFERROR(__xludf.DUMMYFUNCTION("""COMPUTED_VALUE"""),9)</f>
        <v>9</v>
      </c>
      <c r="K581" s="13">
        <f ca="1">IFERROR(__xludf.DUMMYFUNCTION("""COMPUTED_VALUE"""),2025)</f>
        <v>2025</v>
      </c>
      <c r="L581" s="15">
        <f ca="1"/>
        <v>45910</v>
      </c>
    </row>
    <row r="582" spans="1:12">
      <c r="A582" s="12" t="str">
        <f ca="1">IFERROR(__xludf.DUMMYFUNCTION("""COMPUTED_VALUE"""),"21-09-2025")</f>
        <v>21-09-2025</v>
      </c>
      <c r="B582" s="13" t="str">
        <f ca="1">IFERROR(__xludf.DUMMYFUNCTION("""COMPUTED_VALUE"""),"Surabaya")</f>
        <v>Surabaya</v>
      </c>
      <c r="C582" s="13" t="str">
        <f ca="1">IFERROR(__xludf.DUMMYFUNCTION("""COMPUTED_VALUE"""),"P05")</f>
        <v>P05</v>
      </c>
      <c r="D582" s="13">
        <f ca="1">IFERROR(__xludf.DUMMYFUNCTION("""COMPUTED_VALUE"""),1)</f>
        <v>1</v>
      </c>
      <c r="E582" s="14">
        <f ca="1">IFERROR(__xludf.DUMMYFUNCTION("""COMPUTED_VALUE"""),25000)</f>
        <v>25000</v>
      </c>
      <c r="F582" s="14">
        <f ca="1">IFERROR(__xludf.DUMMYFUNCTION("""COMPUTED_VALUE"""),25000)</f>
        <v>25000</v>
      </c>
      <c r="G582" s="13" t="str">
        <f ca="1"/>
        <v>Mocha</v>
      </c>
      <c r="H582" s="13" t="str">
        <f ca="1"/>
        <v>Chocolate</v>
      </c>
      <c r="I582" s="13">
        <f ca="1">IFERROR(__xludf.DUMMYFUNCTION("""COMPUTED_VALUE"""),21)</f>
        <v>21</v>
      </c>
      <c r="J582" s="13">
        <f ca="1">IFERROR(__xludf.DUMMYFUNCTION("""COMPUTED_VALUE"""),9)</f>
        <v>9</v>
      </c>
      <c r="K582" s="13">
        <f ca="1">IFERROR(__xludf.DUMMYFUNCTION("""COMPUTED_VALUE"""),2025)</f>
        <v>2025</v>
      </c>
      <c r="L582" s="15">
        <f ca="1"/>
        <v>45921</v>
      </c>
    </row>
    <row r="583" spans="1:12">
      <c r="A583" s="12" t="str">
        <f ca="1">IFERROR(__xludf.DUMMYFUNCTION("""COMPUTED_VALUE"""),"05-09-2025")</f>
        <v>05-09-2025</v>
      </c>
      <c r="B583" s="13" t="str">
        <f ca="1">IFERROR(__xludf.DUMMYFUNCTION("""COMPUTED_VALUE"""),"Surabaya")</f>
        <v>Surabaya</v>
      </c>
      <c r="C583" s="13" t="str">
        <f ca="1">IFERROR(__xludf.DUMMYFUNCTION("""COMPUTED_VALUE"""),"P01")</f>
        <v>P01</v>
      </c>
      <c r="D583" s="13">
        <f ca="1">IFERROR(__xludf.DUMMYFUNCTION("""COMPUTED_VALUE"""),1)</f>
        <v>1</v>
      </c>
      <c r="E583" s="14">
        <f ca="1">IFERROR(__xludf.DUMMYFUNCTION("""COMPUTED_VALUE"""),35000)</f>
        <v>35000</v>
      </c>
      <c r="F583" s="14">
        <f ca="1">IFERROR(__xludf.DUMMYFUNCTION("""COMPUTED_VALUE"""),35000)</f>
        <v>35000</v>
      </c>
      <c r="G583" s="13" t="str">
        <f ca="1"/>
        <v>Cappuccino</v>
      </c>
      <c r="H583" s="13" t="str">
        <f ca="1"/>
        <v>Coffee</v>
      </c>
      <c r="I583" s="13">
        <f ca="1">IFERROR(__xludf.DUMMYFUNCTION("""COMPUTED_VALUE"""),5)</f>
        <v>5</v>
      </c>
      <c r="J583" s="13">
        <f ca="1">IFERROR(__xludf.DUMMYFUNCTION("""COMPUTED_VALUE"""),9)</f>
        <v>9</v>
      </c>
      <c r="K583" s="13">
        <f ca="1">IFERROR(__xludf.DUMMYFUNCTION("""COMPUTED_VALUE"""),2025)</f>
        <v>2025</v>
      </c>
      <c r="L583" s="15">
        <f ca="1"/>
        <v>45905</v>
      </c>
    </row>
    <row r="584" spans="1:12">
      <c r="A584" s="12" t="str">
        <f ca="1">IFERROR(__xludf.DUMMYFUNCTION("""COMPUTED_VALUE"""),"01-09-2025")</f>
        <v>01-09-2025</v>
      </c>
      <c r="B584" s="13" t="str">
        <f ca="1">IFERROR(__xludf.DUMMYFUNCTION("""COMPUTED_VALUE"""),"Surabaya")</f>
        <v>Surabaya</v>
      </c>
      <c r="C584" s="13" t="str">
        <f ca="1">IFERROR(__xludf.DUMMYFUNCTION("""COMPUTED_VALUE"""),"P02")</f>
        <v>P02</v>
      </c>
      <c r="D584" s="13">
        <f ca="1">IFERROR(__xludf.DUMMYFUNCTION("""COMPUTED_VALUE"""),4)</f>
        <v>4</v>
      </c>
      <c r="E584" s="14">
        <f ca="1">IFERROR(__xludf.DUMMYFUNCTION("""COMPUTED_VALUE"""),20000)</f>
        <v>20000</v>
      </c>
      <c r="F584" s="14">
        <f ca="1">IFERROR(__xludf.DUMMYFUNCTION("""COMPUTED_VALUE"""),80000)</f>
        <v>80000</v>
      </c>
      <c r="G584" s="13" t="str">
        <f ca="1"/>
        <v>Latte</v>
      </c>
      <c r="H584" s="13" t="str">
        <f ca="1"/>
        <v>Coffee</v>
      </c>
      <c r="I584" s="13">
        <f ca="1">IFERROR(__xludf.DUMMYFUNCTION("""COMPUTED_VALUE"""),1)</f>
        <v>1</v>
      </c>
      <c r="J584" s="13">
        <f ca="1">IFERROR(__xludf.DUMMYFUNCTION("""COMPUTED_VALUE"""),9)</f>
        <v>9</v>
      </c>
      <c r="K584" s="13">
        <f ca="1">IFERROR(__xludf.DUMMYFUNCTION("""COMPUTED_VALUE"""),2025)</f>
        <v>2025</v>
      </c>
      <c r="L584" s="15">
        <f ca="1"/>
        <v>45901</v>
      </c>
    </row>
    <row r="585" spans="1:12">
      <c r="A585" s="12" t="str">
        <f ca="1">IFERROR(__xludf.DUMMYFUNCTION("""COMPUTED_VALUE"""),"30-09-2025")</f>
        <v>30-09-2025</v>
      </c>
      <c r="B585" s="13" t="str">
        <f ca="1">IFERROR(__xludf.DUMMYFUNCTION("""COMPUTED_VALUE"""),"Surabaya")</f>
        <v>Surabaya</v>
      </c>
      <c r="C585" s="13" t="str">
        <f ca="1">IFERROR(__xludf.DUMMYFUNCTION("""COMPUTED_VALUE"""),"P03")</f>
        <v>P03</v>
      </c>
      <c r="D585" s="13">
        <f ca="1">IFERROR(__xludf.DUMMYFUNCTION("""COMPUTED_VALUE"""),5)</f>
        <v>5</v>
      </c>
      <c r="E585" s="14">
        <f ca="1">IFERROR(__xludf.DUMMYFUNCTION("""COMPUTED_VALUE"""),20000)</f>
        <v>20000</v>
      </c>
      <c r="F585" s="14">
        <f ca="1">IFERROR(__xludf.DUMMYFUNCTION("""COMPUTED_VALUE"""),100000)</f>
        <v>100000</v>
      </c>
      <c r="G585" s="13" t="str">
        <f ca="1"/>
        <v>Espresso</v>
      </c>
      <c r="H585" s="13" t="str">
        <f ca="1"/>
        <v>Coffee</v>
      </c>
      <c r="I585" s="13">
        <f ca="1">IFERROR(__xludf.DUMMYFUNCTION("""COMPUTED_VALUE"""),30)</f>
        <v>30</v>
      </c>
      <c r="J585" s="13">
        <f ca="1">IFERROR(__xludf.DUMMYFUNCTION("""COMPUTED_VALUE"""),9)</f>
        <v>9</v>
      </c>
      <c r="K585" s="13">
        <f ca="1">IFERROR(__xludf.DUMMYFUNCTION("""COMPUTED_VALUE"""),2025)</f>
        <v>2025</v>
      </c>
      <c r="L585" s="15">
        <f ca="1"/>
        <v>45930</v>
      </c>
    </row>
    <row r="586" spans="1:12">
      <c r="A586" s="12" t="str">
        <f ca="1">IFERROR(__xludf.DUMMYFUNCTION("""COMPUTED_VALUE"""),"03-09-2025")</f>
        <v>03-09-2025</v>
      </c>
      <c r="B586" s="13" t="str">
        <f ca="1">IFERROR(__xludf.DUMMYFUNCTION("""COMPUTED_VALUE"""),"Surabaya")</f>
        <v>Surabaya</v>
      </c>
      <c r="C586" s="13" t="str">
        <f ca="1">IFERROR(__xludf.DUMMYFUNCTION("""COMPUTED_VALUE"""),"P04")</f>
        <v>P04</v>
      </c>
      <c r="D586" s="13">
        <f ca="1">IFERROR(__xludf.DUMMYFUNCTION("""COMPUTED_VALUE"""),3)</f>
        <v>3</v>
      </c>
      <c r="E586" s="14">
        <f ca="1">IFERROR(__xludf.DUMMYFUNCTION("""COMPUTED_VALUE"""),20000)</f>
        <v>20000</v>
      </c>
      <c r="F586" s="14">
        <f ca="1">IFERROR(__xludf.DUMMYFUNCTION("""COMPUTED_VALUE"""),60000)</f>
        <v>60000</v>
      </c>
      <c r="G586" s="13" t="str">
        <f ca="1"/>
        <v>Americano</v>
      </c>
      <c r="H586" s="13" t="str">
        <f ca="1"/>
        <v>Coffee</v>
      </c>
      <c r="I586" s="13">
        <f ca="1">IFERROR(__xludf.DUMMYFUNCTION("""COMPUTED_VALUE"""),3)</f>
        <v>3</v>
      </c>
      <c r="J586" s="13">
        <f ca="1">IFERROR(__xludf.DUMMYFUNCTION("""COMPUTED_VALUE"""),9)</f>
        <v>9</v>
      </c>
      <c r="K586" s="13">
        <f ca="1">IFERROR(__xludf.DUMMYFUNCTION("""COMPUTED_VALUE"""),2025)</f>
        <v>2025</v>
      </c>
      <c r="L586" s="15">
        <f ca="1"/>
        <v>45903</v>
      </c>
    </row>
    <row r="587" spans="1:12">
      <c r="A587" s="12" t="str">
        <f ca="1">IFERROR(__xludf.DUMMYFUNCTION("""COMPUTED_VALUE"""),"06-09-2025")</f>
        <v>06-09-2025</v>
      </c>
      <c r="B587" s="13" t="str">
        <f ca="1">IFERROR(__xludf.DUMMYFUNCTION("""COMPUTED_VALUE"""),"Surabaya")</f>
        <v>Surabaya</v>
      </c>
      <c r="C587" s="13" t="str">
        <f ca="1">IFERROR(__xludf.DUMMYFUNCTION("""COMPUTED_VALUE"""),"P05")</f>
        <v>P05</v>
      </c>
      <c r="D587" s="13">
        <f ca="1">IFERROR(__xludf.DUMMYFUNCTION("""COMPUTED_VALUE"""),1)</f>
        <v>1</v>
      </c>
      <c r="E587" s="14">
        <f ca="1">IFERROR(__xludf.DUMMYFUNCTION("""COMPUTED_VALUE"""),35000)</f>
        <v>35000</v>
      </c>
      <c r="F587" s="14">
        <f ca="1">IFERROR(__xludf.DUMMYFUNCTION("""COMPUTED_VALUE"""),35000)</f>
        <v>35000</v>
      </c>
      <c r="G587" s="13" t="str">
        <f ca="1"/>
        <v>Mocha</v>
      </c>
      <c r="H587" s="13" t="str">
        <f ca="1"/>
        <v>Chocolate</v>
      </c>
      <c r="I587" s="13">
        <f ca="1">IFERROR(__xludf.DUMMYFUNCTION("""COMPUTED_VALUE"""),6)</f>
        <v>6</v>
      </c>
      <c r="J587" s="13">
        <f ca="1">IFERROR(__xludf.DUMMYFUNCTION("""COMPUTED_VALUE"""),9)</f>
        <v>9</v>
      </c>
      <c r="K587" s="13">
        <f ca="1">IFERROR(__xludf.DUMMYFUNCTION("""COMPUTED_VALUE"""),2025)</f>
        <v>2025</v>
      </c>
      <c r="L587" s="15">
        <f ca="1"/>
        <v>45906</v>
      </c>
    </row>
    <row r="588" spans="1:12">
      <c r="A588" s="12" t="str">
        <f ca="1">IFERROR(__xludf.DUMMYFUNCTION("""COMPUTED_VALUE"""),"13-09-2025")</f>
        <v>13-09-2025</v>
      </c>
      <c r="B588" s="13" t="str">
        <f ca="1">IFERROR(__xludf.DUMMYFUNCTION("""COMPUTED_VALUE"""),"Surabaya")</f>
        <v>Surabaya</v>
      </c>
      <c r="C588" s="13" t="str">
        <f ca="1">IFERROR(__xludf.DUMMYFUNCTION("""COMPUTED_VALUE"""),"P01")</f>
        <v>P01</v>
      </c>
      <c r="D588" s="13">
        <f ca="1">IFERROR(__xludf.DUMMYFUNCTION("""COMPUTED_VALUE"""),1)</f>
        <v>1</v>
      </c>
      <c r="E588" s="14">
        <f ca="1">IFERROR(__xludf.DUMMYFUNCTION("""COMPUTED_VALUE"""),28000)</f>
        <v>28000</v>
      </c>
      <c r="F588" s="14">
        <f ca="1">IFERROR(__xludf.DUMMYFUNCTION("""COMPUTED_VALUE"""),28000)</f>
        <v>28000</v>
      </c>
      <c r="G588" s="13" t="str">
        <f ca="1"/>
        <v>Cappuccino</v>
      </c>
      <c r="H588" s="13" t="str">
        <f ca="1"/>
        <v>Coffee</v>
      </c>
      <c r="I588" s="13">
        <f ca="1">IFERROR(__xludf.DUMMYFUNCTION("""COMPUTED_VALUE"""),13)</f>
        <v>13</v>
      </c>
      <c r="J588" s="13">
        <f ca="1">IFERROR(__xludf.DUMMYFUNCTION("""COMPUTED_VALUE"""),9)</f>
        <v>9</v>
      </c>
      <c r="K588" s="13">
        <f ca="1">IFERROR(__xludf.DUMMYFUNCTION("""COMPUTED_VALUE"""),2025)</f>
        <v>2025</v>
      </c>
      <c r="L588" s="15">
        <f ca="1"/>
        <v>45913</v>
      </c>
    </row>
    <row r="589" spans="1:12">
      <c r="A589" s="12" t="str">
        <f ca="1">IFERROR(__xludf.DUMMYFUNCTION("""COMPUTED_VALUE"""),"18-09-2025")</f>
        <v>18-09-2025</v>
      </c>
      <c r="B589" s="13" t="str">
        <f ca="1">IFERROR(__xludf.DUMMYFUNCTION("""COMPUTED_VALUE"""),"Surabaya")</f>
        <v>Surabaya</v>
      </c>
      <c r="C589" s="13" t="str">
        <f ca="1">IFERROR(__xludf.DUMMYFUNCTION("""COMPUTED_VALUE"""),"P02")</f>
        <v>P02</v>
      </c>
      <c r="D589" s="13">
        <f ca="1">IFERROR(__xludf.DUMMYFUNCTION("""COMPUTED_VALUE"""),5)</f>
        <v>5</v>
      </c>
      <c r="E589" s="14">
        <f ca="1">IFERROR(__xludf.DUMMYFUNCTION("""COMPUTED_VALUE"""),30000)</f>
        <v>30000</v>
      </c>
      <c r="F589" s="14">
        <f ca="1">IFERROR(__xludf.DUMMYFUNCTION("""COMPUTED_VALUE"""),150000)</f>
        <v>150000</v>
      </c>
      <c r="G589" s="13" t="str">
        <f ca="1"/>
        <v>Latte</v>
      </c>
      <c r="H589" s="13" t="str">
        <f ca="1"/>
        <v>Coffee</v>
      </c>
      <c r="I589" s="13">
        <f ca="1">IFERROR(__xludf.DUMMYFUNCTION("""COMPUTED_VALUE"""),18)</f>
        <v>18</v>
      </c>
      <c r="J589" s="13">
        <f ca="1">IFERROR(__xludf.DUMMYFUNCTION("""COMPUTED_VALUE"""),9)</f>
        <v>9</v>
      </c>
      <c r="K589" s="13">
        <f ca="1">IFERROR(__xludf.DUMMYFUNCTION("""COMPUTED_VALUE"""),2025)</f>
        <v>2025</v>
      </c>
      <c r="L589" s="15">
        <f ca="1"/>
        <v>45918</v>
      </c>
    </row>
    <row r="590" spans="1:12">
      <c r="A590" s="12" t="str">
        <f ca="1">IFERROR(__xludf.DUMMYFUNCTION("""COMPUTED_VALUE"""),"26-09-2025")</f>
        <v>26-09-2025</v>
      </c>
      <c r="B590" s="13" t="str">
        <f ca="1">IFERROR(__xludf.DUMMYFUNCTION("""COMPUTED_VALUE"""),"Surabaya")</f>
        <v>Surabaya</v>
      </c>
      <c r="C590" s="13" t="str">
        <f ca="1">IFERROR(__xludf.DUMMYFUNCTION("""COMPUTED_VALUE"""),"P03")</f>
        <v>P03</v>
      </c>
      <c r="D590" s="13">
        <f ca="1">IFERROR(__xludf.DUMMYFUNCTION("""COMPUTED_VALUE"""),2)</f>
        <v>2</v>
      </c>
      <c r="E590" s="14">
        <f ca="1">IFERROR(__xludf.DUMMYFUNCTION("""COMPUTED_VALUE"""),30000)</f>
        <v>30000</v>
      </c>
      <c r="F590" s="14">
        <f ca="1">IFERROR(__xludf.DUMMYFUNCTION("""COMPUTED_VALUE"""),60000)</f>
        <v>60000</v>
      </c>
      <c r="G590" s="13" t="str">
        <f ca="1"/>
        <v>Espresso</v>
      </c>
      <c r="H590" s="13" t="str">
        <f ca="1"/>
        <v>Coffee</v>
      </c>
      <c r="I590" s="13">
        <f ca="1">IFERROR(__xludf.DUMMYFUNCTION("""COMPUTED_VALUE"""),26)</f>
        <v>26</v>
      </c>
      <c r="J590" s="13">
        <f ca="1">IFERROR(__xludf.DUMMYFUNCTION("""COMPUTED_VALUE"""),9)</f>
        <v>9</v>
      </c>
      <c r="K590" s="13">
        <f ca="1">IFERROR(__xludf.DUMMYFUNCTION("""COMPUTED_VALUE"""),2025)</f>
        <v>2025</v>
      </c>
      <c r="L590" s="15">
        <f ca="1"/>
        <v>45926</v>
      </c>
    </row>
    <row r="591" spans="1:12">
      <c r="A591" s="12" t="str">
        <f ca="1">IFERROR(__xludf.DUMMYFUNCTION("""COMPUTED_VALUE"""),"26-09-2025")</f>
        <v>26-09-2025</v>
      </c>
      <c r="B591" s="13" t="str">
        <f ca="1">IFERROR(__xludf.DUMMYFUNCTION("""COMPUTED_VALUE"""),"Surabaya")</f>
        <v>Surabaya</v>
      </c>
      <c r="C591" s="13" t="str">
        <f ca="1">IFERROR(__xludf.DUMMYFUNCTION("""COMPUTED_VALUE"""),"P04")</f>
        <v>P04</v>
      </c>
      <c r="D591" s="13">
        <f ca="1">IFERROR(__xludf.DUMMYFUNCTION("""COMPUTED_VALUE"""),4)</f>
        <v>4</v>
      </c>
      <c r="E591" s="14">
        <f ca="1">IFERROR(__xludf.DUMMYFUNCTION("""COMPUTED_VALUE"""),20000)</f>
        <v>20000</v>
      </c>
      <c r="F591" s="14">
        <f ca="1">IFERROR(__xludf.DUMMYFUNCTION("""COMPUTED_VALUE"""),80000)</f>
        <v>80000</v>
      </c>
      <c r="G591" s="13" t="str">
        <f ca="1"/>
        <v>Americano</v>
      </c>
      <c r="H591" s="13" t="str">
        <f ca="1"/>
        <v>Coffee</v>
      </c>
      <c r="I591" s="13">
        <f ca="1">IFERROR(__xludf.DUMMYFUNCTION("""COMPUTED_VALUE"""),26)</f>
        <v>26</v>
      </c>
      <c r="J591" s="13">
        <f ca="1">IFERROR(__xludf.DUMMYFUNCTION("""COMPUTED_VALUE"""),9)</f>
        <v>9</v>
      </c>
      <c r="K591" s="13">
        <f ca="1">IFERROR(__xludf.DUMMYFUNCTION("""COMPUTED_VALUE"""),2025)</f>
        <v>2025</v>
      </c>
      <c r="L591" s="15">
        <f ca="1"/>
        <v>45926</v>
      </c>
    </row>
    <row r="592" spans="1:12">
      <c r="A592" s="12" t="str">
        <f ca="1">IFERROR(__xludf.DUMMYFUNCTION("""COMPUTED_VALUE"""),"10-09-2025")</f>
        <v>10-09-2025</v>
      </c>
      <c r="B592" s="13" t="str">
        <f ca="1">IFERROR(__xludf.DUMMYFUNCTION("""COMPUTED_VALUE"""),"Surabaya")</f>
        <v>Surabaya</v>
      </c>
      <c r="C592" s="13" t="str">
        <f ca="1">IFERROR(__xludf.DUMMYFUNCTION("""COMPUTED_VALUE"""),"P05")</f>
        <v>P05</v>
      </c>
      <c r="D592" s="13">
        <f ca="1">IFERROR(__xludf.DUMMYFUNCTION("""COMPUTED_VALUE"""),1)</f>
        <v>1</v>
      </c>
      <c r="E592" s="14">
        <f ca="1">IFERROR(__xludf.DUMMYFUNCTION("""COMPUTED_VALUE"""),20000)</f>
        <v>20000</v>
      </c>
      <c r="F592" s="14">
        <f ca="1">IFERROR(__xludf.DUMMYFUNCTION("""COMPUTED_VALUE"""),20000)</f>
        <v>20000</v>
      </c>
      <c r="G592" s="13" t="str">
        <f ca="1"/>
        <v>Mocha</v>
      </c>
      <c r="H592" s="13" t="str">
        <f ca="1"/>
        <v>Chocolate</v>
      </c>
      <c r="I592" s="13">
        <f ca="1">IFERROR(__xludf.DUMMYFUNCTION("""COMPUTED_VALUE"""),10)</f>
        <v>10</v>
      </c>
      <c r="J592" s="13">
        <f ca="1">IFERROR(__xludf.DUMMYFUNCTION("""COMPUTED_VALUE"""),9)</f>
        <v>9</v>
      </c>
      <c r="K592" s="13">
        <f ca="1">IFERROR(__xludf.DUMMYFUNCTION("""COMPUTED_VALUE"""),2025)</f>
        <v>2025</v>
      </c>
      <c r="L592" s="15">
        <f ca="1"/>
        <v>45910</v>
      </c>
    </row>
    <row r="593" spans="1:12">
      <c r="A593" s="12" t="str">
        <f ca="1">IFERROR(__xludf.DUMMYFUNCTION("""COMPUTED_VALUE"""),"29-09-2025")</f>
        <v>29-09-2025</v>
      </c>
      <c r="B593" s="13" t="str">
        <f ca="1">IFERROR(__xludf.DUMMYFUNCTION("""COMPUTED_VALUE"""),"Surabaya")</f>
        <v>Surabaya</v>
      </c>
      <c r="C593" s="13" t="str">
        <f ca="1">IFERROR(__xludf.DUMMYFUNCTION("""COMPUTED_VALUE"""),"P01")</f>
        <v>P01</v>
      </c>
      <c r="D593" s="13">
        <f ca="1">IFERROR(__xludf.DUMMYFUNCTION("""COMPUTED_VALUE"""),4)</f>
        <v>4</v>
      </c>
      <c r="E593" s="14">
        <f ca="1">IFERROR(__xludf.DUMMYFUNCTION("""COMPUTED_VALUE"""),25000)</f>
        <v>25000</v>
      </c>
      <c r="F593" s="14">
        <f ca="1">IFERROR(__xludf.DUMMYFUNCTION("""COMPUTED_VALUE"""),100000)</f>
        <v>100000</v>
      </c>
      <c r="G593" s="13" t="str">
        <f ca="1"/>
        <v>Cappuccino</v>
      </c>
      <c r="H593" s="13" t="str">
        <f ca="1"/>
        <v>Coffee</v>
      </c>
      <c r="I593" s="13">
        <f ca="1">IFERROR(__xludf.DUMMYFUNCTION("""COMPUTED_VALUE"""),29)</f>
        <v>29</v>
      </c>
      <c r="J593" s="13">
        <f ca="1">IFERROR(__xludf.DUMMYFUNCTION("""COMPUTED_VALUE"""),9)</f>
        <v>9</v>
      </c>
      <c r="K593" s="13">
        <f ca="1">IFERROR(__xludf.DUMMYFUNCTION("""COMPUTED_VALUE"""),2025)</f>
        <v>2025</v>
      </c>
      <c r="L593" s="15">
        <f ca="1"/>
        <v>45929</v>
      </c>
    </row>
    <row r="594" spans="1:12">
      <c r="A594" s="12" t="str">
        <f ca="1">IFERROR(__xludf.DUMMYFUNCTION("""COMPUTED_VALUE"""),"17-09-2025")</f>
        <v>17-09-2025</v>
      </c>
      <c r="B594" s="13" t="str">
        <f ca="1">IFERROR(__xludf.DUMMYFUNCTION("""COMPUTED_VALUE"""),"Surabaya")</f>
        <v>Surabaya</v>
      </c>
      <c r="C594" s="13" t="str">
        <f ca="1">IFERROR(__xludf.DUMMYFUNCTION("""COMPUTED_VALUE"""),"P02")</f>
        <v>P02</v>
      </c>
      <c r="D594" s="13">
        <f ca="1">IFERROR(__xludf.DUMMYFUNCTION("""COMPUTED_VALUE"""),3)</f>
        <v>3</v>
      </c>
      <c r="E594" s="14">
        <f ca="1">IFERROR(__xludf.DUMMYFUNCTION("""COMPUTED_VALUE"""),25000)</f>
        <v>25000</v>
      </c>
      <c r="F594" s="14">
        <f ca="1">IFERROR(__xludf.DUMMYFUNCTION("""COMPUTED_VALUE"""),75000)</f>
        <v>75000</v>
      </c>
      <c r="G594" s="13" t="str">
        <f ca="1"/>
        <v>Latte</v>
      </c>
      <c r="H594" s="13" t="str">
        <f ca="1"/>
        <v>Coffee</v>
      </c>
      <c r="I594" s="13">
        <f ca="1">IFERROR(__xludf.DUMMYFUNCTION("""COMPUTED_VALUE"""),17)</f>
        <v>17</v>
      </c>
      <c r="J594" s="13">
        <f ca="1">IFERROR(__xludf.DUMMYFUNCTION("""COMPUTED_VALUE"""),9)</f>
        <v>9</v>
      </c>
      <c r="K594" s="13">
        <f ca="1">IFERROR(__xludf.DUMMYFUNCTION("""COMPUTED_VALUE"""),2025)</f>
        <v>2025</v>
      </c>
      <c r="L594" s="15">
        <f ca="1"/>
        <v>45917</v>
      </c>
    </row>
    <row r="595" spans="1:12">
      <c r="A595" s="12" t="str">
        <f ca="1">IFERROR(__xludf.DUMMYFUNCTION("""COMPUTED_VALUE"""),"15-09-2025")</f>
        <v>15-09-2025</v>
      </c>
      <c r="B595" s="13" t="str">
        <f ca="1">IFERROR(__xludf.DUMMYFUNCTION("""COMPUTED_VALUE"""),"Surabaya")</f>
        <v>Surabaya</v>
      </c>
      <c r="C595" s="13" t="str">
        <f ca="1">IFERROR(__xludf.DUMMYFUNCTION("""COMPUTED_VALUE"""),"P03")</f>
        <v>P03</v>
      </c>
      <c r="D595" s="13">
        <f ca="1">IFERROR(__xludf.DUMMYFUNCTION("""COMPUTED_VALUE"""),1)</f>
        <v>1</v>
      </c>
      <c r="E595" s="14">
        <f ca="1">IFERROR(__xludf.DUMMYFUNCTION("""COMPUTED_VALUE"""),25000)</f>
        <v>25000</v>
      </c>
      <c r="F595" s="14">
        <f ca="1">IFERROR(__xludf.DUMMYFUNCTION("""COMPUTED_VALUE"""),25000)</f>
        <v>25000</v>
      </c>
      <c r="G595" s="13" t="str">
        <f ca="1"/>
        <v>Espresso</v>
      </c>
      <c r="H595" s="13" t="str">
        <f ca="1"/>
        <v>Coffee</v>
      </c>
      <c r="I595" s="13">
        <f ca="1">IFERROR(__xludf.DUMMYFUNCTION("""COMPUTED_VALUE"""),15)</f>
        <v>15</v>
      </c>
      <c r="J595" s="13">
        <f ca="1">IFERROR(__xludf.DUMMYFUNCTION("""COMPUTED_VALUE"""),9)</f>
        <v>9</v>
      </c>
      <c r="K595" s="13">
        <f ca="1">IFERROR(__xludf.DUMMYFUNCTION("""COMPUTED_VALUE"""),2025)</f>
        <v>2025</v>
      </c>
      <c r="L595" s="15">
        <f ca="1"/>
        <v>45915</v>
      </c>
    </row>
    <row r="596" spans="1:12">
      <c r="A596" s="12" t="str">
        <f ca="1">IFERROR(__xludf.DUMMYFUNCTION("""COMPUTED_VALUE"""),"25-09-2025")</f>
        <v>25-09-2025</v>
      </c>
      <c r="B596" s="13" t="str">
        <f ca="1">IFERROR(__xludf.DUMMYFUNCTION("""COMPUTED_VALUE"""),"Surabaya")</f>
        <v>Surabaya</v>
      </c>
      <c r="C596" s="13" t="str">
        <f ca="1">IFERROR(__xludf.DUMMYFUNCTION("""COMPUTED_VALUE"""),"P04")</f>
        <v>P04</v>
      </c>
      <c r="D596" s="13">
        <f ca="1">IFERROR(__xludf.DUMMYFUNCTION("""COMPUTED_VALUE"""),4)</f>
        <v>4</v>
      </c>
      <c r="E596" s="14">
        <f ca="1">IFERROR(__xludf.DUMMYFUNCTION("""COMPUTED_VALUE"""),28000)</f>
        <v>28000</v>
      </c>
      <c r="F596" s="14">
        <f ca="1">IFERROR(__xludf.DUMMYFUNCTION("""COMPUTED_VALUE"""),112000)</f>
        <v>112000</v>
      </c>
      <c r="G596" s="13" t="str">
        <f ca="1"/>
        <v>Americano</v>
      </c>
      <c r="H596" s="13" t="str">
        <f ca="1"/>
        <v>Coffee</v>
      </c>
      <c r="I596" s="13">
        <f ca="1">IFERROR(__xludf.DUMMYFUNCTION("""COMPUTED_VALUE"""),25)</f>
        <v>25</v>
      </c>
      <c r="J596" s="13">
        <f ca="1">IFERROR(__xludf.DUMMYFUNCTION("""COMPUTED_VALUE"""),9)</f>
        <v>9</v>
      </c>
      <c r="K596" s="13">
        <f ca="1">IFERROR(__xludf.DUMMYFUNCTION("""COMPUTED_VALUE"""),2025)</f>
        <v>2025</v>
      </c>
      <c r="L596" s="15">
        <f ca="1"/>
        <v>45925</v>
      </c>
    </row>
    <row r="597" spans="1:12">
      <c r="A597" s="12" t="str">
        <f ca="1">IFERROR(__xludf.DUMMYFUNCTION("""COMPUTED_VALUE"""),"23-09-2025")</f>
        <v>23-09-2025</v>
      </c>
      <c r="B597" s="13" t="str">
        <f ca="1">IFERROR(__xludf.DUMMYFUNCTION("""COMPUTED_VALUE"""),"Surabaya")</f>
        <v>Surabaya</v>
      </c>
      <c r="C597" s="13" t="str">
        <f ca="1">IFERROR(__xludf.DUMMYFUNCTION("""COMPUTED_VALUE"""),"P05")</f>
        <v>P05</v>
      </c>
      <c r="D597" s="13">
        <f ca="1">IFERROR(__xludf.DUMMYFUNCTION("""COMPUTED_VALUE"""),3)</f>
        <v>3</v>
      </c>
      <c r="E597" s="14">
        <f ca="1">IFERROR(__xludf.DUMMYFUNCTION("""COMPUTED_VALUE"""),30000)</f>
        <v>30000</v>
      </c>
      <c r="F597" s="14">
        <f ca="1">IFERROR(__xludf.DUMMYFUNCTION("""COMPUTED_VALUE"""),90000)</f>
        <v>90000</v>
      </c>
      <c r="G597" s="13" t="str">
        <f ca="1"/>
        <v>Mocha</v>
      </c>
      <c r="H597" s="13" t="str">
        <f ca="1"/>
        <v>Chocolate</v>
      </c>
      <c r="I597" s="13">
        <f ca="1">IFERROR(__xludf.DUMMYFUNCTION("""COMPUTED_VALUE"""),23)</f>
        <v>23</v>
      </c>
      <c r="J597" s="13">
        <f ca="1">IFERROR(__xludf.DUMMYFUNCTION("""COMPUTED_VALUE"""),9)</f>
        <v>9</v>
      </c>
      <c r="K597" s="13">
        <f ca="1">IFERROR(__xludf.DUMMYFUNCTION("""COMPUTED_VALUE"""),2025)</f>
        <v>2025</v>
      </c>
      <c r="L597" s="15">
        <f ca="1"/>
        <v>45923</v>
      </c>
    </row>
    <row r="598" spans="1:12">
      <c r="A598" s="12" t="str">
        <f ca="1">IFERROR(__xludf.DUMMYFUNCTION("""COMPUTED_VALUE"""),"30-09-2025")</f>
        <v>30-09-2025</v>
      </c>
      <c r="B598" s="13" t="str">
        <f ca="1">IFERROR(__xludf.DUMMYFUNCTION("""COMPUTED_VALUE"""),"Surabaya")</f>
        <v>Surabaya</v>
      </c>
      <c r="C598" s="13" t="str">
        <f ca="1">IFERROR(__xludf.DUMMYFUNCTION("""COMPUTED_VALUE"""),"P01")</f>
        <v>P01</v>
      </c>
      <c r="D598" s="13">
        <f ca="1">IFERROR(__xludf.DUMMYFUNCTION("""COMPUTED_VALUE"""),1)</f>
        <v>1</v>
      </c>
      <c r="E598" s="14">
        <f ca="1">IFERROR(__xludf.DUMMYFUNCTION("""COMPUTED_VALUE"""),30000)</f>
        <v>30000</v>
      </c>
      <c r="F598" s="14">
        <f ca="1">IFERROR(__xludf.DUMMYFUNCTION("""COMPUTED_VALUE"""),30000)</f>
        <v>30000</v>
      </c>
      <c r="G598" s="13" t="str">
        <f ca="1"/>
        <v>Cappuccino</v>
      </c>
      <c r="H598" s="13" t="str">
        <f ca="1"/>
        <v>Coffee</v>
      </c>
      <c r="I598" s="13">
        <f ca="1">IFERROR(__xludf.DUMMYFUNCTION("""COMPUTED_VALUE"""),30)</f>
        <v>30</v>
      </c>
      <c r="J598" s="13">
        <f ca="1">IFERROR(__xludf.DUMMYFUNCTION("""COMPUTED_VALUE"""),9)</f>
        <v>9</v>
      </c>
      <c r="K598" s="13">
        <f ca="1">IFERROR(__xludf.DUMMYFUNCTION("""COMPUTED_VALUE"""),2025)</f>
        <v>2025</v>
      </c>
      <c r="L598" s="15">
        <f ca="1"/>
        <v>45930</v>
      </c>
    </row>
    <row r="599" spans="1:12">
      <c r="A599" s="12" t="str">
        <f ca="1">IFERROR(__xludf.DUMMYFUNCTION("""COMPUTED_VALUE"""),"13-09-2025")</f>
        <v>13-09-2025</v>
      </c>
      <c r="B599" s="13" t="str">
        <f ca="1">IFERROR(__xludf.DUMMYFUNCTION("""COMPUTED_VALUE"""),"Surabaya")</f>
        <v>Surabaya</v>
      </c>
      <c r="C599" s="13" t="str">
        <f ca="1">IFERROR(__xludf.DUMMYFUNCTION("""COMPUTED_VALUE"""),"P02")</f>
        <v>P02</v>
      </c>
      <c r="D599" s="13">
        <f ca="1">IFERROR(__xludf.DUMMYFUNCTION("""COMPUTED_VALUE"""),1)</f>
        <v>1</v>
      </c>
      <c r="E599" s="14">
        <f ca="1">IFERROR(__xludf.DUMMYFUNCTION("""COMPUTED_VALUE"""),20000)</f>
        <v>20000</v>
      </c>
      <c r="F599" s="14">
        <f ca="1">IFERROR(__xludf.DUMMYFUNCTION("""COMPUTED_VALUE"""),20000)</f>
        <v>20000</v>
      </c>
      <c r="G599" s="13" t="str">
        <f ca="1"/>
        <v>Latte</v>
      </c>
      <c r="H599" s="13" t="str">
        <f ca="1"/>
        <v>Coffee</v>
      </c>
      <c r="I599" s="13">
        <f ca="1">IFERROR(__xludf.DUMMYFUNCTION("""COMPUTED_VALUE"""),13)</f>
        <v>13</v>
      </c>
      <c r="J599" s="13">
        <f ca="1">IFERROR(__xludf.DUMMYFUNCTION("""COMPUTED_VALUE"""),9)</f>
        <v>9</v>
      </c>
      <c r="K599" s="13">
        <f ca="1">IFERROR(__xludf.DUMMYFUNCTION("""COMPUTED_VALUE"""),2025)</f>
        <v>2025</v>
      </c>
      <c r="L599" s="15">
        <f ca="1"/>
        <v>45913</v>
      </c>
    </row>
    <row r="600" spans="1:12">
      <c r="A600" s="12" t="str">
        <f ca="1">IFERROR(__xludf.DUMMYFUNCTION("""COMPUTED_VALUE"""),"23-09-2025")</f>
        <v>23-09-2025</v>
      </c>
      <c r="B600" s="13" t="str">
        <f ca="1">IFERROR(__xludf.DUMMYFUNCTION("""COMPUTED_VALUE"""),"Surabaya")</f>
        <v>Surabaya</v>
      </c>
      <c r="C600" s="13" t="str">
        <f ca="1">IFERROR(__xludf.DUMMYFUNCTION("""COMPUTED_VALUE"""),"P03")</f>
        <v>P03</v>
      </c>
      <c r="D600" s="13">
        <f ca="1">IFERROR(__xludf.DUMMYFUNCTION("""COMPUTED_VALUE"""),1)</f>
        <v>1</v>
      </c>
      <c r="E600" s="14">
        <f ca="1">IFERROR(__xludf.DUMMYFUNCTION("""COMPUTED_VALUE"""),28000)</f>
        <v>28000</v>
      </c>
      <c r="F600" s="14">
        <f ca="1">IFERROR(__xludf.DUMMYFUNCTION("""COMPUTED_VALUE"""),28000)</f>
        <v>28000</v>
      </c>
      <c r="G600" s="13" t="str">
        <f ca="1"/>
        <v>Espresso</v>
      </c>
      <c r="H600" s="13" t="str">
        <f ca="1"/>
        <v>Coffee</v>
      </c>
      <c r="I600" s="13">
        <f ca="1">IFERROR(__xludf.DUMMYFUNCTION("""COMPUTED_VALUE"""),23)</f>
        <v>23</v>
      </c>
      <c r="J600" s="13">
        <f ca="1">IFERROR(__xludf.DUMMYFUNCTION("""COMPUTED_VALUE"""),9)</f>
        <v>9</v>
      </c>
      <c r="K600" s="13">
        <f ca="1">IFERROR(__xludf.DUMMYFUNCTION("""COMPUTED_VALUE"""),2025)</f>
        <v>2025</v>
      </c>
      <c r="L600" s="15">
        <f ca="1"/>
        <v>45923</v>
      </c>
    </row>
    <row r="601" spans="1:12">
      <c r="A601" s="12" t="str">
        <f ca="1">IFERROR(__xludf.DUMMYFUNCTION("""COMPUTED_VALUE"""),"27-09-2025")</f>
        <v>27-09-2025</v>
      </c>
      <c r="B601" s="13" t="str">
        <f ca="1">IFERROR(__xludf.DUMMYFUNCTION("""COMPUTED_VALUE"""),"Surabaya")</f>
        <v>Surabaya</v>
      </c>
      <c r="C601" s="13" t="str">
        <f ca="1">IFERROR(__xludf.DUMMYFUNCTION("""COMPUTED_VALUE"""),"P04")</f>
        <v>P04</v>
      </c>
      <c r="D601" s="13">
        <f ca="1">IFERROR(__xludf.DUMMYFUNCTION("""COMPUTED_VALUE"""),5)</f>
        <v>5</v>
      </c>
      <c r="E601" s="14">
        <f ca="1">IFERROR(__xludf.DUMMYFUNCTION("""COMPUTED_VALUE"""),30000)</f>
        <v>30000</v>
      </c>
      <c r="F601" s="14">
        <f ca="1">IFERROR(__xludf.DUMMYFUNCTION("""COMPUTED_VALUE"""),150000)</f>
        <v>150000</v>
      </c>
      <c r="G601" s="13" t="str">
        <f ca="1"/>
        <v>Americano</v>
      </c>
      <c r="H601" s="13" t="str">
        <f ca="1"/>
        <v>Coffee</v>
      </c>
      <c r="I601" s="13">
        <f ca="1">IFERROR(__xludf.DUMMYFUNCTION("""COMPUTED_VALUE"""),27)</f>
        <v>27</v>
      </c>
      <c r="J601" s="13">
        <f ca="1">IFERROR(__xludf.DUMMYFUNCTION("""COMPUTED_VALUE"""),9)</f>
        <v>9</v>
      </c>
      <c r="K601" s="13">
        <f ca="1">IFERROR(__xludf.DUMMYFUNCTION("""COMPUTED_VALUE"""),2025)</f>
        <v>2025</v>
      </c>
      <c r="L601" s="15">
        <f ca="1"/>
        <v>45927</v>
      </c>
    </row>
    <row r="602" spans="1:12">
      <c r="A602" s="12" t="str">
        <f ca="1">IFERROR(__xludf.DUMMYFUNCTION("""COMPUTED_VALUE"""),"25-09-2025")</f>
        <v>25-09-2025</v>
      </c>
      <c r="B602" s="13" t="str">
        <f ca="1">IFERROR(__xludf.DUMMYFUNCTION("""COMPUTED_VALUE"""),"Jakarta")</f>
        <v>Jakarta</v>
      </c>
      <c r="C602" s="13" t="str">
        <f ca="1">IFERROR(__xludf.DUMMYFUNCTION("""COMPUTED_VALUE"""),"P01")</f>
        <v>P01</v>
      </c>
      <c r="D602" s="13">
        <f ca="1">IFERROR(__xludf.DUMMYFUNCTION("""COMPUTED_VALUE"""),4)</f>
        <v>4</v>
      </c>
      <c r="E602" s="14">
        <f ca="1">IFERROR(__xludf.DUMMYFUNCTION("""COMPUTED_VALUE"""),28000)</f>
        <v>28000</v>
      </c>
      <c r="F602" s="14">
        <f ca="1">IFERROR(__xludf.DUMMYFUNCTION("""COMPUTED_VALUE"""),112000)</f>
        <v>112000</v>
      </c>
      <c r="G602" s="13" t="str">
        <f ca="1"/>
        <v>Cappuccino</v>
      </c>
      <c r="H602" s="13" t="str">
        <f ca="1"/>
        <v>Coffee</v>
      </c>
      <c r="I602" s="13">
        <f ca="1">IFERROR(__xludf.DUMMYFUNCTION("""COMPUTED_VALUE"""),25)</f>
        <v>25</v>
      </c>
      <c r="J602" s="13">
        <f ca="1">IFERROR(__xludf.DUMMYFUNCTION("""COMPUTED_VALUE"""),9)</f>
        <v>9</v>
      </c>
      <c r="K602" s="13">
        <f ca="1">IFERROR(__xludf.DUMMYFUNCTION("""COMPUTED_VALUE"""),2025)</f>
        <v>2025</v>
      </c>
      <c r="L602" s="15">
        <f ca="1"/>
        <v>45925</v>
      </c>
    </row>
    <row r="603" spans="1:12">
      <c r="A603" s="12" t="str">
        <f ca="1">IFERROR(__xludf.DUMMYFUNCTION("""COMPUTED_VALUE"""),"04-09-2025")</f>
        <v>04-09-2025</v>
      </c>
      <c r="B603" s="13" t="str">
        <f ca="1">IFERROR(__xludf.DUMMYFUNCTION("""COMPUTED_VALUE"""),"Jakarta")</f>
        <v>Jakarta</v>
      </c>
      <c r="C603" s="13" t="str">
        <f ca="1">IFERROR(__xludf.DUMMYFUNCTION("""COMPUTED_VALUE"""),"P02")</f>
        <v>P02</v>
      </c>
      <c r="D603" s="13">
        <f ca="1">IFERROR(__xludf.DUMMYFUNCTION("""COMPUTED_VALUE"""),2)</f>
        <v>2</v>
      </c>
      <c r="E603" s="14">
        <f ca="1">IFERROR(__xludf.DUMMYFUNCTION("""COMPUTED_VALUE"""),20000)</f>
        <v>20000</v>
      </c>
      <c r="F603" s="14">
        <f ca="1">IFERROR(__xludf.DUMMYFUNCTION("""COMPUTED_VALUE"""),40000)</f>
        <v>40000</v>
      </c>
      <c r="G603" s="13" t="str">
        <f ca="1"/>
        <v>Latte</v>
      </c>
      <c r="H603" s="13" t="str">
        <f ca="1"/>
        <v>Coffee</v>
      </c>
      <c r="I603" s="13">
        <f ca="1">IFERROR(__xludf.DUMMYFUNCTION("""COMPUTED_VALUE"""),4)</f>
        <v>4</v>
      </c>
      <c r="J603" s="13">
        <f ca="1">IFERROR(__xludf.DUMMYFUNCTION("""COMPUTED_VALUE"""),9)</f>
        <v>9</v>
      </c>
      <c r="K603" s="13">
        <f ca="1">IFERROR(__xludf.DUMMYFUNCTION("""COMPUTED_VALUE"""),2025)</f>
        <v>2025</v>
      </c>
      <c r="L603" s="15">
        <f ca="1"/>
        <v>45904</v>
      </c>
    </row>
    <row r="604" spans="1:12">
      <c r="A604" s="12" t="str">
        <f ca="1">IFERROR(__xludf.DUMMYFUNCTION("""COMPUTED_VALUE"""),"28-09-2025")</f>
        <v>28-09-2025</v>
      </c>
      <c r="B604" s="13" t="str">
        <f ca="1">IFERROR(__xludf.DUMMYFUNCTION("""COMPUTED_VALUE"""),"Jakarta")</f>
        <v>Jakarta</v>
      </c>
      <c r="C604" s="13" t="str">
        <f ca="1">IFERROR(__xludf.DUMMYFUNCTION("""COMPUTED_VALUE"""),"P03")</f>
        <v>P03</v>
      </c>
      <c r="D604" s="13">
        <f ca="1">IFERROR(__xludf.DUMMYFUNCTION("""COMPUTED_VALUE"""),1)</f>
        <v>1</v>
      </c>
      <c r="E604" s="14">
        <f ca="1">IFERROR(__xludf.DUMMYFUNCTION("""COMPUTED_VALUE"""),25000)</f>
        <v>25000</v>
      </c>
      <c r="F604" s="14">
        <f ca="1">IFERROR(__xludf.DUMMYFUNCTION("""COMPUTED_VALUE"""),25000)</f>
        <v>25000</v>
      </c>
      <c r="G604" s="13" t="str">
        <f ca="1"/>
        <v>Espresso</v>
      </c>
      <c r="H604" s="13" t="str">
        <f ca="1"/>
        <v>Coffee</v>
      </c>
      <c r="I604" s="13">
        <f ca="1">IFERROR(__xludf.DUMMYFUNCTION("""COMPUTED_VALUE"""),28)</f>
        <v>28</v>
      </c>
      <c r="J604" s="13">
        <f ca="1">IFERROR(__xludf.DUMMYFUNCTION("""COMPUTED_VALUE"""),9)</f>
        <v>9</v>
      </c>
      <c r="K604" s="13">
        <f ca="1">IFERROR(__xludf.DUMMYFUNCTION("""COMPUTED_VALUE"""),2025)</f>
        <v>2025</v>
      </c>
      <c r="L604" s="15">
        <f ca="1"/>
        <v>45928</v>
      </c>
    </row>
    <row r="605" spans="1:12">
      <c r="A605" s="12" t="str">
        <f ca="1">IFERROR(__xludf.DUMMYFUNCTION("""COMPUTED_VALUE"""),"12-09-2025")</f>
        <v>12-09-2025</v>
      </c>
      <c r="B605" s="13" t="str">
        <f ca="1">IFERROR(__xludf.DUMMYFUNCTION("""COMPUTED_VALUE"""),"Jakarta")</f>
        <v>Jakarta</v>
      </c>
      <c r="C605" s="13" t="str">
        <f ca="1">IFERROR(__xludf.DUMMYFUNCTION("""COMPUTED_VALUE"""),"P04")</f>
        <v>P04</v>
      </c>
      <c r="D605" s="13">
        <f ca="1">IFERROR(__xludf.DUMMYFUNCTION("""COMPUTED_VALUE"""),3)</f>
        <v>3</v>
      </c>
      <c r="E605" s="14">
        <f ca="1">IFERROR(__xludf.DUMMYFUNCTION("""COMPUTED_VALUE"""),28000)</f>
        <v>28000</v>
      </c>
      <c r="F605" s="14">
        <f ca="1">IFERROR(__xludf.DUMMYFUNCTION("""COMPUTED_VALUE"""),84000)</f>
        <v>84000</v>
      </c>
      <c r="G605" s="13" t="str">
        <f ca="1"/>
        <v>Americano</v>
      </c>
      <c r="H605" s="13" t="str">
        <f ca="1"/>
        <v>Coffee</v>
      </c>
      <c r="I605" s="13">
        <f ca="1">IFERROR(__xludf.DUMMYFUNCTION("""COMPUTED_VALUE"""),12)</f>
        <v>12</v>
      </c>
      <c r="J605" s="13">
        <f ca="1">IFERROR(__xludf.DUMMYFUNCTION("""COMPUTED_VALUE"""),9)</f>
        <v>9</v>
      </c>
      <c r="K605" s="13">
        <f ca="1">IFERROR(__xludf.DUMMYFUNCTION("""COMPUTED_VALUE"""),2025)</f>
        <v>2025</v>
      </c>
      <c r="L605" s="15">
        <f ca="1"/>
        <v>45912</v>
      </c>
    </row>
    <row r="606" spans="1:12">
      <c r="A606" s="12" t="str">
        <f ca="1">IFERROR(__xludf.DUMMYFUNCTION("""COMPUTED_VALUE"""),"08-09-2025")</f>
        <v>08-09-2025</v>
      </c>
      <c r="B606" s="13" t="str">
        <f ca="1">IFERROR(__xludf.DUMMYFUNCTION("""COMPUTED_VALUE"""),"Jakarta")</f>
        <v>Jakarta</v>
      </c>
      <c r="C606" s="13" t="str">
        <f ca="1">IFERROR(__xludf.DUMMYFUNCTION("""COMPUTED_VALUE"""),"P05")</f>
        <v>P05</v>
      </c>
      <c r="D606" s="13">
        <f ca="1">IFERROR(__xludf.DUMMYFUNCTION("""COMPUTED_VALUE"""),2)</f>
        <v>2</v>
      </c>
      <c r="E606" s="14">
        <f ca="1">IFERROR(__xludf.DUMMYFUNCTION("""COMPUTED_VALUE"""),35000)</f>
        <v>35000</v>
      </c>
      <c r="F606" s="14">
        <f ca="1">IFERROR(__xludf.DUMMYFUNCTION("""COMPUTED_VALUE"""),70000)</f>
        <v>70000</v>
      </c>
      <c r="G606" s="13" t="str">
        <f ca="1"/>
        <v>Mocha</v>
      </c>
      <c r="H606" s="13" t="str">
        <f ca="1"/>
        <v>Chocolate</v>
      </c>
      <c r="I606" s="13">
        <f ca="1">IFERROR(__xludf.DUMMYFUNCTION("""COMPUTED_VALUE"""),8)</f>
        <v>8</v>
      </c>
      <c r="J606" s="13">
        <f ca="1">IFERROR(__xludf.DUMMYFUNCTION("""COMPUTED_VALUE"""),9)</f>
        <v>9</v>
      </c>
      <c r="K606" s="13">
        <f ca="1">IFERROR(__xludf.DUMMYFUNCTION("""COMPUTED_VALUE"""),2025)</f>
        <v>2025</v>
      </c>
      <c r="L606" s="15">
        <f ca="1"/>
        <v>45908</v>
      </c>
    </row>
    <row r="607" spans="1:12">
      <c r="A607" s="12" t="str">
        <f ca="1">IFERROR(__xludf.DUMMYFUNCTION("""COMPUTED_VALUE"""),"12-09-2025")</f>
        <v>12-09-2025</v>
      </c>
      <c r="B607" s="13" t="str">
        <f ca="1">IFERROR(__xludf.DUMMYFUNCTION("""COMPUTED_VALUE"""),"Jakarta")</f>
        <v>Jakarta</v>
      </c>
      <c r="C607" s="13" t="str">
        <f ca="1">IFERROR(__xludf.DUMMYFUNCTION("""COMPUTED_VALUE"""),"P05")</f>
        <v>P05</v>
      </c>
      <c r="D607" s="13">
        <f ca="1">IFERROR(__xludf.DUMMYFUNCTION("""COMPUTED_VALUE"""),1)</f>
        <v>1</v>
      </c>
      <c r="E607" s="14">
        <f ca="1">IFERROR(__xludf.DUMMYFUNCTION("""COMPUTED_VALUE"""),28000)</f>
        <v>28000</v>
      </c>
      <c r="F607" s="14">
        <f ca="1">IFERROR(__xludf.DUMMYFUNCTION("""COMPUTED_VALUE"""),28000)</f>
        <v>28000</v>
      </c>
      <c r="G607" s="13" t="str">
        <f ca="1"/>
        <v>Mocha</v>
      </c>
      <c r="H607" s="13" t="str">
        <f ca="1"/>
        <v>Chocolate</v>
      </c>
      <c r="I607" s="13">
        <f ca="1">IFERROR(__xludf.DUMMYFUNCTION("""COMPUTED_VALUE"""),12)</f>
        <v>12</v>
      </c>
      <c r="J607" s="13">
        <f ca="1">IFERROR(__xludf.DUMMYFUNCTION("""COMPUTED_VALUE"""),9)</f>
        <v>9</v>
      </c>
      <c r="K607" s="13">
        <f ca="1">IFERROR(__xludf.DUMMYFUNCTION("""COMPUTED_VALUE"""),2025)</f>
        <v>2025</v>
      </c>
      <c r="L607" s="15">
        <f ca="1"/>
        <v>45912</v>
      </c>
    </row>
    <row r="608" spans="1:12">
      <c r="A608" s="12" t="str">
        <f ca="1">IFERROR(__xludf.DUMMYFUNCTION("""COMPUTED_VALUE"""),"08-09-2025")</f>
        <v>08-09-2025</v>
      </c>
      <c r="B608" s="13" t="str">
        <f ca="1">IFERROR(__xludf.DUMMYFUNCTION("""COMPUTED_VALUE"""),"Jakarta")</f>
        <v>Jakarta</v>
      </c>
      <c r="C608" s="13" t="str">
        <f ca="1">IFERROR(__xludf.DUMMYFUNCTION("""COMPUTED_VALUE"""),"P05")</f>
        <v>P05</v>
      </c>
      <c r="D608" s="13">
        <f ca="1">IFERROR(__xludf.DUMMYFUNCTION("""COMPUTED_VALUE"""),4)</f>
        <v>4</v>
      </c>
      <c r="E608" s="14">
        <f ca="1">IFERROR(__xludf.DUMMYFUNCTION("""COMPUTED_VALUE"""),30000)</f>
        <v>30000</v>
      </c>
      <c r="F608" s="14">
        <f ca="1">IFERROR(__xludf.DUMMYFUNCTION("""COMPUTED_VALUE"""),120000)</f>
        <v>120000</v>
      </c>
      <c r="G608" s="13" t="str">
        <f ca="1"/>
        <v>Mocha</v>
      </c>
      <c r="H608" s="13" t="str">
        <f ca="1"/>
        <v>Chocolate</v>
      </c>
      <c r="I608" s="13">
        <f ca="1">IFERROR(__xludf.DUMMYFUNCTION("""COMPUTED_VALUE"""),8)</f>
        <v>8</v>
      </c>
      <c r="J608" s="13">
        <f ca="1">IFERROR(__xludf.DUMMYFUNCTION("""COMPUTED_VALUE"""),9)</f>
        <v>9</v>
      </c>
      <c r="K608" s="13">
        <f ca="1">IFERROR(__xludf.DUMMYFUNCTION("""COMPUTED_VALUE"""),2025)</f>
        <v>2025</v>
      </c>
      <c r="L608" s="15">
        <f ca="1"/>
        <v>45908</v>
      </c>
    </row>
    <row r="609" spans="1:12">
      <c r="A609" s="12" t="str">
        <f ca="1">IFERROR(__xludf.DUMMYFUNCTION("""COMPUTED_VALUE"""),"28-09-2025")</f>
        <v>28-09-2025</v>
      </c>
      <c r="B609" s="13" t="str">
        <f ca="1">IFERROR(__xludf.DUMMYFUNCTION("""COMPUTED_VALUE"""),"Jakarta")</f>
        <v>Jakarta</v>
      </c>
      <c r="C609" s="13" t="str">
        <f ca="1">IFERROR(__xludf.DUMMYFUNCTION("""COMPUTED_VALUE"""),"P05")</f>
        <v>P05</v>
      </c>
      <c r="D609" s="13">
        <f ca="1">IFERROR(__xludf.DUMMYFUNCTION("""COMPUTED_VALUE"""),5)</f>
        <v>5</v>
      </c>
      <c r="E609" s="14">
        <f ca="1">IFERROR(__xludf.DUMMYFUNCTION("""COMPUTED_VALUE"""),30000)</f>
        <v>30000</v>
      </c>
      <c r="F609" s="14">
        <f ca="1">IFERROR(__xludf.DUMMYFUNCTION("""COMPUTED_VALUE"""),150000)</f>
        <v>150000</v>
      </c>
      <c r="G609" s="13" t="str">
        <f ca="1"/>
        <v>Mocha</v>
      </c>
      <c r="H609" s="13" t="str">
        <f ca="1"/>
        <v>Chocolate</v>
      </c>
      <c r="I609" s="13">
        <f ca="1">IFERROR(__xludf.DUMMYFUNCTION("""COMPUTED_VALUE"""),28)</f>
        <v>28</v>
      </c>
      <c r="J609" s="13">
        <f ca="1">IFERROR(__xludf.DUMMYFUNCTION("""COMPUTED_VALUE"""),9)</f>
        <v>9</v>
      </c>
      <c r="K609" s="13">
        <f ca="1">IFERROR(__xludf.DUMMYFUNCTION("""COMPUTED_VALUE"""),2025)</f>
        <v>2025</v>
      </c>
      <c r="L609" s="15">
        <f ca="1"/>
        <v>45928</v>
      </c>
    </row>
    <row r="610" spans="1:12">
      <c r="A610" s="12" t="str">
        <f ca="1">IFERROR(__xludf.DUMMYFUNCTION("""COMPUTED_VALUE"""),"26-09-2025")</f>
        <v>26-09-2025</v>
      </c>
      <c r="B610" s="13" t="str">
        <f ca="1">IFERROR(__xludf.DUMMYFUNCTION("""COMPUTED_VALUE"""),"Jakarta")</f>
        <v>Jakarta</v>
      </c>
      <c r="C610" s="13" t="str">
        <f ca="1">IFERROR(__xludf.DUMMYFUNCTION("""COMPUTED_VALUE"""),"P05")</f>
        <v>P05</v>
      </c>
      <c r="D610" s="13">
        <f ca="1">IFERROR(__xludf.DUMMYFUNCTION("""COMPUTED_VALUE"""),3)</f>
        <v>3</v>
      </c>
      <c r="E610" s="14">
        <f ca="1">IFERROR(__xludf.DUMMYFUNCTION("""COMPUTED_VALUE"""),20000)</f>
        <v>20000</v>
      </c>
      <c r="F610" s="14">
        <f ca="1">IFERROR(__xludf.DUMMYFUNCTION("""COMPUTED_VALUE"""),60000)</f>
        <v>60000</v>
      </c>
      <c r="G610" s="13" t="str">
        <f ca="1"/>
        <v>Mocha</v>
      </c>
      <c r="H610" s="13" t="str">
        <f ca="1"/>
        <v>Chocolate</v>
      </c>
      <c r="I610" s="13">
        <f ca="1">IFERROR(__xludf.DUMMYFUNCTION("""COMPUTED_VALUE"""),26)</f>
        <v>26</v>
      </c>
      <c r="J610" s="13">
        <f ca="1">IFERROR(__xludf.DUMMYFUNCTION("""COMPUTED_VALUE"""),9)</f>
        <v>9</v>
      </c>
      <c r="K610" s="13">
        <f ca="1">IFERROR(__xludf.DUMMYFUNCTION("""COMPUTED_VALUE"""),2025)</f>
        <v>2025</v>
      </c>
      <c r="L610" s="15">
        <f ca="1"/>
        <v>45926</v>
      </c>
    </row>
    <row r="611" spans="1:12">
      <c r="A611" s="12" t="str">
        <f ca="1">IFERROR(__xludf.DUMMYFUNCTION("""COMPUTED_VALUE"""),"23-09-2025")</f>
        <v>23-09-2025</v>
      </c>
      <c r="B611" s="13" t="str">
        <f ca="1">IFERROR(__xludf.DUMMYFUNCTION("""COMPUTED_VALUE"""),"Jakarta")</f>
        <v>Jakarta</v>
      </c>
      <c r="C611" s="13" t="str">
        <f ca="1">IFERROR(__xludf.DUMMYFUNCTION("""COMPUTED_VALUE"""),"P05")</f>
        <v>P05</v>
      </c>
      <c r="D611" s="13">
        <f ca="1">IFERROR(__xludf.DUMMYFUNCTION("""COMPUTED_VALUE"""),2)</f>
        <v>2</v>
      </c>
      <c r="E611" s="14">
        <f ca="1">IFERROR(__xludf.DUMMYFUNCTION("""COMPUTED_VALUE"""),35000)</f>
        <v>35000</v>
      </c>
      <c r="F611" s="14">
        <f ca="1">IFERROR(__xludf.DUMMYFUNCTION("""COMPUTED_VALUE"""),70000)</f>
        <v>70000</v>
      </c>
      <c r="G611" s="13" t="str">
        <f ca="1"/>
        <v>Mocha</v>
      </c>
      <c r="H611" s="13" t="str">
        <f ca="1"/>
        <v>Chocolate</v>
      </c>
      <c r="I611" s="13">
        <f ca="1">IFERROR(__xludf.DUMMYFUNCTION("""COMPUTED_VALUE"""),23)</f>
        <v>23</v>
      </c>
      <c r="J611" s="13">
        <f ca="1">IFERROR(__xludf.DUMMYFUNCTION("""COMPUTED_VALUE"""),9)</f>
        <v>9</v>
      </c>
      <c r="K611" s="13">
        <f ca="1">IFERROR(__xludf.DUMMYFUNCTION("""COMPUTED_VALUE"""),2025)</f>
        <v>2025</v>
      </c>
      <c r="L611" s="15">
        <f ca="1"/>
        <v>45923</v>
      </c>
    </row>
    <row r="612" spans="1:12">
      <c r="A612" s="12" t="str">
        <f ca="1">IFERROR(__xludf.DUMMYFUNCTION("""COMPUTED_VALUE"""),"13-09-2025")</f>
        <v>13-09-2025</v>
      </c>
      <c r="B612" s="13" t="str">
        <f ca="1">IFERROR(__xludf.DUMMYFUNCTION("""COMPUTED_VALUE"""),"Jakarta")</f>
        <v>Jakarta</v>
      </c>
      <c r="C612" s="13" t="str">
        <f ca="1">IFERROR(__xludf.DUMMYFUNCTION("""COMPUTED_VALUE"""),"P05")</f>
        <v>P05</v>
      </c>
      <c r="D612" s="13">
        <f ca="1">IFERROR(__xludf.DUMMYFUNCTION("""COMPUTED_VALUE"""),3)</f>
        <v>3</v>
      </c>
      <c r="E612" s="14">
        <f ca="1">IFERROR(__xludf.DUMMYFUNCTION("""COMPUTED_VALUE"""),28000)</f>
        <v>28000</v>
      </c>
      <c r="F612" s="14">
        <f ca="1">IFERROR(__xludf.DUMMYFUNCTION("""COMPUTED_VALUE"""),84000)</f>
        <v>84000</v>
      </c>
      <c r="G612" s="13" t="str">
        <f ca="1"/>
        <v>Mocha</v>
      </c>
      <c r="H612" s="13" t="str">
        <f ca="1"/>
        <v>Chocolate</v>
      </c>
      <c r="I612" s="13">
        <f ca="1">IFERROR(__xludf.DUMMYFUNCTION("""COMPUTED_VALUE"""),13)</f>
        <v>13</v>
      </c>
      <c r="J612" s="13">
        <f ca="1">IFERROR(__xludf.DUMMYFUNCTION("""COMPUTED_VALUE"""),9)</f>
        <v>9</v>
      </c>
      <c r="K612" s="13">
        <f ca="1">IFERROR(__xludf.DUMMYFUNCTION("""COMPUTED_VALUE"""),2025)</f>
        <v>2025</v>
      </c>
      <c r="L612" s="15">
        <f ca="1"/>
        <v>45913</v>
      </c>
    </row>
    <row r="613" spans="1:12">
      <c r="A613" s="12" t="str">
        <f ca="1">IFERROR(__xludf.DUMMYFUNCTION("""COMPUTED_VALUE"""),"11-09-2025")</f>
        <v>11-09-2025</v>
      </c>
      <c r="B613" s="13" t="str">
        <f ca="1">IFERROR(__xludf.DUMMYFUNCTION("""COMPUTED_VALUE"""),"Jakarta")</f>
        <v>Jakarta</v>
      </c>
      <c r="C613" s="13" t="str">
        <f ca="1">IFERROR(__xludf.DUMMYFUNCTION("""COMPUTED_VALUE"""),"P05")</f>
        <v>P05</v>
      </c>
      <c r="D613" s="13">
        <f ca="1">IFERROR(__xludf.DUMMYFUNCTION("""COMPUTED_VALUE"""),3)</f>
        <v>3</v>
      </c>
      <c r="E613" s="14">
        <f ca="1">IFERROR(__xludf.DUMMYFUNCTION("""COMPUTED_VALUE"""),28000)</f>
        <v>28000</v>
      </c>
      <c r="F613" s="14">
        <f ca="1">IFERROR(__xludf.DUMMYFUNCTION("""COMPUTED_VALUE"""),84000)</f>
        <v>84000</v>
      </c>
      <c r="G613" s="13" t="str">
        <f ca="1"/>
        <v>Mocha</v>
      </c>
      <c r="H613" s="13" t="str">
        <f ca="1"/>
        <v>Chocolate</v>
      </c>
      <c r="I613" s="13">
        <f ca="1">IFERROR(__xludf.DUMMYFUNCTION("""COMPUTED_VALUE"""),11)</f>
        <v>11</v>
      </c>
      <c r="J613" s="13">
        <f ca="1">IFERROR(__xludf.DUMMYFUNCTION("""COMPUTED_VALUE"""),9)</f>
        <v>9</v>
      </c>
      <c r="K613" s="13">
        <f ca="1">IFERROR(__xludf.DUMMYFUNCTION("""COMPUTED_VALUE"""),2025)</f>
        <v>2025</v>
      </c>
      <c r="L613" s="15">
        <f ca="1"/>
        <v>45911</v>
      </c>
    </row>
    <row r="614" spans="1:12">
      <c r="A614" s="12" t="str">
        <f ca="1">IFERROR(__xludf.DUMMYFUNCTION("""COMPUTED_VALUE"""),"21-09-2025")</f>
        <v>21-09-2025</v>
      </c>
      <c r="B614" s="13" t="str">
        <f ca="1">IFERROR(__xludf.DUMMYFUNCTION("""COMPUTED_VALUE"""),"Jakarta")</f>
        <v>Jakarta</v>
      </c>
      <c r="C614" s="13" t="str">
        <f ca="1">IFERROR(__xludf.DUMMYFUNCTION("""COMPUTED_VALUE"""),"P05")</f>
        <v>P05</v>
      </c>
      <c r="D614" s="13">
        <f ca="1">IFERROR(__xludf.DUMMYFUNCTION("""COMPUTED_VALUE"""),2)</f>
        <v>2</v>
      </c>
      <c r="E614" s="14">
        <f ca="1">IFERROR(__xludf.DUMMYFUNCTION("""COMPUTED_VALUE"""),20000)</f>
        <v>20000</v>
      </c>
      <c r="F614" s="14">
        <f ca="1">IFERROR(__xludf.DUMMYFUNCTION("""COMPUTED_VALUE"""),40000)</f>
        <v>40000</v>
      </c>
      <c r="G614" s="13" t="str">
        <f ca="1"/>
        <v>Mocha</v>
      </c>
      <c r="H614" s="13" t="str">
        <f ca="1"/>
        <v>Chocolate</v>
      </c>
      <c r="I614" s="13">
        <f ca="1">IFERROR(__xludf.DUMMYFUNCTION("""COMPUTED_VALUE"""),21)</f>
        <v>21</v>
      </c>
      <c r="J614" s="13">
        <f ca="1">IFERROR(__xludf.DUMMYFUNCTION("""COMPUTED_VALUE"""),9)</f>
        <v>9</v>
      </c>
      <c r="K614" s="13">
        <f ca="1">IFERROR(__xludf.DUMMYFUNCTION("""COMPUTED_VALUE"""),2025)</f>
        <v>2025</v>
      </c>
      <c r="L614" s="15">
        <f ca="1"/>
        <v>45921</v>
      </c>
    </row>
    <row r="615" spans="1:12">
      <c r="A615" s="12" t="str">
        <f ca="1">IFERROR(__xludf.DUMMYFUNCTION("""COMPUTED_VALUE"""),"10-09-2025")</f>
        <v>10-09-2025</v>
      </c>
      <c r="B615" s="13" t="str">
        <f ca="1">IFERROR(__xludf.DUMMYFUNCTION("""COMPUTED_VALUE"""),"Jakarta")</f>
        <v>Jakarta</v>
      </c>
      <c r="C615" s="13" t="str">
        <f ca="1">IFERROR(__xludf.DUMMYFUNCTION("""COMPUTED_VALUE"""),"P05")</f>
        <v>P05</v>
      </c>
      <c r="D615" s="13">
        <f ca="1">IFERROR(__xludf.DUMMYFUNCTION("""COMPUTED_VALUE"""),3)</f>
        <v>3</v>
      </c>
      <c r="E615" s="14">
        <f ca="1">IFERROR(__xludf.DUMMYFUNCTION("""COMPUTED_VALUE"""),30000)</f>
        <v>30000</v>
      </c>
      <c r="F615" s="14">
        <f ca="1">IFERROR(__xludf.DUMMYFUNCTION("""COMPUTED_VALUE"""),90000)</f>
        <v>90000</v>
      </c>
      <c r="G615" s="13" t="str">
        <f ca="1"/>
        <v>Mocha</v>
      </c>
      <c r="H615" s="13" t="str">
        <f ca="1"/>
        <v>Chocolate</v>
      </c>
      <c r="I615" s="13">
        <f ca="1">IFERROR(__xludf.DUMMYFUNCTION("""COMPUTED_VALUE"""),10)</f>
        <v>10</v>
      </c>
      <c r="J615" s="13">
        <f ca="1">IFERROR(__xludf.DUMMYFUNCTION("""COMPUTED_VALUE"""),9)</f>
        <v>9</v>
      </c>
      <c r="K615" s="13">
        <f ca="1">IFERROR(__xludf.DUMMYFUNCTION("""COMPUTED_VALUE"""),2025)</f>
        <v>2025</v>
      </c>
      <c r="L615" s="15">
        <f ca="1"/>
        <v>45910</v>
      </c>
    </row>
    <row r="616" spans="1:12">
      <c r="A616" s="12" t="str">
        <f ca="1">IFERROR(__xludf.DUMMYFUNCTION("""COMPUTED_VALUE"""),"17-09-2025")</f>
        <v>17-09-2025</v>
      </c>
      <c r="B616" s="13" t="str">
        <f ca="1">IFERROR(__xludf.DUMMYFUNCTION("""COMPUTED_VALUE"""),"Jakarta")</f>
        <v>Jakarta</v>
      </c>
      <c r="C616" s="13" t="str">
        <f ca="1">IFERROR(__xludf.DUMMYFUNCTION("""COMPUTED_VALUE"""),"P05")</f>
        <v>P05</v>
      </c>
      <c r="D616" s="13">
        <f ca="1">IFERROR(__xludf.DUMMYFUNCTION("""COMPUTED_VALUE"""),1)</f>
        <v>1</v>
      </c>
      <c r="E616" s="14">
        <f ca="1">IFERROR(__xludf.DUMMYFUNCTION("""COMPUTED_VALUE"""),35000)</f>
        <v>35000</v>
      </c>
      <c r="F616" s="14">
        <f ca="1">IFERROR(__xludf.DUMMYFUNCTION("""COMPUTED_VALUE"""),35000)</f>
        <v>35000</v>
      </c>
      <c r="G616" s="13" t="str">
        <f ca="1"/>
        <v>Mocha</v>
      </c>
      <c r="H616" s="13" t="str">
        <f ca="1"/>
        <v>Chocolate</v>
      </c>
      <c r="I616" s="13">
        <f ca="1">IFERROR(__xludf.DUMMYFUNCTION("""COMPUTED_VALUE"""),17)</f>
        <v>17</v>
      </c>
      <c r="J616" s="13">
        <f ca="1">IFERROR(__xludf.DUMMYFUNCTION("""COMPUTED_VALUE"""),9)</f>
        <v>9</v>
      </c>
      <c r="K616" s="13">
        <f ca="1">IFERROR(__xludf.DUMMYFUNCTION("""COMPUTED_VALUE"""),2025)</f>
        <v>2025</v>
      </c>
      <c r="L616" s="15">
        <f ca="1"/>
        <v>45917</v>
      </c>
    </row>
    <row r="617" spans="1:12">
      <c r="A617" s="12" t="str">
        <f ca="1">IFERROR(__xludf.DUMMYFUNCTION("""COMPUTED_VALUE"""),"25-09-2025")</f>
        <v>25-09-2025</v>
      </c>
      <c r="B617" s="13" t="str">
        <f ca="1">IFERROR(__xludf.DUMMYFUNCTION("""COMPUTED_VALUE"""),"Jakarta")</f>
        <v>Jakarta</v>
      </c>
      <c r="C617" s="13" t="str">
        <f ca="1">IFERROR(__xludf.DUMMYFUNCTION("""COMPUTED_VALUE"""),"P05")</f>
        <v>P05</v>
      </c>
      <c r="D617" s="13">
        <f ca="1">IFERROR(__xludf.DUMMYFUNCTION("""COMPUTED_VALUE"""),2)</f>
        <v>2</v>
      </c>
      <c r="E617" s="14">
        <f ca="1">IFERROR(__xludf.DUMMYFUNCTION("""COMPUTED_VALUE"""),30000)</f>
        <v>30000</v>
      </c>
      <c r="F617" s="14">
        <f ca="1">IFERROR(__xludf.DUMMYFUNCTION("""COMPUTED_VALUE"""),60000)</f>
        <v>60000</v>
      </c>
      <c r="G617" s="13" t="str">
        <f ca="1"/>
        <v>Mocha</v>
      </c>
      <c r="H617" s="13" t="str">
        <f ca="1"/>
        <v>Chocolate</v>
      </c>
      <c r="I617" s="13">
        <f ca="1">IFERROR(__xludf.DUMMYFUNCTION("""COMPUTED_VALUE"""),25)</f>
        <v>25</v>
      </c>
      <c r="J617" s="13">
        <f ca="1">IFERROR(__xludf.DUMMYFUNCTION("""COMPUTED_VALUE"""),9)</f>
        <v>9</v>
      </c>
      <c r="K617" s="13">
        <f ca="1">IFERROR(__xludf.DUMMYFUNCTION("""COMPUTED_VALUE"""),2025)</f>
        <v>2025</v>
      </c>
      <c r="L617" s="15">
        <f ca="1"/>
        <v>45925</v>
      </c>
    </row>
    <row r="618" spans="1:12">
      <c r="A618" s="12" t="str">
        <f ca="1">IFERROR(__xludf.DUMMYFUNCTION("""COMPUTED_VALUE"""),"07-09-2025")</f>
        <v>07-09-2025</v>
      </c>
      <c r="B618" s="13" t="str">
        <f ca="1">IFERROR(__xludf.DUMMYFUNCTION("""COMPUTED_VALUE"""),"Jakarta")</f>
        <v>Jakarta</v>
      </c>
      <c r="C618" s="13" t="str">
        <f ca="1">IFERROR(__xludf.DUMMYFUNCTION("""COMPUTED_VALUE"""),"P05")</f>
        <v>P05</v>
      </c>
      <c r="D618" s="13">
        <f ca="1">IFERROR(__xludf.DUMMYFUNCTION("""COMPUTED_VALUE"""),1)</f>
        <v>1</v>
      </c>
      <c r="E618" s="14">
        <f ca="1">IFERROR(__xludf.DUMMYFUNCTION("""COMPUTED_VALUE"""),35000)</f>
        <v>35000</v>
      </c>
      <c r="F618" s="14">
        <f ca="1">IFERROR(__xludf.DUMMYFUNCTION("""COMPUTED_VALUE"""),35000)</f>
        <v>35000</v>
      </c>
      <c r="G618" s="13" t="str">
        <f ca="1"/>
        <v>Mocha</v>
      </c>
      <c r="H618" s="13" t="str">
        <f ca="1"/>
        <v>Chocolate</v>
      </c>
      <c r="I618" s="13">
        <f ca="1">IFERROR(__xludf.DUMMYFUNCTION("""COMPUTED_VALUE"""),7)</f>
        <v>7</v>
      </c>
      <c r="J618" s="13">
        <f ca="1">IFERROR(__xludf.DUMMYFUNCTION("""COMPUTED_VALUE"""),9)</f>
        <v>9</v>
      </c>
      <c r="K618" s="13">
        <f ca="1">IFERROR(__xludf.DUMMYFUNCTION("""COMPUTED_VALUE"""),2025)</f>
        <v>2025</v>
      </c>
      <c r="L618" s="15">
        <f ca="1"/>
        <v>45907</v>
      </c>
    </row>
    <row r="619" spans="1:12">
      <c r="A619" s="12" t="str">
        <f ca="1">IFERROR(__xludf.DUMMYFUNCTION("""COMPUTED_VALUE"""),"11-09-2025")</f>
        <v>11-09-2025</v>
      </c>
      <c r="B619" s="13" t="str">
        <f ca="1">IFERROR(__xludf.DUMMYFUNCTION("""COMPUTED_VALUE"""),"Jakarta")</f>
        <v>Jakarta</v>
      </c>
      <c r="C619" s="13" t="str">
        <f ca="1">IFERROR(__xludf.DUMMYFUNCTION("""COMPUTED_VALUE"""),"P05")</f>
        <v>P05</v>
      </c>
      <c r="D619" s="13">
        <f ca="1">IFERROR(__xludf.DUMMYFUNCTION("""COMPUTED_VALUE"""),1)</f>
        <v>1</v>
      </c>
      <c r="E619" s="14">
        <f ca="1">IFERROR(__xludf.DUMMYFUNCTION("""COMPUTED_VALUE"""),30000)</f>
        <v>30000</v>
      </c>
      <c r="F619" s="14">
        <f ca="1">IFERROR(__xludf.DUMMYFUNCTION("""COMPUTED_VALUE"""),30000)</f>
        <v>30000</v>
      </c>
      <c r="G619" s="13" t="str">
        <f ca="1"/>
        <v>Mocha</v>
      </c>
      <c r="H619" s="13" t="str">
        <f ca="1"/>
        <v>Chocolate</v>
      </c>
      <c r="I619" s="13">
        <f ca="1">IFERROR(__xludf.DUMMYFUNCTION("""COMPUTED_VALUE"""),11)</f>
        <v>11</v>
      </c>
      <c r="J619" s="13">
        <f ca="1">IFERROR(__xludf.DUMMYFUNCTION("""COMPUTED_VALUE"""),9)</f>
        <v>9</v>
      </c>
      <c r="K619" s="13">
        <f ca="1">IFERROR(__xludf.DUMMYFUNCTION("""COMPUTED_VALUE"""),2025)</f>
        <v>2025</v>
      </c>
      <c r="L619" s="15">
        <f ca="1"/>
        <v>45911</v>
      </c>
    </row>
    <row r="620" spans="1:12">
      <c r="A620" s="12" t="str">
        <f ca="1">IFERROR(__xludf.DUMMYFUNCTION("""COMPUTED_VALUE"""),"01-09-2025")</f>
        <v>01-09-2025</v>
      </c>
      <c r="B620" s="13" t="str">
        <f ca="1">IFERROR(__xludf.DUMMYFUNCTION("""COMPUTED_VALUE"""),"Jakarta")</f>
        <v>Jakarta</v>
      </c>
      <c r="C620" s="13" t="str">
        <f ca="1">IFERROR(__xludf.DUMMYFUNCTION("""COMPUTED_VALUE"""),"P05")</f>
        <v>P05</v>
      </c>
      <c r="D620" s="13">
        <f ca="1">IFERROR(__xludf.DUMMYFUNCTION("""COMPUTED_VALUE"""),1)</f>
        <v>1</v>
      </c>
      <c r="E620" s="14">
        <f ca="1">IFERROR(__xludf.DUMMYFUNCTION("""COMPUTED_VALUE"""),28000)</f>
        <v>28000</v>
      </c>
      <c r="F620" s="14">
        <f ca="1">IFERROR(__xludf.DUMMYFUNCTION("""COMPUTED_VALUE"""),28000)</f>
        <v>28000</v>
      </c>
      <c r="G620" s="13" t="str">
        <f ca="1"/>
        <v>Mocha</v>
      </c>
      <c r="H620" s="13" t="str">
        <f ca="1"/>
        <v>Chocolate</v>
      </c>
      <c r="I620" s="13">
        <f ca="1">IFERROR(__xludf.DUMMYFUNCTION("""COMPUTED_VALUE"""),1)</f>
        <v>1</v>
      </c>
      <c r="J620" s="13">
        <f ca="1">IFERROR(__xludf.DUMMYFUNCTION("""COMPUTED_VALUE"""),9)</f>
        <v>9</v>
      </c>
      <c r="K620" s="13">
        <f ca="1">IFERROR(__xludf.DUMMYFUNCTION("""COMPUTED_VALUE"""),2025)</f>
        <v>2025</v>
      </c>
      <c r="L620" s="15">
        <f ca="1"/>
        <v>45901</v>
      </c>
    </row>
    <row r="621" spans="1:12">
      <c r="A621" s="12" t="str">
        <f ca="1">IFERROR(__xludf.DUMMYFUNCTION("""COMPUTED_VALUE"""),"02-09-2025")</f>
        <v>02-09-2025</v>
      </c>
      <c r="B621" s="13" t="str">
        <f ca="1">IFERROR(__xludf.DUMMYFUNCTION("""COMPUTED_VALUE"""),"Jakarta")</f>
        <v>Jakarta</v>
      </c>
      <c r="C621" s="13" t="str">
        <f ca="1">IFERROR(__xludf.DUMMYFUNCTION("""COMPUTED_VALUE"""),"P01")</f>
        <v>P01</v>
      </c>
      <c r="D621" s="13">
        <f ca="1">IFERROR(__xludf.DUMMYFUNCTION("""COMPUTED_VALUE"""),1)</f>
        <v>1</v>
      </c>
      <c r="E621" s="14">
        <f ca="1">IFERROR(__xludf.DUMMYFUNCTION("""COMPUTED_VALUE"""),35000)</f>
        <v>35000</v>
      </c>
      <c r="F621" s="14">
        <f ca="1">IFERROR(__xludf.DUMMYFUNCTION("""COMPUTED_VALUE"""),35000)</f>
        <v>35000</v>
      </c>
      <c r="G621" s="13" t="str">
        <f ca="1"/>
        <v>Cappuccino</v>
      </c>
      <c r="H621" s="13" t="str">
        <f ca="1"/>
        <v>Coffee</v>
      </c>
      <c r="I621" s="13">
        <f ca="1">IFERROR(__xludf.DUMMYFUNCTION("""COMPUTED_VALUE"""),2)</f>
        <v>2</v>
      </c>
      <c r="J621" s="13">
        <f ca="1">IFERROR(__xludf.DUMMYFUNCTION("""COMPUTED_VALUE"""),9)</f>
        <v>9</v>
      </c>
      <c r="K621" s="13">
        <f ca="1">IFERROR(__xludf.DUMMYFUNCTION("""COMPUTED_VALUE"""),2025)</f>
        <v>2025</v>
      </c>
      <c r="L621" s="15">
        <f ca="1"/>
        <v>45902</v>
      </c>
    </row>
    <row r="622" spans="1:12">
      <c r="A622" s="12" t="str">
        <f ca="1">IFERROR(__xludf.DUMMYFUNCTION("""COMPUTED_VALUE"""),"01-09-2025")</f>
        <v>01-09-2025</v>
      </c>
      <c r="B622" s="13" t="str">
        <f ca="1">IFERROR(__xludf.DUMMYFUNCTION("""COMPUTED_VALUE"""),"Jakarta")</f>
        <v>Jakarta</v>
      </c>
      <c r="C622" s="13" t="str">
        <f ca="1">IFERROR(__xludf.DUMMYFUNCTION("""COMPUTED_VALUE"""),"P02")</f>
        <v>P02</v>
      </c>
      <c r="D622" s="13">
        <f ca="1">IFERROR(__xludf.DUMMYFUNCTION("""COMPUTED_VALUE"""),2)</f>
        <v>2</v>
      </c>
      <c r="E622" s="14">
        <f ca="1">IFERROR(__xludf.DUMMYFUNCTION("""COMPUTED_VALUE"""),25000)</f>
        <v>25000</v>
      </c>
      <c r="F622" s="14">
        <f ca="1">IFERROR(__xludf.DUMMYFUNCTION("""COMPUTED_VALUE"""),50000)</f>
        <v>50000</v>
      </c>
      <c r="G622" s="13" t="str">
        <f ca="1"/>
        <v>Latte</v>
      </c>
      <c r="H622" s="13" t="str">
        <f ca="1"/>
        <v>Coffee</v>
      </c>
      <c r="I622" s="13">
        <f ca="1">IFERROR(__xludf.DUMMYFUNCTION("""COMPUTED_VALUE"""),1)</f>
        <v>1</v>
      </c>
      <c r="J622" s="13">
        <f ca="1">IFERROR(__xludf.DUMMYFUNCTION("""COMPUTED_VALUE"""),9)</f>
        <v>9</v>
      </c>
      <c r="K622" s="13">
        <f ca="1">IFERROR(__xludf.DUMMYFUNCTION("""COMPUTED_VALUE"""),2025)</f>
        <v>2025</v>
      </c>
      <c r="L622" s="15">
        <f ca="1"/>
        <v>45901</v>
      </c>
    </row>
    <row r="623" spans="1:12">
      <c r="A623" s="12" t="str">
        <f ca="1">IFERROR(__xludf.DUMMYFUNCTION("""COMPUTED_VALUE"""),"27-09-2025")</f>
        <v>27-09-2025</v>
      </c>
      <c r="B623" s="13" t="str">
        <f ca="1">IFERROR(__xludf.DUMMYFUNCTION("""COMPUTED_VALUE"""),"Jakarta")</f>
        <v>Jakarta</v>
      </c>
      <c r="C623" s="13" t="str">
        <f ca="1">IFERROR(__xludf.DUMMYFUNCTION("""COMPUTED_VALUE"""),"P03")</f>
        <v>P03</v>
      </c>
      <c r="D623" s="13">
        <f ca="1">IFERROR(__xludf.DUMMYFUNCTION("""COMPUTED_VALUE"""),3)</f>
        <v>3</v>
      </c>
      <c r="E623" s="14">
        <f ca="1">IFERROR(__xludf.DUMMYFUNCTION("""COMPUTED_VALUE"""),30000)</f>
        <v>30000</v>
      </c>
      <c r="F623" s="14">
        <f ca="1">IFERROR(__xludf.DUMMYFUNCTION("""COMPUTED_VALUE"""),90000)</f>
        <v>90000</v>
      </c>
      <c r="G623" s="13" t="str">
        <f ca="1"/>
        <v>Espresso</v>
      </c>
      <c r="H623" s="13" t="str">
        <f ca="1"/>
        <v>Coffee</v>
      </c>
      <c r="I623" s="13">
        <f ca="1">IFERROR(__xludf.DUMMYFUNCTION("""COMPUTED_VALUE"""),27)</f>
        <v>27</v>
      </c>
      <c r="J623" s="13">
        <f ca="1">IFERROR(__xludf.DUMMYFUNCTION("""COMPUTED_VALUE"""),9)</f>
        <v>9</v>
      </c>
      <c r="K623" s="13">
        <f ca="1">IFERROR(__xludf.DUMMYFUNCTION("""COMPUTED_VALUE"""),2025)</f>
        <v>2025</v>
      </c>
      <c r="L623" s="15">
        <f ca="1"/>
        <v>45927</v>
      </c>
    </row>
    <row r="624" spans="1:12">
      <c r="A624" s="12" t="str">
        <f ca="1">IFERROR(__xludf.DUMMYFUNCTION("""COMPUTED_VALUE"""),"10-09-2025")</f>
        <v>10-09-2025</v>
      </c>
      <c r="B624" s="13" t="str">
        <f ca="1">IFERROR(__xludf.DUMMYFUNCTION("""COMPUTED_VALUE"""),"Jakarta")</f>
        <v>Jakarta</v>
      </c>
      <c r="C624" s="13" t="str">
        <f ca="1">IFERROR(__xludf.DUMMYFUNCTION("""COMPUTED_VALUE"""),"P04")</f>
        <v>P04</v>
      </c>
      <c r="D624" s="13">
        <f ca="1">IFERROR(__xludf.DUMMYFUNCTION("""COMPUTED_VALUE"""),4)</f>
        <v>4</v>
      </c>
      <c r="E624" s="14">
        <f ca="1">IFERROR(__xludf.DUMMYFUNCTION("""COMPUTED_VALUE"""),20000)</f>
        <v>20000</v>
      </c>
      <c r="F624" s="14">
        <f ca="1">IFERROR(__xludf.DUMMYFUNCTION("""COMPUTED_VALUE"""),80000)</f>
        <v>80000</v>
      </c>
      <c r="G624" s="13" t="str">
        <f ca="1"/>
        <v>Americano</v>
      </c>
      <c r="H624" s="13" t="str">
        <f ca="1"/>
        <v>Coffee</v>
      </c>
      <c r="I624" s="13">
        <f ca="1">IFERROR(__xludf.DUMMYFUNCTION("""COMPUTED_VALUE"""),10)</f>
        <v>10</v>
      </c>
      <c r="J624" s="13">
        <f ca="1">IFERROR(__xludf.DUMMYFUNCTION("""COMPUTED_VALUE"""),9)</f>
        <v>9</v>
      </c>
      <c r="K624" s="13">
        <f ca="1">IFERROR(__xludf.DUMMYFUNCTION("""COMPUTED_VALUE"""),2025)</f>
        <v>2025</v>
      </c>
      <c r="L624" s="15">
        <f ca="1"/>
        <v>45910</v>
      </c>
    </row>
    <row r="625" spans="1:12">
      <c r="A625" s="12" t="str">
        <f ca="1">IFERROR(__xludf.DUMMYFUNCTION("""COMPUTED_VALUE"""),"14-09-2025")</f>
        <v>14-09-2025</v>
      </c>
      <c r="B625" s="13" t="str">
        <f ca="1">IFERROR(__xludf.DUMMYFUNCTION("""COMPUTED_VALUE"""),"Jakarta")</f>
        <v>Jakarta</v>
      </c>
      <c r="C625" s="13" t="str">
        <f ca="1">IFERROR(__xludf.DUMMYFUNCTION("""COMPUTED_VALUE"""),"P05")</f>
        <v>P05</v>
      </c>
      <c r="D625" s="13">
        <f ca="1">IFERROR(__xludf.DUMMYFUNCTION("""COMPUTED_VALUE"""),4)</f>
        <v>4</v>
      </c>
      <c r="E625" s="14">
        <f ca="1">IFERROR(__xludf.DUMMYFUNCTION("""COMPUTED_VALUE"""),20000)</f>
        <v>20000</v>
      </c>
      <c r="F625" s="14">
        <f ca="1">IFERROR(__xludf.DUMMYFUNCTION("""COMPUTED_VALUE"""),80000)</f>
        <v>80000</v>
      </c>
      <c r="G625" s="13" t="str">
        <f ca="1"/>
        <v>Mocha</v>
      </c>
      <c r="H625" s="13" t="str">
        <f ca="1"/>
        <v>Chocolate</v>
      </c>
      <c r="I625" s="13">
        <f ca="1">IFERROR(__xludf.DUMMYFUNCTION("""COMPUTED_VALUE"""),14)</f>
        <v>14</v>
      </c>
      <c r="J625" s="13">
        <f ca="1">IFERROR(__xludf.DUMMYFUNCTION("""COMPUTED_VALUE"""),9)</f>
        <v>9</v>
      </c>
      <c r="K625" s="13">
        <f ca="1">IFERROR(__xludf.DUMMYFUNCTION("""COMPUTED_VALUE"""),2025)</f>
        <v>2025</v>
      </c>
      <c r="L625" s="15">
        <f ca="1"/>
        <v>45914</v>
      </c>
    </row>
    <row r="626" spans="1:12">
      <c r="A626" s="12" t="str">
        <f ca="1">IFERROR(__xludf.DUMMYFUNCTION("""COMPUTED_VALUE"""),"03-09-2025")</f>
        <v>03-09-2025</v>
      </c>
      <c r="B626" s="13" t="str">
        <f ca="1">IFERROR(__xludf.DUMMYFUNCTION("""COMPUTED_VALUE"""),"Jakarta")</f>
        <v>Jakarta</v>
      </c>
      <c r="C626" s="13" t="str">
        <f ca="1">IFERROR(__xludf.DUMMYFUNCTION("""COMPUTED_VALUE"""),"P05")</f>
        <v>P05</v>
      </c>
      <c r="D626" s="13">
        <f ca="1">IFERROR(__xludf.DUMMYFUNCTION("""COMPUTED_VALUE"""),1)</f>
        <v>1</v>
      </c>
      <c r="E626" s="14">
        <f ca="1">IFERROR(__xludf.DUMMYFUNCTION("""COMPUTED_VALUE"""),28000)</f>
        <v>28000</v>
      </c>
      <c r="F626" s="14">
        <f ca="1">IFERROR(__xludf.DUMMYFUNCTION("""COMPUTED_VALUE"""),28000)</f>
        <v>28000</v>
      </c>
      <c r="G626" s="13" t="str">
        <f ca="1"/>
        <v>Mocha</v>
      </c>
      <c r="H626" s="13" t="str">
        <f ca="1"/>
        <v>Chocolate</v>
      </c>
      <c r="I626" s="13">
        <f ca="1">IFERROR(__xludf.DUMMYFUNCTION("""COMPUTED_VALUE"""),3)</f>
        <v>3</v>
      </c>
      <c r="J626" s="13">
        <f ca="1">IFERROR(__xludf.DUMMYFUNCTION("""COMPUTED_VALUE"""),9)</f>
        <v>9</v>
      </c>
      <c r="K626" s="13">
        <f ca="1">IFERROR(__xludf.DUMMYFUNCTION("""COMPUTED_VALUE"""),2025)</f>
        <v>2025</v>
      </c>
      <c r="L626" s="15">
        <f ca="1"/>
        <v>45903</v>
      </c>
    </row>
    <row r="627" spans="1:12">
      <c r="A627" s="12" t="str">
        <f ca="1">IFERROR(__xludf.DUMMYFUNCTION("""COMPUTED_VALUE"""),"30-09-2025")</f>
        <v>30-09-2025</v>
      </c>
      <c r="B627" s="13" t="str">
        <f ca="1">IFERROR(__xludf.DUMMYFUNCTION("""COMPUTED_VALUE"""),"Jakarta")</f>
        <v>Jakarta</v>
      </c>
      <c r="C627" s="13" t="str">
        <f ca="1">IFERROR(__xludf.DUMMYFUNCTION("""COMPUTED_VALUE"""),"P05")</f>
        <v>P05</v>
      </c>
      <c r="D627" s="13">
        <f ca="1">IFERROR(__xludf.DUMMYFUNCTION("""COMPUTED_VALUE"""),4)</f>
        <v>4</v>
      </c>
      <c r="E627" s="14">
        <f ca="1">IFERROR(__xludf.DUMMYFUNCTION("""COMPUTED_VALUE"""),25000)</f>
        <v>25000</v>
      </c>
      <c r="F627" s="14">
        <f ca="1">IFERROR(__xludf.DUMMYFUNCTION("""COMPUTED_VALUE"""),100000)</f>
        <v>100000</v>
      </c>
      <c r="G627" s="13" t="str">
        <f ca="1"/>
        <v>Mocha</v>
      </c>
      <c r="H627" s="13" t="str">
        <f ca="1"/>
        <v>Chocolate</v>
      </c>
      <c r="I627" s="13">
        <f ca="1">IFERROR(__xludf.DUMMYFUNCTION("""COMPUTED_VALUE"""),30)</f>
        <v>30</v>
      </c>
      <c r="J627" s="13">
        <f ca="1">IFERROR(__xludf.DUMMYFUNCTION("""COMPUTED_VALUE"""),9)</f>
        <v>9</v>
      </c>
      <c r="K627" s="13">
        <f ca="1">IFERROR(__xludf.DUMMYFUNCTION("""COMPUTED_VALUE"""),2025)</f>
        <v>2025</v>
      </c>
      <c r="L627" s="15">
        <f ca="1"/>
        <v>45930</v>
      </c>
    </row>
    <row r="628" spans="1:12">
      <c r="A628" s="12" t="str">
        <f ca="1">IFERROR(__xludf.DUMMYFUNCTION("""COMPUTED_VALUE"""),"06-09-2025")</f>
        <v>06-09-2025</v>
      </c>
      <c r="B628" s="13" t="str">
        <f ca="1">IFERROR(__xludf.DUMMYFUNCTION("""COMPUTED_VALUE"""),"Jakarta")</f>
        <v>Jakarta</v>
      </c>
      <c r="C628" s="13" t="str">
        <f ca="1">IFERROR(__xludf.DUMMYFUNCTION("""COMPUTED_VALUE"""),"P05")</f>
        <v>P05</v>
      </c>
      <c r="D628" s="13">
        <f ca="1">IFERROR(__xludf.DUMMYFUNCTION("""COMPUTED_VALUE"""),4)</f>
        <v>4</v>
      </c>
      <c r="E628" s="14">
        <f ca="1">IFERROR(__xludf.DUMMYFUNCTION("""COMPUTED_VALUE"""),25000)</f>
        <v>25000</v>
      </c>
      <c r="F628" s="14">
        <f ca="1">IFERROR(__xludf.DUMMYFUNCTION("""COMPUTED_VALUE"""),100000)</f>
        <v>100000</v>
      </c>
      <c r="G628" s="13" t="str">
        <f ca="1"/>
        <v>Mocha</v>
      </c>
      <c r="H628" s="13" t="str">
        <f ca="1"/>
        <v>Chocolate</v>
      </c>
      <c r="I628" s="13">
        <f ca="1">IFERROR(__xludf.DUMMYFUNCTION("""COMPUTED_VALUE"""),6)</f>
        <v>6</v>
      </c>
      <c r="J628" s="13">
        <f ca="1">IFERROR(__xludf.DUMMYFUNCTION("""COMPUTED_VALUE"""),9)</f>
        <v>9</v>
      </c>
      <c r="K628" s="13">
        <f ca="1">IFERROR(__xludf.DUMMYFUNCTION("""COMPUTED_VALUE"""),2025)</f>
        <v>2025</v>
      </c>
      <c r="L628" s="15">
        <f ca="1"/>
        <v>45906</v>
      </c>
    </row>
    <row r="629" spans="1:12">
      <c r="A629" s="12" t="str">
        <f ca="1">IFERROR(__xludf.DUMMYFUNCTION("""COMPUTED_VALUE"""),"13-09-2025")</f>
        <v>13-09-2025</v>
      </c>
      <c r="B629" s="13" t="str">
        <f ca="1">IFERROR(__xludf.DUMMYFUNCTION("""COMPUTED_VALUE"""),"Jakarta")</f>
        <v>Jakarta</v>
      </c>
      <c r="C629" s="13" t="str">
        <f ca="1">IFERROR(__xludf.DUMMYFUNCTION("""COMPUTED_VALUE"""),"P05")</f>
        <v>P05</v>
      </c>
      <c r="D629" s="13">
        <f ca="1">IFERROR(__xludf.DUMMYFUNCTION("""COMPUTED_VALUE"""),1)</f>
        <v>1</v>
      </c>
      <c r="E629" s="14">
        <f ca="1">IFERROR(__xludf.DUMMYFUNCTION("""COMPUTED_VALUE"""),30000)</f>
        <v>30000</v>
      </c>
      <c r="F629" s="14">
        <f ca="1">IFERROR(__xludf.DUMMYFUNCTION("""COMPUTED_VALUE"""),30000)</f>
        <v>30000</v>
      </c>
      <c r="G629" s="13" t="str">
        <f ca="1"/>
        <v>Mocha</v>
      </c>
      <c r="H629" s="13" t="str">
        <f ca="1"/>
        <v>Chocolate</v>
      </c>
      <c r="I629" s="13">
        <f ca="1">IFERROR(__xludf.DUMMYFUNCTION("""COMPUTED_VALUE"""),13)</f>
        <v>13</v>
      </c>
      <c r="J629" s="13">
        <f ca="1">IFERROR(__xludf.DUMMYFUNCTION("""COMPUTED_VALUE"""),9)</f>
        <v>9</v>
      </c>
      <c r="K629" s="13">
        <f ca="1">IFERROR(__xludf.DUMMYFUNCTION("""COMPUTED_VALUE"""),2025)</f>
        <v>2025</v>
      </c>
      <c r="L629" s="15">
        <f ca="1"/>
        <v>45913</v>
      </c>
    </row>
    <row r="630" spans="1:12">
      <c r="A630" s="12" t="str">
        <f ca="1">IFERROR(__xludf.DUMMYFUNCTION("""COMPUTED_VALUE"""),"14-09-2025")</f>
        <v>14-09-2025</v>
      </c>
      <c r="B630" s="13" t="str">
        <f ca="1">IFERROR(__xludf.DUMMYFUNCTION("""COMPUTED_VALUE"""),"Jakarta")</f>
        <v>Jakarta</v>
      </c>
      <c r="C630" s="13" t="str">
        <f ca="1">IFERROR(__xludf.DUMMYFUNCTION("""COMPUTED_VALUE"""),"P05")</f>
        <v>P05</v>
      </c>
      <c r="D630" s="13">
        <f ca="1">IFERROR(__xludf.DUMMYFUNCTION("""COMPUTED_VALUE"""),1)</f>
        <v>1</v>
      </c>
      <c r="E630" s="14">
        <f ca="1">IFERROR(__xludf.DUMMYFUNCTION("""COMPUTED_VALUE"""),30000)</f>
        <v>30000</v>
      </c>
      <c r="F630" s="14">
        <f ca="1">IFERROR(__xludf.DUMMYFUNCTION("""COMPUTED_VALUE"""),30000)</f>
        <v>30000</v>
      </c>
      <c r="G630" s="13" t="str">
        <f ca="1"/>
        <v>Mocha</v>
      </c>
      <c r="H630" s="13" t="str">
        <f ca="1"/>
        <v>Chocolate</v>
      </c>
      <c r="I630" s="13">
        <f ca="1">IFERROR(__xludf.DUMMYFUNCTION("""COMPUTED_VALUE"""),14)</f>
        <v>14</v>
      </c>
      <c r="J630" s="13">
        <f ca="1">IFERROR(__xludf.DUMMYFUNCTION("""COMPUTED_VALUE"""),9)</f>
        <v>9</v>
      </c>
      <c r="K630" s="13">
        <f ca="1">IFERROR(__xludf.DUMMYFUNCTION("""COMPUTED_VALUE"""),2025)</f>
        <v>2025</v>
      </c>
      <c r="L630" s="15">
        <f ca="1"/>
        <v>45914</v>
      </c>
    </row>
    <row r="631" spans="1:12">
      <c r="A631" s="12" t="str">
        <f ca="1">IFERROR(__xludf.DUMMYFUNCTION("""COMPUTED_VALUE"""),"11-09-2025")</f>
        <v>11-09-2025</v>
      </c>
      <c r="B631" s="13" t="str">
        <f ca="1">IFERROR(__xludf.DUMMYFUNCTION("""COMPUTED_VALUE"""),"Jakarta")</f>
        <v>Jakarta</v>
      </c>
      <c r="C631" s="13" t="str">
        <f ca="1">IFERROR(__xludf.DUMMYFUNCTION("""COMPUTED_VALUE"""),"P05")</f>
        <v>P05</v>
      </c>
      <c r="D631" s="13">
        <f ca="1">IFERROR(__xludf.DUMMYFUNCTION("""COMPUTED_VALUE"""),4)</f>
        <v>4</v>
      </c>
      <c r="E631" s="14">
        <f ca="1">IFERROR(__xludf.DUMMYFUNCTION("""COMPUTED_VALUE"""),35000)</f>
        <v>35000</v>
      </c>
      <c r="F631" s="14">
        <f ca="1">IFERROR(__xludf.DUMMYFUNCTION("""COMPUTED_VALUE"""),140000)</f>
        <v>140000</v>
      </c>
      <c r="G631" s="13" t="str">
        <f ca="1"/>
        <v>Mocha</v>
      </c>
      <c r="H631" s="13" t="str">
        <f ca="1"/>
        <v>Chocolate</v>
      </c>
      <c r="I631" s="13">
        <f ca="1">IFERROR(__xludf.DUMMYFUNCTION("""COMPUTED_VALUE"""),11)</f>
        <v>11</v>
      </c>
      <c r="J631" s="13">
        <f ca="1">IFERROR(__xludf.DUMMYFUNCTION("""COMPUTED_VALUE"""),9)</f>
        <v>9</v>
      </c>
      <c r="K631" s="13">
        <f ca="1">IFERROR(__xludf.DUMMYFUNCTION("""COMPUTED_VALUE"""),2025)</f>
        <v>2025</v>
      </c>
      <c r="L631" s="15">
        <f ca="1"/>
        <v>45911</v>
      </c>
    </row>
    <row r="632" spans="1:12">
      <c r="A632" s="12" t="str">
        <f ca="1">IFERROR(__xludf.DUMMYFUNCTION("""COMPUTED_VALUE"""),"14-09-2025")</f>
        <v>14-09-2025</v>
      </c>
      <c r="B632" s="13" t="str">
        <f ca="1">IFERROR(__xludf.DUMMYFUNCTION("""COMPUTED_VALUE"""),"Jakarta")</f>
        <v>Jakarta</v>
      </c>
      <c r="C632" s="13" t="str">
        <f ca="1">IFERROR(__xludf.DUMMYFUNCTION("""COMPUTED_VALUE"""),"P05")</f>
        <v>P05</v>
      </c>
      <c r="D632" s="13">
        <f ca="1">IFERROR(__xludf.DUMMYFUNCTION("""COMPUTED_VALUE"""),4)</f>
        <v>4</v>
      </c>
      <c r="E632" s="14">
        <f ca="1">IFERROR(__xludf.DUMMYFUNCTION("""COMPUTED_VALUE"""),30000)</f>
        <v>30000</v>
      </c>
      <c r="F632" s="14">
        <f ca="1">IFERROR(__xludf.DUMMYFUNCTION("""COMPUTED_VALUE"""),120000)</f>
        <v>120000</v>
      </c>
      <c r="G632" s="13" t="str">
        <f ca="1"/>
        <v>Mocha</v>
      </c>
      <c r="H632" s="13" t="str">
        <f ca="1"/>
        <v>Chocolate</v>
      </c>
      <c r="I632" s="13">
        <f ca="1">IFERROR(__xludf.DUMMYFUNCTION("""COMPUTED_VALUE"""),14)</f>
        <v>14</v>
      </c>
      <c r="J632" s="13">
        <f ca="1">IFERROR(__xludf.DUMMYFUNCTION("""COMPUTED_VALUE"""),9)</f>
        <v>9</v>
      </c>
      <c r="K632" s="13">
        <f ca="1">IFERROR(__xludf.DUMMYFUNCTION("""COMPUTED_VALUE"""),2025)</f>
        <v>2025</v>
      </c>
      <c r="L632" s="15">
        <f ca="1"/>
        <v>45914</v>
      </c>
    </row>
    <row r="633" spans="1:12">
      <c r="A633" s="12" t="str">
        <f ca="1">IFERROR(__xludf.DUMMYFUNCTION("""COMPUTED_VALUE"""),"17-09-2025")</f>
        <v>17-09-2025</v>
      </c>
      <c r="B633" s="13" t="str">
        <f ca="1">IFERROR(__xludf.DUMMYFUNCTION("""COMPUTED_VALUE"""),"Jakarta")</f>
        <v>Jakarta</v>
      </c>
      <c r="C633" s="13" t="str">
        <f ca="1">IFERROR(__xludf.DUMMYFUNCTION("""COMPUTED_VALUE"""),"P05")</f>
        <v>P05</v>
      </c>
      <c r="D633" s="13">
        <f ca="1">IFERROR(__xludf.DUMMYFUNCTION("""COMPUTED_VALUE"""),1)</f>
        <v>1</v>
      </c>
      <c r="E633" s="14">
        <f ca="1">IFERROR(__xludf.DUMMYFUNCTION("""COMPUTED_VALUE"""),35000)</f>
        <v>35000</v>
      </c>
      <c r="F633" s="14">
        <f ca="1">IFERROR(__xludf.DUMMYFUNCTION("""COMPUTED_VALUE"""),35000)</f>
        <v>35000</v>
      </c>
      <c r="G633" s="13" t="str">
        <f ca="1"/>
        <v>Mocha</v>
      </c>
      <c r="H633" s="13" t="str">
        <f ca="1"/>
        <v>Chocolate</v>
      </c>
      <c r="I633" s="13">
        <f ca="1">IFERROR(__xludf.DUMMYFUNCTION("""COMPUTED_VALUE"""),17)</f>
        <v>17</v>
      </c>
      <c r="J633" s="13">
        <f ca="1">IFERROR(__xludf.DUMMYFUNCTION("""COMPUTED_VALUE"""),9)</f>
        <v>9</v>
      </c>
      <c r="K633" s="13">
        <f ca="1">IFERROR(__xludf.DUMMYFUNCTION("""COMPUTED_VALUE"""),2025)</f>
        <v>2025</v>
      </c>
      <c r="L633" s="15">
        <f ca="1"/>
        <v>45917</v>
      </c>
    </row>
    <row r="634" spans="1:12">
      <c r="A634" s="12" t="str">
        <f ca="1">IFERROR(__xludf.DUMMYFUNCTION("""COMPUTED_VALUE"""),"28-09-2025")</f>
        <v>28-09-2025</v>
      </c>
      <c r="B634" s="13" t="str">
        <f ca="1">IFERROR(__xludf.DUMMYFUNCTION("""COMPUTED_VALUE"""),"Jakarta")</f>
        <v>Jakarta</v>
      </c>
      <c r="C634" s="13" t="str">
        <f ca="1">IFERROR(__xludf.DUMMYFUNCTION("""COMPUTED_VALUE"""),"P05")</f>
        <v>P05</v>
      </c>
      <c r="D634" s="13">
        <f ca="1">IFERROR(__xludf.DUMMYFUNCTION("""COMPUTED_VALUE"""),1)</f>
        <v>1</v>
      </c>
      <c r="E634" s="14">
        <f ca="1">IFERROR(__xludf.DUMMYFUNCTION("""COMPUTED_VALUE"""),30000)</f>
        <v>30000</v>
      </c>
      <c r="F634" s="14">
        <f ca="1">IFERROR(__xludf.DUMMYFUNCTION("""COMPUTED_VALUE"""),30000)</f>
        <v>30000</v>
      </c>
      <c r="G634" s="13" t="str">
        <f ca="1"/>
        <v>Mocha</v>
      </c>
      <c r="H634" s="13" t="str">
        <f ca="1"/>
        <v>Chocolate</v>
      </c>
      <c r="I634" s="13">
        <f ca="1">IFERROR(__xludf.DUMMYFUNCTION("""COMPUTED_VALUE"""),28)</f>
        <v>28</v>
      </c>
      <c r="J634" s="13">
        <f ca="1">IFERROR(__xludf.DUMMYFUNCTION("""COMPUTED_VALUE"""),9)</f>
        <v>9</v>
      </c>
      <c r="K634" s="13">
        <f ca="1">IFERROR(__xludf.DUMMYFUNCTION("""COMPUTED_VALUE"""),2025)</f>
        <v>2025</v>
      </c>
      <c r="L634" s="15">
        <f ca="1"/>
        <v>45928</v>
      </c>
    </row>
    <row r="635" spans="1:12">
      <c r="A635" s="12" t="str">
        <f ca="1">IFERROR(__xludf.DUMMYFUNCTION("""COMPUTED_VALUE"""),"06-09-2025")</f>
        <v>06-09-2025</v>
      </c>
      <c r="B635" s="13" t="str">
        <f ca="1">IFERROR(__xludf.DUMMYFUNCTION("""COMPUTED_VALUE"""),"Jakarta")</f>
        <v>Jakarta</v>
      </c>
      <c r="C635" s="13" t="str">
        <f ca="1">IFERROR(__xludf.DUMMYFUNCTION("""COMPUTED_VALUE"""),"P05")</f>
        <v>P05</v>
      </c>
      <c r="D635" s="13">
        <f ca="1">IFERROR(__xludf.DUMMYFUNCTION("""COMPUTED_VALUE"""),4)</f>
        <v>4</v>
      </c>
      <c r="E635" s="14">
        <f ca="1">IFERROR(__xludf.DUMMYFUNCTION("""COMPUTED_VALUE"""),20000)</f>
        <v>20000</v>
      </c>
      <c r="F635" s="14">
        <f ca="1">IFERROR(__xludf.DUMMYFUNCTION("""COMPUTED_VALUE"""),80000)</f>
        <v>80000</v>
      </c>
      <c r="G635" s="13" t="str">
        <f ca="1"/>
        <v>Mocha</v>
      </c>
      <c r="H635" s="13" t="str">
        <f ca="1"/>
        <v>Chocolate</v>
      </c>
      <c r="I635" s="13">
        <f ca="1">IFERROR(__xludf.DUMMYFUNCTION("""COMPUTED_VALUE"""),6)</f>
        <v>6</v>
      </c>
      <c r="J635" s="13">
        <f ca="1">IFERROR(__xludf.DUMMYFUNCTION("""COMPUTED_VALUE"""),9)</f>
        <v>9</v>
      </c>
      <c r="K635" s="13">
        <f ca="1">IFERROR(__xludf.DUMMYFUNCTION("""COMPUTED_VALUE"""),2025)</f>
        <v>2025</v>
      </c>
      <c r="L635" s="15">
        <f ca="1"/>
        <v>45906</v>
      </c>
    </row>
    <row r="636" spans="1:12">
      <c r="A636" s="12" t="str">
        <f ca="1">IFERROR(__xludf.DUMMYFUNCTION("""COMPUTED_VALUE"""),"30-09-2025")</f>
        <v>30-09-2025</v>
      </c>
      <c r="B636" s="13" t="str">
        <f ca="1">IFERROR(__xludf.DUMMYFUNCTION("""COMPUTED_VALUE"""),"Jakarta")</f>
        <v>Jakarta</v>
      </c>
      <c r="C636" s="13" t="str">
        <f ca="1">IFERROR(__xludf.DUMMYFUNCTION("""COMPUTED_VALUE"""),"P05")</f>
        <v>P05</v>
      </c>
      <c r="D636" s="13">
        <f ca="1">IFERROR(__xludf.DUMMYFUNCTION("""COMPUTED_VALUE"""),1)</f>
        <v>1</v>
      </c>
      <c r="E636" s="14">
        <f ca="1">IFERROR(__xludf.DUMMYFUNCTION("""COMPUTED_VALUE"""),30000)</f>
        <v>30000</v>
      </c>
      <c r="F636" s="14">
        <f ca="1">IFERROR(__xludf.DUMMYFUNCTION("""COMPUTED_VALUE"""),30000)</f>
        <v>30000</v>
      </c>
      <c r="G636" s="13" t="str">
        <f ca="1"/>
        <v>Mocha</v>
      </c>
      <c r="H636" s="13" t="str">
        <f ca="1"/>
        <v>Chocolate</v>
      </c>
      <c r="I636" s="13">
        <f ca="1">IFERROR(__xludf.DUMMYFUNCTION("""COMPUTED_VALUE"""),30)</f>
        <v>30</v>
      </c>
      <c r="J636" s="13">
        <f ca="1">IFERROR(__xludf.DUMMYFUNCTION("""COMPUTED_VALUE"""),9)</f>
        <v>9</v>
      </c>
      <c r="K636" s="13">
        <f ca="1">IFERROR(__xludf.DUMMYFUNCTION("""COMPUTED_VALUE"""),2025)</f>
        <v>2025</v>
      </c>
      <c r="L636" s="15">
        <f ca="1"/>
        <v>45930</v>
      </c>
    </row>
    <row r="637" spans="1:12">
      <c r="A637" s="12" t="str">
        <f ca="1">IFERROR(__xludf.DUMMYFUNCTION("""COMPUTED_VALUE"""),"19-09-2025")</f>
        <v>19-09-2025</v>
      </c>
      <c r="B637" s="13" t="str">
        <f ca="1">IFERROR(__xludf.DUMMYFUNCTION("""COMPUTED_VALUE"""),"Jakarta")</f>
        <v>Jakarta</v>
      </c>
      <c r="C637" s="13" t="str">
        <f ca="1">IFERROR(__xludf.DUMMYFUNCTION("""COMPUTED_VALUE"""),"P05")</f>
        <v>P05</v>
      </c>
      <c r="D637" s="13">
        <f ca="1">IFERROR(__xludf.DUMMYFUNCTION("""COMPUTED_VALUE"""),1)</f>
        <v>1</v>
      </c>
      <c r="E637" s="14">
        <f ca="1">IFERROR(__xludf.DUMMYFUNCTION("""COMPUTED_VALUE"""),25000)</f>
        <v>25000</v>
      </c>
      <c r="F637" s="14">
        <f ca="1">IFERROR(__xludf.DUMMYFUNCTION("""COMPUTED_VALUE"""),25000)</f>
        <v>25000</v>
      </c>
      <c r="G637" s="13" t="str">
        <f ca="1"/>
        <v>Mocha</v>
      </c>
      <c r="H637" s="13" t="str">
        <f ca="1"/>
        <v>Chocolate</v>
      </c>
      <c r="I637" s="13">
        <f ca="1">IFERROR(__xludf.DUMMYFUNCTION("""COMPUTED_VALUE"""),19)</f>
        <v>19</v>
      </c>
      <c r="J637" s="13">
        <f ca="1">IFERROR(__xludf.DUMMYFUNCTION("""COMPUTED_VALUE"""),9)</f>
        <v>9</v>
      </c>
      <c r="K637" s="13">
        <f ca="1">IFERROR(__xludf.DUMMYFUNCTION("""COMPUTED_VALUE"""),2025)</f>
        <v>2025</v>
      </c>
      <c r="L637" s="15">
        <f ca="1"/>
        <v>45919</v>
      </c>
    </row>
    <row r="638" spans="1:12">
      <c r="A638" s="12" t="str">
        <f ca="1">IFERROR(__xludf.DUMMYFUNCTION("""COMPUTED_VALUE"""),"28-09-2025")</f>
        <v>28-09-2025</v>
      </c>
      <c r="B638" s="13" t="str">
        <f ca="1">IFERROR(__xludf.DUMMYFUNCTION("""COMPUTED_VALUE"""),"Jakarta")</f>
        <v>Jakarta</v>
      </c>
      <c r="C638" s="13" t="str">
        <f ca="1">IFERROR(__xludf.DUMMYFUNCTION("""COMPUTED_VALUE"""),"P05")</f>
        <v>P05</v>
      </c>
      <c r="D638" s="13">
        <f ca="1">IFERROR(__xludf.DUMMYFUNCTION("""COMPUTED_VALUE"""),3)</f>
        <v>3</v>
      </c>
      <c r="E638" s="14">
        <f ca="1">IFERROR(__xludf.DUMMYFUNCTION("""COMPUTED_VALUE"""),35000)</f>
        <v>35000</v>
      </c>
      <c r="F638" s="14">
        <f ca="1">IFERROR(__xludf.DUMMYFUNCTION("""COMPUTED_VALUE"""),105000)</f>
        <v>105000</v>
      </c>
      <c r="G638" s="13" t="str">
        <f ca="1"/>
        <v>Mocha</v>
      </c>
      <c r="H638" s="13" t="str">
        <f ca="1"/>
        <v>Chocolate</v>
      </c>
      <c r="I638" s="13">
        <f ca="1">IFERROR(__xludf.DUMMYFUNCTION("""COMPUTED_VALUE"""),28)</f>
        <v>28</v>
      </c>
      <c r="J638" s="13">
        <f ca="1">IFERROR(__xludf.DUMMYFUNCTION("""COMPUTED_VALUE"""),9)</f>
        <v>9</v>
      </c>
      <c r="K638" s="13">
        <f ca="1">IFERROR(__xludf.DUMMYFUNCTION("""COMPUTED_VALUE"""),2025)</f>
        <v>2025</v>
      </c>
      <c r="L638" s="15">
        <f ca="1"/>
        <v>45928</v>
      </c>
    </row>
    <row r="639" spans="1:12">
      <c r="A639" s="12" t="str">
        <f ca="1">IFERROR(__xludf.DUMMYFUNCTION("""COMPUTED_VALUE"""),"25-09-2025")</f>
        <v>25-09-2025</v>
      </c>
      <c r="B639" s="13" t="str">
        <f ca="1">IFERROR(__xludf.DUMMYFUNCTION("""COMPUTED_VALUE"""),"Jakarta")</f>
        <v>Jakarta</v>
      </c>
      <c r="C639" s="13" t="str">
        <f ca="1">IFERROR(__xludf.DUMMYFUNCTION("""COMPUTED_VALUE"""),"P05")</f>
        <v>P05</v>
      </c>
      <c r="D639" s="13">
        <f ca="1">IFERROR(__xludf.DUMMYFUNCTION("""COMPUTED_VALUE"""),1)</f>
        <v>1</v>
      </c>
      <c r="E639" s="14">
        <f ca="1">IFERROR(__xludf.DUMMYFUNCTION("""COMPUTED_VALUE"""),35000)</f>
        <v>35000</v>
      </c>
      <c r="F639" s="14">
        <f ca="1">IFERROR(__xludf.DUMMYFUNCTION("""COMPUTED_VALUE"""),35000)</f>
        <v>35000</v>
      </c>
      <c r="G639" s="13" t="str">
        <f ca="1"/>
        <v>Mocha</v>
      </c>
      <c r="H639" s="13" t="str">
        <f ca="1"/>
        <v>Chocolate</v>
      </c>
      <c r="I639" s="13">
        <f ca="1">IFERROR(__xludf.DUMMYFUNCTION("""COMPUTED_VALUE"""),25)</f>
        <v>25</v>
      </c>
      <c r="J639" s="13">
        <f ca="1">IFERROR(__xludf.DUMMYFUNCTION("""COMPUTED_VALUE"""),9)</f>
        <v>9</v>
      </c>
      <c r="K639" s="13">
        <f ca="1">IFERROR(__xludf.DUMMYFUNCTION("""COMPUTED_VALUE"""),2025)</f>
        <v>2025</v>
      </c>
      <c r="L639" s="15">
        <f ca="1"/>
        <v>45925</v>
      </c>
    </row>
    <row r="640" spans="1:12">
      <c r="A640" s="12" t="str">
        <f ca="1">IFERROR(__xludf.DUMMYFUNCTION("""COMPUTED_VALUE"""),"29-09-2025")</f>
        <v>29-09-2025</v>
      </c>
      <c r="B640" s="13" t="str">
        <f ca="1">IFERROR(__xludf.DUMMYFUNCTION("""COMPUTED_VALUE"""),"Jakarta")</f>
        <v>Jakarta</v>
      </c>
      <c r="C640" s="13" t="str">
        <f ca="1">IFERROR(__xludf.DUMMYFUNCTION("""COMPUTED_VALUE"""),"P01")</f>
        <v>P01</v>
      </c>
      <c r="D640" s="13">
        <f ca="1">IFERROR(__xludf.DUMMYFUNCTION("""COMPUTED_VALUE"""),5)</f>
        <v>5</v>
      </c>
      <c r="E640" s="14">
        <f ca="1">IFERROR(__xludf.DUMMYFUNCTION("""COMPUTED_VALUE"""),35000)</f>
        <v>35000</v>
      </c>
      <c r="F640" s="14">
        <f ca="1">IFERROR(__xludf.DUMMYFUNCTION("""COMPUTED_VALUE"""),175000)</f>
        <v>175000</v>
      </c>
      <c r="G640" s="13" t="str">
        <f ca="1"/>
        <v>Cappuccino</v>
      </c>
      <c r="H640" s="13" t="str">
        <f ca="1"/>
        <v>Coffee</v>
      </c>
      <c r="I640" s="13">
        <f ca="1">IFERROR(__xludf.DUMMYFUNCTION("""COMPUTED_VALUE"""),29)</f>
        <v>29</v>
      </c>
      <c r="J640" s="13">
        <f ca="1">IFERROR(__xludf.DUMMYFUNCTION("""COMPUTED_VALUE"""),9)</f>
        <v>9</v>
      </c>
      <c r="K640" s="13">
        <f ca="1">IFERROR(__xludf.DUMMYFUNCTION("""COMPUTED_VALUE"""),2025)</f>
        <v>2025</v>
      </c>
      <c r="L640" s="15">
        <f ca="1"/>
        <v>45929</v>
      </c>
    </row>
    <row r="641" spans="1:12">
      <c r="A641" s="12" t="str">
        <f ca="1">IFERROR(__xludf.DUMMYFUNCTION("""COMPUTED_VALUE"""),"28-09-2025")</f>
        <v>28-09-2025</v>
      </c>
      <c r="B641" s="13" t="str">
        <f ca="1">IFERROR(__xludf.DUMMYFUNCTION("""COMPUTED_VALUE"""),"Jakarta")</f>
        <v>Jakarta</v>
      </c>
      <c r="C641" s="13" t="str">
        <f ca="1">IFERROR(__xludf.DUMMYFUNCTION("""COMPUTED_VALUE"""),"P02")</f>
        <v>P02</v>
      </c>
      <c r="D641" s="13">
        <f ca="1">IFERROR(__xludf.DUMMYFUNCTION("""COMPUTED_VALUE"""),1)</f>
        <v>1</v>
      </c>
      <c r="E641" s="14">
        <f ca="1">IFERROR(__xludf.DUMMYFUNCTION("""COMPUTED_VALUE"""),30000)</f>
        <v>30000</v>
      </c>
      <c r="F641" s="14">
        <f ca="1">IFERROR(__xludf.DUMMYFUNCTION("""COMPUTED_VALUE"""),30000)</f>
        <v>30000</v>
      </c>
      <c r="G641" s="13" t="str">
        <f ca="1"/>
        <v>Latte</v>
      </c>
      <c r="H641" s="13" t="str">
        <f ca="1"/>
        <v>Coffee</v>
      </c>
      <c r="I641" s="13">
        <f ca="1">IFERROR(__xludf.DUMMYFUNCTION("""COMPUTED_VALUE"""),28)</f>
        <v>28</v>
      </c>
      <c r="J641" s="13">
        <f ca="1">IFERROR(__xludf.DUMMYFUNCTION("""COMPUTED_VALUE"""),9)</f>
        <v>9</v>
      </c>
      <c r="K641" s="13">
        <f ca="1">IFERROR(__xludf.DUMMYFUNCTION("""COMPUTED_VALUE"""),2025)</f>
        <v>2025</v>
      </c>
      <c r="L641" s="15">
        <f ca="1"/>
        <v>45928</v>
      </c>
    </row>
    <row r="642" spans="1:12">
      <c r="A642" s="12" t="str">
        <f ca="1">IFERROR(__xludf.DUMMYFUNCTION("""COMPUTED_VALUE"""),"29-09-2025")</f>
        <v>29-09-2025</v>
      </c>
      <c r="B642" s="13" t="str">
        <f ca="1">IFERROR(__xludf.DUMMYFUNCTION("""COMPUTED_VALUE"""),"Jakarta")</f>
        <v>Jakarta</v>
      </c>
      <c r="C642" s="13" t="str">
        <f ca="1">IFERROR(__xludf.DUMMYFUNCTION("""COMPUTED_VALUE"""),"P03")</f>
        <v>P03</v>
      </c>
      <c r="D642" s="13">
        <f ca="1">IFERROR(__xludf.DUMMYFUNCTION("""COMPUTED_VALUE"""),1)</f>
        <v>1</v>
      </c>
      <c r="E642" s="14">
        <f ca="1">IFERROR(__xludf.DUMMYFUNCTION("""COMPUTED_VALUE"""),20000)</f>
        <v>20000</v>
      </c>
      <c r="F642" s="14">
        <f ca="1">IFERROR(__xludf.DUMMYFUNCTION("""COMPUTED_VALUE"""),20000)</f>
        <v>20000</v>
      </c>
      <c r="G642" s="13" t="str">
        <f ca="1"/>
        <v>Espresso</v>
      </c>
      <c r="H642" s="13" t="str">
        <f ca="1"/>
        <v>Coffee</v>
      </c>
      <c r="I642" s="13">
        <f ca="1">IFERROR(__xludf.DUMMYFUNCTION("""COMPUTED_VALUE"""),29)</f>
        <v>29</v>
      </c>
      <c r="J642" s="13">
        <f ca="1">IFERROR(__xludf.DUMMYFUNCTION("""COMPUTED_VALUE"""),9)</f>
        <v>9</v>
      </c>
      <c r="K642" s="13">
        <f ca="1">IFERROR(__xludf.DUMMYFUNCTION("""COMPUTED_VALUE"""),2025)</f>
        <v>2025</v>
      </c>
      <c r="L642" s="15">
        <f ca="1"/>
        <v>45929</v>
      </c>
    </row>
    <row r="643" spans="1:12">
      <c r="A643" s="12" t="str">
        <f ca="1">IFERROR(__xludf.DUMMYFUNCTION("""COMPUTED_VALUE"""),"01-09-2025")</f>
        <v>01-09-2025</v>
      </c>
      <c r="B643" s="13" t="str">
        <f ca="1">IFERROR(__xludf.DUMMYFUNCTION("""COMPUTED_VALUE"""),"Jakarta")</f>
        <v>Jakarta</v>
      </c>
      <c r="C643" s="13" t="str">
        <f ca="1">IFERROR(__xludf.DUMMYFUNCTION("""COMPUTED_VALUE"""),"P04")</f>
        <v>P04</v>
      </c>
      <c r="D643" s="13">
        <f ca="1">IFERROR(__xludf.DUMMYFUNCTION("""COMPUTED_VALUE"""),2)</f>
        <v>2</v>
      </c>
      <c r="E643" s="14">
        <f ca="1">IFERROR(__xludf.DUMMYFUNCTION("""COMPUTED_VALUE"""),30000)</f>
        <v>30000</v>
      </c>
      <c r="F643" s="14">
        <f ca="1">IFERROR(__xludf.DUMMYFUNCTION("""COMPUTED_VALUE"""),60000)</f>
        <v>60000</v>
      </c>
      <c r="G643" s="13" t="str">
        <f ca="1"/>
        <v>Americano</v>
      </c>
      <c r="H643" s="13" t="str">
        <f ca="1"/>
        <v>Coffee</v>
      </c>
      <c r="I643" s="13">
        <f ca="1">IFERROR(__xludf.DUMMYFUNCTION("""COMPUTED_VALUE"""),1)</f>
        <v>1</v>
      </c>
      <c r="J643" s="13">
        <f ca="1">IFERROR(__xludf.DUMMYFUNCTION("""COMPUTED_VALUE"""),9)</f>
        <v>9</v>
      </c>
      <c r="K643" s="13">
        <f ca="1">IFERROR(__xludf.DUMMYFUNCTION("""COMPUTED_VALUE"""),2025)</f>
        <v>2025</v>
      </c>
      <c r="L643" s="15">
        <f ca="1"/>
        <v>45901</v>
      </c>
    </row>
    <row r="644" spans="1:12">
      <c r="A644" s="12" t="str">
        <f ca="1">IFERROR(__xludf.DUMMYFUNCTION("""COMPUTED_VALUE"""),"02-09-2025")</f>
        <v>02-09-2025</v>
      </c>
      <c r="B644" s="13" t="str">
        <f ca="1">IFERROR(__xludf.DUMMYFUNCTION("""COMPUTED_VALUE"""),"Jakarta")</f>
        <v>Jakarta</v>
      </c>
      <c r="C644" s="13" t="str">
        <f ca="1">IFERROR(__xludf.DUMMYFUNCTION("""COMPUTED_VALUE"""),"P05")</f>
        <v>P05</v>
      </c>
      <c r="D644" s="13">
        <f ca="1">IFERROR(__xludf.DUMMYFUNCTION("""COMPUTED_VALUE"""),2)</f>
        <v>2</v>
      </c>
      <c r="E644" s="14">
        <f ca="1">IFERROR(__xludf.DUMMYFUNCTION("""COMPUTED_VALUE"""),35000)</f>
        <v>35000</v>
      </c>
      <c r="F644" s="14">
        <f ca="1">IFERROR(__xludf.DUMMYFUNCTION("""COMPUTED_VALUE"""),70000)</f>
        <v>70000</v>
      </c>
      <c r="G644" s="13" t="str">
        <f ca="1"/>
        <v>Mocha</v>
      </c>
      <c r="H644" s="13" t="str">
        <f ca="1"/>
        <v>Chocolate</v>
      </c>
      <c r="I644" s="13">
        <f ca="1">IFERROR(__xludf.DUMMYFUNCTION("""COMPUTED_VALUE"""),2)</f>
        <v>2</v>
      </c>
      <c r="J644" s="13">
        <f ca="1">IFERROR(__xludf.DUMMYFUNCTION("""COMPUTED_VALUE"""),9)</f>
        <v>9</v>
      </c>
      <c r="K644" s="13">
        <f ca="1">IFERROR(__xludf.DUMMYFUNCTION("""COMPUTED_VALUE"""),2025)</f>
        <v>2025</v>
      </c>
      <c r="L644" s="15">
        <f ca="1"/>
        <v>45902</v>
      </c>
    </row>
    <row r="645" spans="1:12">
      <c r="A645" s="12" t="str">
        <f ca="1">IFERROR(__xludf.DUMMYFUNCTION("""COMPUTED_VALUE"""),"13-09-2025")</f>
        <v>13-09-2025</v>
      </c>
      <c r="B645" s="13" t="str">
        <f ca="1">IFERROR(__xludf.DUMMYFUNCTION("""COMPUTED_VALUE"""),"Jakarta")</f>
        <v>Jakarta</v>
      </c>
      <c r="C645" s="13" t="str">
        <f ca="1">IFERROR(__xludf.DUMMYFUNCTION("""COMPUTED_VALUE"""),"P01")</f>
        <v>P01</v>
      </c>
      <c r="D645" s="13">
        <f ca="1">IFERROR(__xludf.DUMMYFUNCTION("""COMPUTED_VALUE"""),5)</f>
        <v>5</v>
      </c>
      <c r="E645" s="14">
        <f ca="1">IFERROR(__xludf.DUMMYFUNCTION("""COMPUTED_VALUE"""),28000)</f>
        <v>28000</v>
      </c>
      <c r="F645" s="14">
        <f ca="1">IFERROR(__xludf.DUMMYFUNCTION("""COMPUTED_VALUE"""),140000)</f>
        <v>140000</v>
      </c>
      <c r="G645" s="13" t="str">
        <f ca="1"/>
        <v>Cappuccino</v>
      </c>
      <c r="H645" s="13" t="str">
        <f ca="1"/>
        <v>Coffee</v>
      </c>
      <c r="I645" s="13">
        <f ca="1">IFERROR(__xludf.DUMMYFUNCTION("""COMPUTED_VALUE"""),13)</f>
        <v>13</v>
      </c>
      <c r="J645" s="13">
        <f ca="1">IFERROR(__xludf.DUMMYFUNCTION("""COMPUTED_VALUE"""),9)</f>
        <v>9</v>
      </c>
      <c r="K645" s="13">
        <f ca="1">IFERROR(__xludf.DUMMYFUNCTION("""COMPUTED_VALUE"""),2025)</f>
        <v>2025</v>
      </c>
      <c r="L645" s="15">
        <f ca="1"/>
        <v>45913</v>
      </c>
    </row>
    <row r="646" spans="1:12">
      <c r="A646" s="12" t="str">
        <f ca="1">IFERROR(__xludf.DUMMYFUNCTION("""COMPUTED_VALUE"""),"24-09-2025")</f>
        <v>24-09-2025</v>
      </c>
      <c r="B646" s="13" t="str">
        <f ca="1">IFERROR(__xludf.DUMMYFUNCTION("""COMPUTED_VALUE"""),"Jakarta")</f>
        <v>Jakarta</v>
      </c>
      <c r="C646" s="13" t="str">
        <f ca="1">IFERROR(__xludf.DUMMYFUNCTION("""COMPUTED_VALUE"""),"P02")</f>
        <v>P02</v>
      </c>
      <c r="D646" s="13">
        <f ca="1">IFERROR(__xludf.DUMMYFUNCTION("""COMPUTED_VALUE"""),1)</f>
        <v>1</v>
      </c>
      <c r="E646" s="14">
        <f ca="1">IFERROR(__xludf.DUMMYFUNCTION("""COMPUTED_VALUE"""),25000)</f>
        <v>25000</v>
      </c>
      <c r="F646" s="14">
        <f ca="1">IFERROR(__xludf.DUMMYFUNCTION("""COMPUTED_VALUE"""),25000)</f>
        <v>25000</v>
      </c>
      <c r="G646" s="13" t="str">
        <f ca="1"/>
        <v>Latte</v>
      </c>
      <c r="H646" s="13" t="str">
        <f ca="1"/>
        <v>Coffee</v>
      </c>
      <c r="I646" s="13">
        <f ca="1">IFERROR(__xludf.DUMMYFUNCTION("""COMPUTED_VALUE"""),24)</f>
        <v>24</v>
      </c>
      <c r="J646" s="13">
        <f ca="1">IFERROR(__xludf.DUMMYFUNCTION("""COMPUTED_VALUE"""),9)</f>
        <v>9</v>
      </c>
      <c r="K646" s="13">
        <f ca="1">IFERROR(__xludf.DUMMYFUNCTION("""COMPUTED_VALUE"""),2025)</f>
        <v>2025</v>
      </c>
      <c r="L646" s="15">
        <f ca="1"/>
        <v>45924</v>
      </c>
    </row>
    <row r="647" spans="1:12">
      <c r="A647" s="12" t="str">
        <f ca="1">IFERROR(__xludf.DUMMYFUNCTION("""COMPUTED_VALUE"""),"03-09-2025")</f>
        <v>03-09-2025</v>
      </c>
      <c r="B647" s="13" t="str">
        <f ca="1">IFERROR(__xludf.DUMMYFUNCTION("""COMPUTED_VALUE"""),"Jakarta")</f>
        <v>Jakarta</v>
      </c>
      <c r="C647" s="13" t="str">
        <f ca="1">IFERROR(__xludf.DUMMYFUNCTION("""COMPUTED_VALUE"""),"P03")</f>
        <v>P03</v>
      </c>
      <c r="D647" s="13">
        <f ca="1">IFERROR(__xludf.DUMMYFUNCTION("""COMPUTED_VALUE"""),1)</f>
        <v>1</v>
      </c>
      <c r="E647" s="14">
        <f ca="1">IFERROR(__xludf.DUMMYFUNCTION("""COMPUTED_VALUE"""),35000)</f>
        <v>35000</v>
      </c>
      <c r="F647" s="14">
        <f ca="1">IFERROR(__xludf.DUMMYFUNCTION("""COMPUTED_VALUE"""),35000)</f>
        <v>35000</v>
      </c>
      <c r="G647" s="13" t="str">
        <f ca="1"/>
        <v>Espresso</v>
      </c>
      <c r="H647" s="13" t="str">
        <f ca="1"/>
        <v>Coffee</v>
      </c>
      <c r="I647" s="13">
        <f ca="1">IFERROR(__xludf.DUMMYFUNCTION("""COMPUTED_VALUE"""),3)</f>
        <v>3</v>
      </c>
      <c r="J647" s="13">
        <f ca="1">IFERROR(__xludf.DUMMYFUNCTION("""COMPUTED_VALUE"""),9)</f>
        <v>9</v>
      </c>
      <c r="K647" s="13">
        <f ca="1">IFERROR(__xludf.DUMMYFUNCTION("""COMPUTED_VALUE"""),2025)</f>
        <v>2025</v>
      </c>
      <c r="L647" s="15">
        <f ca="1"/>
        <v>45903</v>
      </c>
    </row>
    <row r="648" spans="1:12">
      <c r="A648" s="12" t="str">
        <f ca="1">IFERROR(__xludf.DUMMYFUNCTION("""COMPUTED_VALUE"""),"03-09-2025")</f>
        <v>03-09-2025</v>
      </c>
      <c r="B648" s="13" t="str">
        <f ca="1">IFERROR(__xludf.DUMMYFUNCTION("""COMPUTED_VALUE"""),"Jakarta")</f>
        <v>Jakarta</v>
      </c>
      <c r="C648" s="13" t="str">
        <f ca="1">IFERROR(__xludf.DUMMYFUNCTION("""COMPUTED_VALUE"""),"P04")</f>
        <v>P04</v>
      </c>
      <c r="D648" s="13">
        <f ca="1">IFERROR(__xludf.DUMMYFUNCTION("""COMPUTED_VALUE"""),2)</f>
        <v>2</v>
      </c>
      <c r="E648" s="14">
        <f ca="1">IFERROR(__xludf.DUMMYFUNCTION("""COMPUTED_VALUE"""),28000)</f>
        <v>28000</v>
      </c>
      <c r="F648" s="14">
        <f ca="1">IFERROR(__xludf.DUMMYFUNCTION("""COMPUTED_VALUE"""),56000)</f>
        <v>56000</v>
      </c>
      <c r="G648" s="13" t="str">
        <f ca="1"/>
        <v>Americano</v>
      </c>
      <c r="H648" s="13" t="str">
        <f ca="1"/>
        <v>Coffee</v>
      </c>
      <c r="I648" s="13">
        <f ca="1">IFERROR(__xludf.DUMMYFUNCTION("""COMPUTED_VALUE"""),3)</f>
        <v>3</v>
      </c>
      <c r="J648" s="13">
        <f ca="1">IFERROR(__xludf.DUMMYFUNCTION("""COMPUTED_VALUE"""),9)</f>
        <v>9</v>
      </c>
      <c r="K648" s="13">
        <f ca="1">IFERROR(__xludf.DUMMYFUNCTION("""COMPUTED_VALUE"""),2025)</f>
        <v>2025</v>
      </c>
      <c r="L648" s="15">
        <f ca="1"/>
        <v>45903</v>
      </c>
    </row>
    <row r="649" spans="1:12">
      <c r="A649" s="12" t="str">
        <f ca="1">IFERROR(__xludf.DUMMYFUNCTION("""COMPUTED_VALUE"""),"01-09-2025")</f>
        <v>01-09-2025</v>
      </c>
      <c r="B649" s="13" t="str">
        <f ca="1">IFERROR(__xludf.DUMMYFUNCTION("""COMPUTED_VALUE"""),"Jakarta")</f>
        <v>Jakarta</v>
      </c>
      <c r="C649" s="13" t="str">
        <f ca="1">IFERROR(__xludf.DUMMYFUNCTION("""COMPUTED_VALUE"""),"P05")</f>
        <v>P05</v>
      </c>
      <c r="D649" s="13">
        <f ca="1">IFERROR(__xludf.DUMMYFUNCTION("""COMPUTED_VALUE"""),3)</f>
        <v>3</v>
      </c>
      <c r="E649" s="14">
        <f ca="1">IFERROR(__xludf.DUMMYFUNCTION("""COMPUTED_VALUE"""),28000)</f>
        <v>28000</v>
      </c>
      <c r="F649" s="14">
        <f ca="1">IFERROR(__xludf.DUMMYFUNCTION("""COMPUTED_VALUE"""),84000)</f>
        <v>84000</v>
      </c>
      <c r="G649" s="13" t="str">
        <f ca="1"/>
        <v>Mocha</v>
      </c>
      <c r="H649" s="13" t="str">
        <f ca="1"/>
        <v>Chocolate</v>
      </c>
      <c r="I649" s="13">
        <f ca="1">IFERROR(__xludf.DUMMYFUNCTION("""COMPUTED_VALUE"""),1)</f>
        <v>1</v>
      </c>
      <c r="J649" s="13">
        <f ca="1">IFERROR(__xludf.DUMMYFUNCTION("""COMPUTED_VALUE"""),9)</f>
        <v>9</v>
      </c>
      <c r="K649" s="13">
        <f ca="1">IFERROR(__xludf.DUMMYFUNCTION("""COMPUTED_VALUE"""),2025)</f>
        <v>2025</v>
      </c>
      <c r="L649" s="15">
        <f ca="1"/>
        <v>45901</v>
      </c>
    </row>
    <row r="650" spans="1:12">
      <c r="A650" s="12" t="str">
        <f ca="1">IFERROR(__xludf.DUMMYFUNCTION("""COMPUTED_VALUE"""),"20-09-2025")</f>
        <v>20-09-2025</v>
      </c>
      <c r="B650" s="13" t="str">
        <f ca="1">IFERROR(__xludf.DUMMYFUNCTION("""COMPUTED_VALUE"""),"Jakarta")</f>
        <v>Jakarta</v>
      </c>
      <c r="C650" s="13" t="str">
        <f ca="1">IFERROR(__xludf.DUMMYFUNCTION("""COMPUTED_VALUE"""),"P01")</f>
        <v>P01</v>
      </c>
      <c r="D650" s="13">
        <f ca="1">IFERROR(__xludf.DUMMYFUNCTION("""COMPUTED_VALUE"""),1)</f>
        <v>1</v>
      </c>
      <c r="E650" s="14">
        <f ca="1">IFERROR(__xludf.DUMMYFUNCTION("""COMPUTED_VALUE"""),25000)</f>
        <v>25000</v>
      </c>
      <c r="F650" s="14">
        <f ca="1">IFERROR(__xludf.DUMMYFUNCTION("""COMPUTED_VALUE"""),25000)</f>
        <v>25000</v>
      </c>
      <c r="G650" s="13" t="str">
        <f ca="1"/>
        <v>Cappuccino</v>
      </c>
      <c r="H650" s="13" t="str">
        <f ca="1"/>
        <v>Coffee</v>
      </c>
      <c r="I650" s="13">
        <f ca="1">IFERROR(__xludf.DUMMYFUNCTION("""COMPUTED_VALUE"""),20)</f>
        <v>20</v>
      </c>
      <c r="J650" s="13">
        <f ca="1">IFERROR(__xludf.DUMMYFUNCTION("""COMPUTED_VALUE"""),9)</f>
        <v>9</v>
      </c>
      <c r="K650" s="13">
        <f ca="1">IFERROR(__xludf.DUMMYFUNCTION("""COMPUTED_VALUE"""),2025)</f>
        <v>2025</v>
      </c>
      <c r="L650" s="15">
        <f ca="1"/>
        <v>45920</v>
      </c>
    </row>
    <row r="651" spans="1:12">
      <c r="A651" s="12" t="str">
        <f ca="1">IFERROR(__xludf.DUMMYFUNCTION("""COMPUTED_VALUE"""),"27-09-2025")</f>
        <v>27-09-2025</v>
      </c>
      <c r="B651" s="13" t="str">
        <f ca="1">IFERROR(__xludf.DUMMYFUNCTION("""COMPUTED_VALUE"""),"Jakarta")</f>
        <v>Jakarta</v>
      </c>
      <c r="C651" s="13" t="str">
        <f ca="1">IFERROR(__xludf.DUMMYFUNCTION("""COMPUTED_VALUE"""),"P02")</f>
        <v>P02</v>
      </c>
      <c r="D651" s="13">
        <f ca="1">IFERROR(__xludf.DUMMYFUNCTION("""COMPUTED_VALUE"""),2)</f>
        <v>2</v>
      </c>
      <c r="E651" s="14">
        <f ca="1">IFERROR(__xludf.DUMMYFUNCTION("""COMPUTED_VALUE"""),30000)</f>
        <v>30000</v>
      </c>
      <c r="F651" s="14">
        <f ca="1">IFERROR(__xludf.DUMMYFUNCTION("""COMPUTED_VALUE"""),60000)</f>
        <v>60000</v>
      </c>
      <c r="G651" s="13" t="str">
        <f ca="1"/>
        <v>Latte</v>
      </c>
      <c r="H651" s="13" t="str">
        <f ca="1"/>
        <v>Coffee</v>
      </c>
      <c r="I651" s="13">
        <f ca="1">IFERROR(__xludf.DUMMYFUNCTION("""COMPUTED_VALUE"""),27)</f>
        <v>27</v>
      </c>
      <c r="J651" s="13">
        <f ca="1">IFERROR(__xludf.DUMMYFUNCTION("""COMPUTED_VALUE"""),9)</f>
        <v>9</v>
      </c>
      <c r="K651" s="13">
        <f ca="1">IFERROR(__xludf.DUMMYFUNCTION("""COMPUTED_VALUE"""),2025)</f>
        <v>2025</v>
      </c>
      <c r="L651" s="15">
        <f ca="1"/>
        <v>45927</v>
      </c>
    </row>
    <row r="652" spans="1:12">
      <c r="A652" s="12" t="str">
        <f ca="1">IFERROR(__xludf.DUMMYFUNCTION("""COMPUTED_VALUE"""),"03-09-2025")</f>
        <v>03-09-2025</v>
      </c>
      <c r="B652" s="13" t="str">
        <f ca="1">IFERROR(__xludf.DUMMYFUNCTION("""COMPUTED_VALUE"""),"Jakarta")</f>
        <v>Jakarta</v>
      </c>
      <c r="C652" s="13" t="str">
        <f ca="1">IFERROR(__xludf.DUMMYFUNCTION("""COMPUTED_VALUE"""),"P03")</f>
        <v>P03</v>
      </c>
      <c r="D652" s="13">
        <f ca="1">IFERROR(__xludf.DUMMYFUNCTION("""COMPUTED_VALUE"""),1)</f>
        <v>1</v>
      </c>
      <c r="E652" s="14">
        <f ca="1">IFERROR(__xludf.DUMMYFUNCTION("""COMPUTED_VALUE"""),30000)</f>
        <v>30000</v>
      </c>
      <c r="F652" s="14">
        <f ca="1">IFERROR(__xludf.DUMMYFUNCTION("""COMPUTED_VALUE"""),30000)</f>
        <v>30000</v>
      </c>
      <c r="G652" s="13" t="str">
        <f ca="1"/>
        <v>Espresso</v>
      </c>
      <c r="H652" s="13" t="str">
        <f ca="1"/>
        <v>Coffee</v>
      </c>
      <c r="I652" s="13">
        <f ca="1">IFERROR(__xludf.DUMMYFUNCTION("""COMPUTED_VALUE"""),3)</f>
        <v>3</v>
      </c>
      <c r="J652" s="13">
        <f ca="1">IFERROR(__xludf.DUMMYFUNCTION("""COMPUTED_VALUE"""),9)</f>
        <v>9</v>
      </c>
      <c r="K652" s="13">
        <f ca="1">IFERROR(__xludf.DUMMYFUNCTION("""COMPUTED_VALUE"""),2025)</f>
        <v>2025</v>
      </c>
      <c r="L652" s="15">
        <f ca="1"/>
        <v>45903</v>
      </c>
    </row>
    <row r="653" spans="1:12">
      <c r="A653" s="12" t="str">
        <f ca="1">IFERROR(__xludf.DUMMYFUNCTION("""COMPUTED_VALUE"""),"17-09-2025")</f>
        <v>17-09-2025</v>
      </c>
      <c r="B653" s="13" t="str">
        <f ca="1">IFERROR(__xludf.DUMMYFUNCTION("""COMPUTED_VALUE"""),"Jakarta")</f>
        <v>Jakarta</v>
      </c>
      <c r="C653" s="13" t="str">
        <f ca="1">IFERROR(__xludf.DUMMYFUNCTION("""COMPUTED_VALUE"""),"P04")</f>
        <v>P04</v>
      </c>
      <c r="D653" s="13">
        <f ca="1">IFERROR(__xludf.DUMMYFUNCTION("""COMPUTED_VALUE"""),1)</f>
        <v>1</v>
      </c>
      <c r="E653" s="14">
        <f ca="1">IFERROR(__xludf.DUMMYFUNCTION("""COMPUTED_VALUE"""),35000)</f>
        <v>35000</v>
      </c>
      <c r="F653" s="14">
        <f ca="1">IFERROR(__xludf.DUMMYFUNCTION("""COMPUTED_VALUE"""),35000)</f>
        <v>35000</v>
      </c>
      <c r="G653" s="13" t="str">
        <f ca="1"/>
        <v>Americano</v>
      </c>
      <c r="H653" s="13" t="str">
        <f ca="1"/>
        <v>Coffee</v>
      </c>
      <c r="I653" s="13">
        <f ca="1">IFERROR(__xludf.DUMMYFUNCTION("""COMPUTED_VALUE"""),17)</f>
        <v>17</v>
      </c>
      <c r="J653" s="13">
        <f ca="1">IFERROR(__xludf.DUMMYFUNCTION("""COMPUTED_VALUE"""),9)</f>
        <v>9</v>
      </c>
      <c r="K653" s="13">
        <f ca="1">IFERROR(__xludf.DUMMYFUNCTION("""COMPUTED_VALUE"""),2025)</f>
        <v>2025</v>
      </c>
      <c r="L653" s="15">
        <f ca="1"/>
        <v>45917</v>
      </c>
    </row>
    <row r="654" spans="1:12">
      <c r="A654" s="12" t="str">
        <f ca="1">IFERROR(__xludf.DUMMYFUNCTION("""COMPUTED_VALUE"""),"27-09-2025")</f>
        <v>27-09-2025</v>
      </c>
      <c r="B654" s="13" t="str">
        <f ca="1">IFERROR(__xludf.DUMMYFUNCTION("""COMPUTED_VALUE"""),"Jakarta")</f>
        <v>Jakarta</v>
      </c>
      <c r="C654" s="13" t="str">
        <f ca="1">IFERROR(__xludf.DUMMYFUNCTION("""COMPUTED_VALUE"""),"P05")</f>
        <v>P05</v>
      </c>
      <c r="D654" s="13">
        <f ca="1">IFERROR(__xludf.DUMMYFUNCTION("""COMPUTED_VALUE"""),3)</f>
        <v>3</v>
      </c>
      <c r="E654" s="14">
        <f ca="1">IFERROR(__xludf.DUMMYFUNCTION("""COMPUTED_VALUE"""),30000)</f>
        <v>30000</v>
      </c>
      <c r="F654" s="14">
        <f ca="1">IFERROR(__xludf.DUMMYFUNCTION("""COMPUTED_VALUE"""),90000)</f>
        <v>90000</v>
      </c>
      <c r="G654" s="13" t="str">
        <f ca="1"/>
        <v>Mocha</v>
      </c>
      <c r="H654" s="13" t="str">
        <f ca="1"/>
        <v>Chocolate</v>
      </c>
      <c r="I654" s="13">
        <f ca="1">IFERROR(__xludf.DUMMYFUNCTION("""COMPUTED_VALUE"""),27)</f>
        <v>27</v>
      </c>
      <c r="J654" s="13">
        <f ca="1">IFERROR(__xludf.DUMMYFUNCTION("""COMPUTED_VALUE"""),9)</f>
        <v>9</v>
      </c>
      <c r="K654" s="13">
        <f ca="1">IFERROR(__xludf.DUMMYFUNCTION("""COMPUTED_VALUE"""),2025)</f>
        <v>2025</v>
      </c>
      <c r="L654" s="15">
        <f ca="1"/>
        <v>45927</v>
      </c>
    </row>
    <row r="655" spans="1:12">
      <c r="A655" s="12" t="str">
        <f ca="1">IFERROR(__xludf.DUMMYFUNCTION("""COMPUTED_VALUE"""),"29-09-2025")</f>
        <v>29-09-2025</v>
      </c>
      <c r="B655" s="13" t="str">
        <f ca="1">IFERROR(__xludf.DUMMYFUNCTION("""COMPUTED_VALUE"""),"Jakarta")</f>
        <v>Jakarta</v>
      </c>
      <c r="C655" s="13" t="str">
        <f ca="1">IFERROR(__xludf.DUMMYFUNCTION("""COMPUTED_VALUE"""),"P01")</f>
        <v>P01</v>
      </c>
      <c r="D655" s="13">
        <f ca="1">IFERROR(__xludf.DUMMYFUNCTION("""COMPUTED_VALUE"""),1)</f>
        <v>1</v>
      </c>
      <c r="E655" s="14">
        <f ca="1">IFERROR(__xludf.DUMMYFUNCTION("""COMPUTED_VALUE"""),20000)</f>
        <v>20000</v>
      </c>
      <c r="F655" s="14">
        <f ca="1">IFERROR(__xludf.DUMMYFUNCTION("""COMPUTED_VALUE"""),20000)</f>
        <v>20000</v>
      </c>
      <c r="G655" s="13" t="str">
        <f ca="1"/>
        <v>Cappuccino</v>
      </c>
      <c r="H655" s="13" t="str">
        <f ca="1"/>
        <v>Coffee</v>
      </c>
      <c r="I655" s="13">
        <f ca="1">IFERROR(__xludf.DUMMYFUNCTION("""COMPUTED_VALUE"""),29)</f>
        <v>29</v>
      </c>
      <c r="J655" s="13">
        <f ca="1">IFERROR(__xludf.DUMMYFUNCTION("""COMPUTED_VALUE"""),9)</f>
        <v>9</v>
      </c>
      <c r="K655" s="13">
        <f ca="1">IFERROR(__xludf.DUMMYFUNCTION("""COMPUTED_VALUE"""),2025)</f>
        <v>2025</v>
      </c>
      <c r="L655" s="15">
        <f ca="1"/>
        <v>45929</v>
      </c>
    </row>
    <row r="656" spans="1:12">
      <c r="A656" s="12" t="str">
        <f ca="1">IFERROR(__xludf.DUMMYFUNCTION("""COMPUTED_VALUE"""),"23-09-2025")</f>
        <v>23-09-2025</v>
      </c>
      <c r="B656" s="13" t="str">
        <f ca="1">IFERROR(__xludf.DUMMYFUNCTION("""COMPUTED_VALUE"""),"Jakarta")</f>
        <v>Jakarta</v>
      </c>
      <c r="C656" s="13" t="str">
        <f ca="1">IFERROR(__xludf.DUMMYFUNCTION("""COMPUTED_VALUE"""),"P02")</f>
        <v>P02</v>
      </c>
      <c r="D656" s="13">
        <f ca="1">IFERROR(__xludf.DUMMYFUNCTION("""COMPUTED_VALUE"""),2)</f>
        <v>2</v>
      </c>
      <c r="E656" s="14">
        <f ca="1">IFERROR(__xludf.DUMMYFUNCTION("""COMPUTED_VALUE"""),35000)</f>
        <v>35000</v>
      </c>
      <c r="F656" s="14">
        <f ca="1">IFERROR(__xludf.DUMMYFUNCTION("""COMPUTED_VALUE"""),70000)</f>
        <v>70000</v>
      </c>
      <c r="G656" s="13" t="str">
        <f ca="1"/>
        <v>Latte</v>
      </c>
      <c r="H656" s="13" t="str">
        <f ca="1"/>
        <v>Coffee</v>
      </c>
      <c r="I656" s="13">
        <f ca="1">IFERROR(__xludf.DUMMYFUNCTION("""COMPUTED_VALUE"""),23)</f>
        <v>23</v>
      </c>
      <c r="J656" s="13">
        <f ca="1">IFERROR(__xludf.DUMMYFUNCTION("""COMPUTED_VALUE"""),9)</f>
        <v>9</v>
      </c>
      <c r="K656" s="13">
        <f ca="1">IFERROR(__xludf.DUMMYFUNCTION("""COMPUTED_VALUE"""),2025)</f>
        <v>2025</v>
      </c>
      <c r="L656" s="15">
        <f ca="1"/>
        <v>45923</v>
      </c>
    </row>
    <row r="657" spans="1:12">
      <c r="A657" s="12" t="str">
        <f ca="1">IFERROR(__xludf.DUMMYFUNCTION("""COMPUTED_VALUE"""),"20-09-2025")</f>
        <v>20-09-2025</v>
      </c>
      <c r="B657" s="13" t="str">
        <f ca="1">IFERROR(__xludf.DUMMYFUNCTION("""COMPUTED_VALUE"""),"Jakarta")</f>
        <v>Jakarta</v>
      </c>
      <c r="C657" s="13" t="str">
        <f ca="1">IFERROR(__xludf.DUMMYFUNCTION("""COMPUTED_VALUE"""),"P03")</f>
        <v>P03</v>
      </c>
      <c r="D657" s="13">
        <f ca="1">IFERROR(__xludf.DUMMYFUNCTION("""COMPUTED_VALUE"""),1)</f>
        <v>1</v>
      </c>
      <c r="E657" s="14">
        <f ca="1">IFERROR(__xludf.DUMMYFUNCTION("""COMPUTED_VALUE"""),25000)</f>
        <v>25000</v>
      </c>
      <c r="F657" s="14">
        <f ca="1">IFERROR(__xludf.DUMMYFUNCTION("""COMPUTED_VALUE"""),25000)</f>
        <v>25000</v>
      </c>
      <c r="G657" s="13" t="str">
        <f ca="1"/>
        <v>Espresso</v>
      </c>
      <c r="H657" s="13" t="str">
        <f ca="1"/>
        <v>Coffee</v>
      </c>
      <c r="I657" s="13">
        <f ca="1">IFERROR(__xludf.DUMMYFUNCTION("""COMPUTED_VALUE"""),20)</f>
        <v>20</v>
      </c>
      <c r="J657" s="13">
        <f ca="1">IFERROR(__xludf.DUMMYFUNCTION("""COMPUTED_VALUE"""),9)</f>
        <v>9</v>
      </c>
      <c r="K657" s="13">
        <f ca="1">IFERROR(__xludf.DUMMYFUNCTION("""COMPUTED_VALUE"""),2025)</f>
        <v>2025</v>
      </c>
      <c r="L657" s="15">
        <f ca="1"/>
        <v>45920</v>
      </c>
    </row>
    <row r="658" spans="1:12">
      <c r="A658" s="12" t="str">
        <f ca="1">IFERROR(__xludf.DUMMYFUNCTION("""COMPUTED_VALUE"""),"01-09-2025")</f>
        <v>01-09-2025</v>
      </c>
      <c r="B658" s="13" t="str">
        <f ca="1">IFERROR(__xludf.DUMMYFUNCTION("""COMPUTED_VALUE"""),"Jakarta")</f>
        <v>Jakarta</v>
      </c>
      <c r="C658" s="13" t="str">
        <f ca="1">IFERROR(__xludf.DUMMYFUNCTION("""COMPUTED_VALUE"""),"P04")</f>
        <v>P04</v>
      </c>
      <c r="D658" s="13">
        <f ca="1">IFERROR(__xludf.DUMMYFUNCTION("""COMPUTED_VALUE"""),5)</f>
        <v>5</v>
      </c>
      <c r="E658" s="14">
        <f ca="1">IFERROR(__xludf.DUMMYFUNCTION("""COMPUTED_VALUE"""),20000)</f>
        <v>20000</v>
      </c>
      <c r="F658" s="14">
        <f ca="1">IFERROR(__xludf.DUMMYFUNCTION("""COMPUTED_VALUE"""),100000)</f>
        <v>100000</v>
      </c>
      <c r="G658" s="13" t="str">
        <f ca="1"/>
        <v>Americano</v>
      </c>
      <c r="H658" s="13" t="str">
        <f ca="1"/>
        <v>Coffee</v>
      </c>
      <c r="I658" s="13">
        <f ca="1">IFERROR(__xludf.DUMMYFUNCTION("""COMPUTED_VALUE"""),1)</f>
        <v>1</v>
      </c>
      <c r="J658" s="13">
        <f ca="1">IFERROR(__xludf.DUMMYFUNCTION("""COMPUTED_VALUE"""),9)</f>
        <v>9</v>
      </c>
      <c r="K658" s="13">
        <f ca="1">IFERROR(__xludf.DUMMYFUNCTION("""COMPUTED_VALUE"""),2025)</f>
        <v>2025</v>
      </c>
      <c r="L658" s="15">
        <f ca="1"/>
        <v>45901</v>
      </c>
    </row>
    <row r="659" spans="1:12">
      <c r="A659" s="12" t="str">
        <f ca="1">IFERROR(__xludf.DUMMYFUNCTION("""COMPUTED_VALUE"""),"06-09-2025")</f>
        <v>06-09-2025</v>
      </c>
      <c r="B659" s="13" t="str">
        <f ca="1">IFERROR(__xludf.DUMMYFUNCTION("""COMPUTED_VALUE"""),"Jakarta")</f>
        <v>Jakarta</v>
      </c>
      <c r="C659" s="13" t="str">
        <f ca="1">IFERROR(__xludf.DUMMYFUNCTION("""COMPUTED_VALUE"""),"P05")</f>
        <v>P05</v>
      </c>
      <c r="D659" s="13">
        <f ca="1">IFERROR(__xludf.DUMMYFUNCTION("""COMPUTED_VALUE"""),1)</f>
        <v>1</v>
      </c>
      <c r="E659" s="14">
        <f ca="1">IFERROR(__xludf.DUMMYFUNCTION("""COMPUTED_VALUE"""),30000)</f>
        <v>30000</v>
      </c>
      <c r="F659" s="14">
        <f ca="1">IFERROR(__xludf.DUMMYFUNCTION("""COMPUTED_VALUE"""),30000)</f>
        <v>30000</v>
      </c>
      <c r="G659" s="13" t="str">
        <f ca="1"/>
        <v>Mocha</v>
      </c>
      <c r="H659" s="13" t="str">
        <f ca="1"/>
        <v>Chocolate</v>
      </c>
      <c r="I659" s="13">
        <f ca="1">IFERROR(__xludf.DUMMYFUNCTION("""COMPUTED_VALUE"""),6)</f>
        <v>6</v>
      </c>
      <c r="J659" s="13">
        <f ca="1">IFERROR(__xludf.DUMMYFUNCTION("""COMPUTED_VALUE"""),9)</f>
        <v>9</v>
      </c>
      <c r="K659" s="13">
        <f ca="1">IFERROR(__xludf.DUMMYFUNCTION("""COMPUTED_VALUE"""),2025)</f>
        <v>2025</v>
      </c>
      <c r="L659" s="15">
        <f ca="1"/>
        <v>45906</v>
      </c>
    </row>
    <row r="660" spans="1:12">
      <c r="A660" s="12" t="str">
        <f ca="1">IFERROR(__xludf.DUMMYFUNCTION("""COMPUTED_VALUE"""),"28-09-2025")</f>
        <v>28-09-2025</v>
      </c>
      <c r="B660" s="13" t="str">
        <f ca="1">IFERROR(__xludf.DUMMYFUNCTION("""COMPUTED_VALUE"""),"Jakarta")</f>
        <v>Jakarta</v>
      </c>
      <c r="C660" s="13" t="str">
        <f ca="1">IFERROR(__xludf.DUMMYFUNCTION("""COMPUTED_VALUE"""),"P03")</f>
        <v>P03</v>
      </c>
      <c r="D660" s="13">
        <f ca="1">IFERROR(__xludf.DUMMYFUNCTION("""COMPUTED_VALUE"""),5)</f>
        <v>5</v>
      </c>
      <c r="E660" s="14">
        <f ca="1">IFERROR(__xludf.DUMMYFUNCTION("""COMPUTED_VALUE"""),25000)</f>
        <v>25000</v>
      </c>
      <c r="F660" s="14">
        <f ca="1">IFERROR(__xludf.DUMMYFUNCTION("""COMPUTED_VALUE"""),125000)</f>
        <v>125000</v>
      </c>
      <c r="G660" s="13" t="str">
        <f ca="1"/>
        <v>Espresso</v>
      </c>
      <c r="H660" s="13" t="str">
        <f ca="1"/>
        <v>Coffee</v>
      </c>
      <c r="I660" s="13">
        <f ca="1">IFERROR(__xludf.DUMMYFUNCTION("""COMPUTED_VALUE"""),28)</f>
        <v>28</v>
      </c>
      <c r="J660" s="13">
        <f ca="1">IFERROR(__xludf.DUMMYFUNCTION("""COMPUTED_VALUE"""),9)</f>
        <v>9</v>
      </c>
      <c r="K660" s="13">
        <f ca="1">IFERROR(__xludf.DUMMYFUNCTION("""COMPUTED_VALUE"""),2025)</f>
        <v>2025</v>
      </c>
      <c r="L660" s="15">
        <f ca="1"/>
        <v>45928</v>
      </c>
    </row>
    <row r="661" spans="1:12">
      <c r="A661" s="12" t="str">
        <f ca="1">IFERROR(__xludf.DUMMYFUNCTION("""COMPUTED_VALUE"""),"29-09-2025")</f>
        <v>29-09-2025</v>
      </c>
      <c r="B661" s="13" t="str">
        <f ca="1">IFERROR(__xludf.DUMMYFUNCTION("""COMPUTED_VALUE"""),"Jakarta")</f>
        <v>Jakarta</v>
      </c>
      <c r="C661" s="13" t="str">
        <f ca="1">IFERROR(__xludf.DUMMYFUNCTION("""COMPUTED_VALUE"""),"P04")</f>
        <v>P04</v>
      </c>
      <c r="D661" s="13">
        <f ca="1">IFERROR(__xludf.DUMMYFUNCTION("""COMPUTED_VALUE"""),1)</f>
        <v>1</v>
      </c>
      <c r="E661" s="14">
        <f ca="1">IFERROR(__xludf.DUMMYFUNCTION("""COMPUTED_VALUE"""),20000)</f>
        <v>20000</v>
      </c>
      <c r="F661" s="14">
        <f ca="1">IFERROR(__xludf.DUMMYFUNCTION("""COMPUTED_VALUE"""),20000)</f>
        <v>20000</v>
      </c>
      <c r="G661" s="13" t="str">
        <f ca="1"/>
        <v>Americano</v>
      </c>
      <c r="H661" s="13" t="str">
        <f ca="1"/>
        <v>Coffee</v>
      </c>
      <c r="I661" s="13">
        <f ca="1">IFERROR(__xludf.DUMMYFUNCTION("""COMPUTED_VALUE"""),29)</f>
        <v>29</v>
      </c>
      <c r="J661" s="13">
        <f ca="1">IFERROR(__xludf.DUMMYFUNCTION("""COMPUTED_VALUE"""),9)</f>
        <v>9</v>
      </c>
      <c r="K661" s="13">
        <f ca="1">IFERROR(__xludf.DUMMYFUNCTION("""COMPUTED_VALUE"""),2025)</f>
        <v>2025</v>
      </c>
      <c r="L661" s="15">
        <f ca="1"/>
        <v>45929</v>
      </c>
    </row>
    <row r="662" spans="1:12">
      <c r="A662" s="12" t="str">
        <f ca="1">IFERROR(__xludf.DUMMYFUNCTION("""COMPUTED_VALUE"""),"12-09-2025")</f>
        <v>12-09-2025</v>
      </c>
      <c r="B662" s="13" t="str">
        <f ca="1">IFERROR(__xludf.DUMMYFUNCTION("""COMPUTED_VALUE"""),"Jakarta")</f>
        <v>Jakarta</v>
      </c>
      <c r="C662" s="13" t="str">
        <f ca="1">IFERROR(__xludf.DUMMYFUNCTION("""COMPUTED_VALUE"""),"P05")</f>
        <v>P05</v>
      </c>
      <c r="D662" s="13">
        <f ca="1">IFERROR(__xludf.DUMMYFUNCTION("""COMPUTED_VALUE"""),1)</f>
        <v>1</v>
      </c>
      <c r="E662" s="14">
        <f ca="1">IFERROR(__xludf.DUMMYFUNCTION("""COMPUTED_VALUE"""),28000)</f>
        <v>28000</v>
      </c>
      <c r="F662" s="14">
        <f ca="1">IFERROR(__xludf.DUMMYFUNCTION("""COMPUTED_VALUE"""),28000)</f>
        <v>28000</v>
      </c>
      <c r="G662" s="13" t="str">
        <f ca="1"/>
        <v>Mocha</v>
      </c>
      <c r="H662" s="13" t="str">
        <f ca="1"/>
        <v>Chocolate</v>
      </c>
      <c r="I662" s="13">
        <f ca="1">IFERROR(__xludf.DUMMYFUNCTION("""COMPUTED_VALUE"""),12)</f>
        <v>12</v>
      </c>
      <c r="J662" s="13">
        <f ca="1">IFERROR(__xludf.DUMMYFUNCTION("""COMPUTED_VALUE"""),9)</f>
        <v>9</v>
      </c>
      <c r="K662" s="13">
        <f ca="1">IFERROR(__xludf.DUMMYFUNCTION("""COMPUTED_VALUE"""),2025)</f>
        <v>2025</v>
      </c>
      <c r="L662" s="15">
        <f ca="1"/>
        <v>45912</v>
      </c>
    </row>
    <row r="663" spans="1:12">
      <c r="A663" s="12" t="str">
        <f ca="1">IFERROR(__xludf.DUMMYFUNCTION("""COMPUTED_VALUE"""),"14-09-2025")</f>
        <v>14-09-2025</v>
      </c>
      <c r="B663" s="13" t="str">
        <f ca="1">IFERROR(__xludf.DUMMYFUNCTION("""COMPUTED_VALUE"""),"Jakarta")</f>
        <v>Jakarta</v>
      </c>
      <c r="C663" s="13" t="str">
        <f ca="1">IFERROR(__xludf.DUMMYFUNCTION("""COMPUTED_VALUE"""),"P01")</f>
        <v>P01</v>
      </c>
      <c r="D663" s="13">
        <f ca="1">IFERROR(__xludf.DUMMYFUNCTION("""COMPUTED_VALUE"""),2)</f>
        <v>2</v>
      </c>
      <c r="E663" s="14">
        <f ca="1">IFERROR(__xludf.DUMMYFUNCTION("""COMPUTED_VALUE"""),25000)</f>
        <v>25000</v>
      </c>
      <c r="F663" s="14">
        <f ca="1">IFERROR(__xludf.DUMMYFUNCTION("""COMPUTED_VALUE"""),50000)</f>
        <v>50000</v>
      </c>
      <c r="G663" s="13" t="str">
        <f ca="1"/>
        <v>Cappuccino</v>
      </c>
      <c r="H663" s="13" t="str">
        <f ca="1"/>
        <v>Coffee</v>
      </c>
      <c r="I663" s="13">
        <f ca="1">IFERROR(__xludf.DUMMYFUNCTION("""COMPUTED_VALUE"""),14)</f>
        <v>14</v>
      </c>
      <c r="J663" s="13">
        <f ca="1">IFERROR(__xludf.DUMMYFUNCTION("""COMPUTED_VALUE"""),9)</f>
        <v>9</v>
      </c>
      <c r="K663" s="13">
        <f ca="1">IFERROR(__xludf.DUMMYFUNCTION("""COMPUTED_VALUE"""),2025)</f>
        <v>2025</v>
      </c>
      <c r="L663" s="15">
        <f ca="1"/>
        <v>45914</v>
      </c>
    </row>
    <row r="664" spans="1:12">
      <c r="A664" s="12" t="str">
        <f ca="1">IFERROR(__xludf.DUMMYFUNCTION("""COMPUTED_VALUE"""),"03-09-2025")</f>
        <v>03-09-2025</v>
      </c>
      <c r="B664" s="13" t="str">
        <f ca="1">IFERROR(__xludf.DUMMYFUNCTION("""COMPUTED_VALUE"""),"Jakarta")</f>
        <v>Jakarta</v>
      </c>
      <c r="C664" s="13" t="str">
        <f ca="1">IFERROR(__xludf.DUMMYFUNCTION("""COMPUTED_VALUE"""),"P02")</f>
        <v>P02</v>
      </c>
      <c r="D664" s="13">
        <f ca="1">IFERROR(__xludf.DUMMYFUNCTION("""COMPUTED_VALUE"""),1)</f>
        <v>1</v>
      </c>
      <c r="E664" s="14">
        <f ca="1">IFERROR(__xludf.DUMMYFUNCTION("""COMPUTED_VALUE"""),35000)</f>
        <v>35000</v>
      </c>
      <c r="F664" s="14">
        <f ca="1">IFERROR(__xludf.DUMMYFUNCTION("""COMPUTED_VALUE"""),35000)</f>
        <v>35000</v>
      </c>
      <c r="G664" s="13" t="str">
        <f ca="1"/>
        <v>Latte</v>
      </c>
      <c r="H664" s="13" t="str">
        <f ca="1"/>
        <v>Coffee</v>
      </c>
      <c r="I664" s="13">
        <f ca="1">IFERROR(__xludf.DUMMYFUNCTION("""COMPUTED_VALUE"""),3)</f>
        <v>3</v>
      </c>
      <c r="J664" s="13">
        <f ca="1">IFERROR(__xludf.DUMMYFUNCTION("""COMPUTED_VALUE"""),9)</f>
        <v>9</v>
      </c>
      <c r="K664" s="13">
        <f ca="1">IFERROR(__xludf.DUMMYFUNCTION("""COMPUTED_VALUE"""),2025)</f>
        <v>2025</v>
      </c>
      <c r="L664" s="15">
        <f ca="1"/>
        <v>45903</v>
      </c>
    </row>
    <row r="665" spans="1:12">
      <c r="A665" s="12" t="str">
        <f ca="1">IFERROR(__xludf.DUMMYFUNCTION("""COMPUTED_VALUE"""),"01-09-2025")</f>
        <v>01-09-2025</v>
      </c>
      <c r="B665" s="13" t="str">
        <f ca="1">IFERROR(__xludf.DUMMYFUNCTION("""COMPUTED_VALUE"""),"Jakarta")</f>
        <v>Jakarta</v>
      </c>
      <c r="C665" s="13" t="str">
        <f ca="1">IFERROR(__xludf.DUMMYFUNCTION("""COMPUTED_VALUE"""),"P03")</f>
        <v>P03</v>
      </c>
      <c r="D665" s="13">
        <f ca="1">IFERROR(__xludf.DUMMYFUNCTION("""COMPUTED_VALUE"""),3)</f>
        <v>3</v>
      </c>
      <c r="E665" s="14">
        <f ca="1">IFERROR(__xludf.DUMMYFUNCTION("""COMPUTED_VALUE"""),25000)</f>
        <v>25000</v>
      </c>
      <c r="F665" s="14">
        <f ca="1">IFERROR(__xludf.DUMMYFUNCTION("""COMPUTED_VALUE"""),75000)</f>
        <v>75000</v>
      </c>
      <c r="G665" s="13" t="str">
        <f ca="1"/>
        <v>Espresso</v>
      </c>
      <c r="H665" s="13" t="str">
        <f ca="1"/>
        <v>Coffee</v>
      </c>
      <c r="I665" s="13">
        <f ca="1">IFERROR(__xludf.DUMMYFUNCTION("""COMPUTED_VALUE"""),1)</f>
        <v>1</v>
      </c>
      <c r="J665" s="13">
        <f ca="1">IFERROR(__xludf.DUMMYFUNCTION("""COMPUTED_VALUE"""),9)</f>
        <v>9</v>
      </c>
      <c r="K665" s="13">
        <f ca="1">IFERROR(__xludf.DUMMYFUNCTION("""COMPUTED_VALUE"""),2025)</f>
        <v>2025</v>
      </c>
      <c r="L665" s="15">
        <f ca="1"/>
        <v>45901</v>
      </c>
    </row>
    <row r="666" spans="1:12">
      <c r="A666" s="12" t="str">
        <f ca="1">IFERROR(__xludf.DUMMYFUNCTION("""COMPUTED_VALUE"""),"08-09-2025")</f>
        <v>08-09-2025</v>
      </c>
      <c r="B666" s="13" t="str">
        <f ca="1">IFERROR(__xludf.DUMMYFUNCTION("""COMPUTED_VALUE"""),"Jakarta")</f>
        <v>Jakarta</v>
      </c>
      <c r="C666" s="13" t="str">
        <f ca="1">IFERROR(__xludf.DUMMYFUNCTION("""COMPUTED_VALUE"""),"P04")</f>
        <v>P04</v>
      </c>
      <c r="D666" s="13">
        <f ca="1">IFERROR(__xludf.DUMMYFUNCTION("""COMPUTED_VALUE"""),4)</f>
        <v>4</v>
      </c>
      <c r="E666" s="14">
        <f ca="1">IFERROR(__xludf.DUMMYFUNCTION("""COMPUTED_VALUE"""),30000)</f>
        <v>30000</v>
      </c>
      <c r="F666" s="14">
        <f ca="1">IFERROR(__xludf.DUMMYFUNCTION("""COMPUTED_VALUE"""),120000)</f>
        <v>120000</v>
      </c>
      <c r="G666" s="13" t="str">
        <f ca="1"/>
        <v>Americano</v>
      </c>
      <c r="H666" s="13" t="str">
        <f ca="1"/>
        <v>Coffee</v>
      </c>
      <c r="I666" s="13">
        <f ca="1">IFERROR(__xludf.DUMMYFUNCTION("""COMPUTED_VALUE"""),8)</f>
        <v>8</v>
      </c>
      <c r="J666" s="13">
        <f ca="1">IFERROR(__xludf.DUMMYFUNCTION("""COMPUTED_VALUE"""),9)</f>
        <v>9</v>
      </c>
      <c r="K666" s="13">
        <f ca="1">IFERROR(__xludf.DUMMYFUNCTION("""COMPUTED_VALUE"""),2025)</f>
        <v>2025</v>
      </c>
      <c r="L666" s="15">
        <f ca="1"/>
        <v>45908</v>
      </c>
    </row>
    <row r="667" spans="1:12">
      <c r="A667" s="12" t="str">
        <f ca="1">IFERROR(__xludf.DUMMYFUNCTION("""COMPUTED_VALUE"""),"25-09-2025")</f>
        <v>25-09-2025</v>
      </c>
      <c r="B667" s="13" t="str">
        <f ca="1">IFERROR(__xludf.DUMMYFUNCTION("""COMPUTED_VALUE"""),"Jakarta")</f>
        <v>Jakarta</v>
      </c>
      <c r="C667" s="13" t="str">
        <f ca="1">IFERROR(__xludf.DUMMYFUNCTION("""COMPUTED_VALUE"""),"P05")</f>
        <v>P05</v>
      </c>
      <c r="D667" s="13">
        <f ca="1">IFERROR(__xludf.DUMMYFUNCTION("""COMPUTED_VALUE"""),5)</f>
        <v>5</v>
      </c>
      <c r="E667" s="14">
        <f ca="1">IFERROR(__xludf.DUMMYFUNCTION("""COMPUTED_VALUE"""),35000)</f>
        <v>35000</v>
      </c>
      <c r="F667" s="14">
        <f ca="1">IFERROR(__xludf.DUMMYFUNCTION("""COMPUTED_VALUE"""),175000)</f>
        <v>175000</v>
      </c>
      <c r="G667" s="13" t="str">
        <f ca="1"/>
        <v>Mocha</v>
      </c>
      <c r="H667" s="13" t="str">
        <f ca="1"/>
        <v>Chocolate</v>
      </c>
      <c r="I667" s="13">
        <f ca="1">IFERROR(__xludf.DUMMYFUNCTION("""COMPUTED_VALUE"""),25)</f>
        <v>25</v>
      </c>
      <c r="J667" s="13">
        <f ca="1">IFERROR(__xludf.DUMMYFUNCTION("""COMPUTED_VALUE"""),9)</f>
        <v>9</v>
      </c>
      <c r="K667" s="13">
        <f ca="1">IFERROR(__xludf.DUMMYFUNCTION("""COMPUTED_VALUE"""),2025)</f>
        <v>2025</v>
      </c>
      <c r="L667" s="15">
        <f ca="1"/>
        <v>45925</v>
      </c>
    </row>
    <row r="668" spans="1:12">
      <c r="A668" s="12" t="str">
        <f ca="1">IFERROR(__xludf.DUMMYFUNCTION("""COMPUTED_VALUE"""),"01-09-2025")</f>
        <v>01-09-2025</v>
      </c>
      <c r="B668" s="13" t="str">
        <f ca="1">IFERROR(__xludf.DUMMYFUNCTION("""COMPUTED_VALUE"""),"Jakarta")</f>
        <v>Jakarta</v>
      </c>
      <c r="C668" s="13" t="str">
        <f ca="1">IFERROR(__xludf.DUMMYFUNCTION("""COMPUTED_VALUE"""),"P01")</f>
        <v>P01</v>
      </c>
      <c r="D668" s="13">
        <f ca="1">IFERROR(__xludf.DUMMYFUNCTION("""COMPUTED_VALUE"""),3)</f>
        <v>3</v>
      </c>
      <c r="E668" s="14">
        <f ca="1">IFERROR(__xludf.DUMMYFUNCTION("""COMPUTED_VALUE"""),28000)</f>
        <v>28000</v>
      </c>
      <c r="F668" s="14">
        <f ca="1">IFERROR(__xludf.DUMMYFUNCTION("""COMPUTED_VALUE"""),84000)</f>
        <v>84000</v>
      </c>
      <c r="G668" s="13" t="str">
        <f ca="1"/>
        <v>Cappuccino</v>
      </c>
      <c r="H668" s="13" t="str">
        <f ca="1"/>
        <v>Coffee</v>
      </c>
      <c r="I668" s="13">
        <f ca="1">IFERROR(__xludf.DUMMYFUNCTION("""COMPUTED_VALUE"""),1)</f>
        <v>1</v>
      </c>
      <c r="J668" s="13">
        <f ca="1">IFERROR(__xludf.DUMMYFUNCTION("""COMPUTED_VALUE"""),9)</f>
        <v>9</v>
      </c>
      <c r="K668" s="13">
        <f ca="1">IFERROR(__xludf.DUMMYFUNCTION("""COMPUTED_VALUE"""),2025)</f>
        <v>2025</v>
      </c>
      <c r="L668" s="15">
        <f ca="1"/>
        <v>45901</v>
      </c>
    </row>
    <row r="669" spans="1:12">
      <c r="A669" s="12" t="str">
        <f ca="1">IFERROR(__xludf.DUMMYFUNCTION("""COMPUTED_VALUE"""),"21-09-2025")</f>
        <v>21-09-2025</v>
      </c>
      <c r="B669" s="13" t="str">
        <f ca="1">IFERROR(__xludf.DUMMYFUNCTION("""COMPUTED_VALUE"""),"Jakarta")</f>
        <v>Jakarta</v>
      </c>
      <c r="C669" s="13" t="str">
        <f ca="1">IFERROR(__xludf.DUMMYFUNCTION("""COMPUTED_VALUE"""),"P02")</f>
        <v>P02</v>
      </c>
      <c r="D669" s="13">
        <f ca="1">IFERROR(__xludf.DUMMYFUNCTION("""COMPUTED_VALUE"""),3)</f>
        <v>3</v>
      </c>
      <c r="E669" s="14">
        <f ca="1">IFERROR(__xludf.DUMMYFUNCTION("""COMPUTED_VALUE"""),20000)</f>
        <v>20000</v>
      </c>
      <c r="F669" s="14">
        <f ca="1">IFERROR(__xludf.DUMMYFUNCTION("""COMPUTED_VALUE"""),60000)</f>
        <v>60000</v>
      </c>
      <c r="G669" s="13" t="str">
        <f ca="1"/>
        <v>Latte</v>
      </c>
      <c r="H669" s="13" t="str">
        <f ca="1"/>
        <v>Coffee</v>
      </c>
      <c r="I669" s="13">
        <f ca="1">IFERROR(__xludf.DUMMYFUNCTION("""COMPUTED_VALUE"""),21)</f>
        <v>21</v>
      </c>
      <c r="J669" s="13">
        <f ca="1">IFERROR(__xludf.DUMMYFUNCTION("""COMPUTED_VALUE"""),9)</f>
        <v>9</v>
      </c>
      <c r="K669" s="13">
        <f ca="1">IFERROR(__xludf.DUMMYFUNCTION("""COMPUTED_VALUE"""),2025)</f>
        <v>2025</v>
      </c>
      <c r="L669" s="15">
        <f ca="1"/>
        <v>45921</v>
      </c>
    </row>
    <row r="670" spans="1:12">
      <c r="A670" s="12" t="str">
        <f ca="1">IFERROR(__xludf.DUMMYFUNCTION("""COMPUTED_VALUE"""),"13-09-2025")</f>
        <v>13-09-2025</v>
      </c>
      <c r="B670" s="13" t="str">
        <f ca="1">IFERROR(__xludf.DUMMYFUNCTION("""COMPUTED_VALUE"""),"Jakarta")</f>
        <v>Jakarta</v>
      </c>
      <c r="C670" s="13" t="str">
        <f ca="1">IFERROR(__xludf.DUMMYFUNCTION("""COMPUTED_VALUE"""),"P03")</f>
        <v>P03</v>
      </c>
      <c r="D670" s="13">
        <f ca="1">IFERROR(__xludf.DUMMYFUNCTION("""COMPUTED_VALUE"""),1)</f>
        <v>1</v>
      </c>
      <c r="E670" s="14">
        <f ca="1">IFERROR(__xludf.DUMMYFUNCTION("""COMPUTED_VALUE"""),30000)</f>
        <v>30000</v>
      </c>
      <c r="F670" s="14">
        <f ca="1">IFERROR(__xludf.DUMMYFUNCTION("""COMPUTED_VALUE"""),30000)</f>
        <v>30000</v>
      </c>
      <c r="G670" s="13" t="str">
        <f ca="1"/>
        <v>Espresso</v>
      </c>
      <c r="H670" s="13" t="str">
        <f ca="1"/>
        <v>Coffee</v>
      </c>
      <c r="I670" s="13">
        <f ca="1">IFERROR(__xludf.DUMMYFUNCTION("""COMPUTED_VALUE"""),13)</f>
        <v>13</v>
      </c>
      <c r="J670" s="13">
        <f ca="1">IFERROR(__xludf.DUMMYFUNCTION("""COMPUTED_VALUE"""),9)</f>
        <v>9</v>
      </c>
      <c r="K670" s="13">
        <f ca="1">IFERROR(__xludf.DUMMYFUNCTION("""COMPUTED_VALUE"""),2025)</f>
        <v>2025</v>
      </c>
      <c r="L670" s="15">
        <f ca="1"/>
        <v>45913</v>
      </c>
    </row>
    <row r="671" spans="1:12">
      <c r="A671" s="12" t="str">
        <f ca="1">IFERROR(__xludf.DUMMYFUNCTION("""COMPUTED_VALUE"""),"07-09-2025")</f>
        <v>07-09-2025</v>
      </c>
      <c r="B671" s="13" t="str">
        <f ca="1">IFERROR(__xludf.DUMMYFUNCTION("""COMPUTED_VALUE"""),"Jakarta")</f>
        <v>Jakarta</v>
      </c>
      <c r="C671" s="13" t="str">
        <f ca="1">IFERROR(__xludf.DUMMYFUNCTION("""COMPUTED_VALUE"""),"P04")</f>
        <v>P04</v>
      </c>
      <c r="D671" s="13">
        <f ca="1">IFERROR(__xludf.DUMMYFUNCTION("""COMPUTED_VALUE"""),5)</f>
        <v>5</v>
      </c>
      <c r="E671" s="14">
        <f ca="1">IFERROR(__xludf.DUMMYFUNCTION("""COMPUTED_VALUE"""),28000)</f>
        <v>28000</v>
      </c>
      <c r="F671" s="14">
        <f ca="1">IFERROR(__xludf.DUMMYFUNCTION("""COMPUTED_VALUE"""),140000)</f>
        <v>140000</v>
      </c>
      <c r="G671" s="13" t="str">
        <f ca="1"/>
        <v>Americano</v>
      </c>
      <c r="H671" s="13" t="str">
        <f ca="1"/>
        <v>Coffee</v>
      </c>
      <c r="I671" s="13">
        <f ca="1">IFERROR(__xludf.DUMMYFUNCTION("""COMPUTED_VALUE"""),7)</f>
        <v>7</v>
      </c>
      <c r="J671" s="13">
        <f ca="1">IFERROR(__xludf.DUMMYFUNCTION("""COMPUTED_VALUE"""),9)</f>
        <v>9</v>
      </c>
      <c r="K671" s="13">
        <f ca="1">IFERROR(__xludf.DUMMYFUNCTION("""COMPUTED_VALUE"""),2025)</f>
        <v>2025</v>
      </c>
      <c r="L671" s="15">
        <f ca="1"/>
        <v>45907</v>
      </c>
    </row>
    <row r="672" spans="1:12">
      <c r="A672" s="12" t="str">
        <f ca="1">IFERROR(__xludf.DUMMYFUNCTION("""COMPUTED_VALUE"""),"20-09-2025")</f>
        <v>20-09-2025</v>
      </c>
      <c r="B672" s="13" t="str">
        <f ca="1">IFERROR(__xludf.DUMMYFUNCTION("""COMPUTED_VALUE"""),"Jakarta")</f>
        <v>Jakarta</v>
      </c>
      <c r="C672" s="13" t="str">
        <f ca="1">IFERROR(__xludf.DUMMYFUNCTION("""COMPUTED_VALUE"""),"P05")</f>
        <v>P05</v>
      </c>
      <c r="D672" s="13">
        <f ca="1">IFERROR(__xludf.DUMMYFUNCTION("""COMPUTED_VALUE"""),1)</f>
        <v>1</v>
      </c>
      <c r="E672" s="14">
        <f ca="1">IFERROR(__xludf.DUMMYFUNCTION("""COMPUTED_VALUE"""),20000)</f>
        <v>20000</v>
      </c>
      <c r="F672" s="14">
        <f ca="1">IFERROR(__xludf.DUMMYFUNCTION("""COMPUTED_VALUE"""),20000)</f>
        <v>20000</v>
      </c>
      <c r="G672" s="13" t="str">
        <f ca="1"/>
        <v>Mocha</v>
      </c>
      <c r="H672" s="13" t="str">
        <f ca="1"/>
        <v>Chocolate</v>
      </c>
      <c r="I672" s="13">
        <f ca="1">IFERROR(__xludf.DUMMYFUNCTION("""COMPUTED_VALUE"""),20)</f>
        <v>20</v>
      </c>
      <c r="J672" s="13">
        <f ca="1">IFERROR(__xludf.DUMMYFUNCTION("""COMPUTED_VALUE"""),9)</f>
        <v>9</v>
      </c>
      <c r="K672" s="13">
        <f ca="1">IFERROR(__xludf.DUMMYFUNCTION("""COMPUTED_VALUE"""),2025)</f>
        <v>2025</v>
      </c>
      <c r="L672" s="15">
        <f ca="1"/>
        <v>45920</v>
      </c>
    </row>
    <row r="673" spans="1:12">
      <c r="A673" s="12" t="str">
        <f ca="1">IFERROR(__xludf.DUMMYFUNCTION("""COMPUTED_VALUE"""),"05-09-2025")</f>
        <v>05-09-2025</v>
      </c>
      <c r="B673" s="13" t="str">
        <f ca="1">IFERROR(__xludf.DUMMYFUNCTION("""COMPUTED_VALUE"""),"Jakarta")</f>
        <v>Jakarta</v>
      </c>
      <c r="C673" s="13" t="str">
        <f ca="1">IFERROR(__xludf.DUMMYFUNCTION("""COMPUTED_VALUE"""),"P04")</f>
        <v>P04</v>
      </c>
      <c r="D673" s="13">
        <f ca="1">IFERROR(__xludf.DUMMYFUNCTION("""COMPUTED_VALUE"""),1)</f>
        <v>1</v>
      </c>
      <c r="E673" s="14">
        <f ca="1">IFERROR(__xludf.DUMMYFUNCTION("""COMPUTED_VALUE"""),35000)</f>
        <v>35000</v>
      </c>
      <c r="F673" s="14">
        <f ca="1">IFERROR(__xludf.DUMMYFUNCTION("""COMPUTED_VALUE"""),35000)</f>
        <v>35000</v>
      </c>
      <c r="G673" s="13" t="str">
        <f ca="1"/>
        <v>Americano</v>
      </c>
      <c r="H673" s="13" t="str">
        <f ca="1"/>
        <v>Coffee</v>
      </c>
      <c r="I673" s="13">
        <f ca="1">IFERROR(__xludf.DUMMYFUNCTION("""COMPUTED_VALUE"""),5)</f>
        <v>5</v>
      </c>
      <c r="J673" s="13">
        <f ca="1">IFERROR(__xludf.DUMMYFUNCTION("""COMPUTED_VALUE"""),9)</f>
        <v>9</v>
      </c>
      <c r="K673" s="13">
        <f ca="1">IFERROR(__xludf.DUMMYFUNCTION("""COMPUTED_VALUE"""),2025)</f>
        <v>2025</v>
      </c>
      <c r="L673" s="15">
        <f ca="1"/>
        <v>45905</v>
      </c>
    </row>
    <row r="674" spans="1:12">
      <c r="A674" s="12" t="str">
        <f ca="1">IFERROR(__xludf.DUMMYFUNCTION("""COMPUTED_VALUE"""),"25-09-2025")</f>
        <v>25-09-2025</v>
      </c>
      <c r="B674" s="13" t="str">
        <f ca="1">IFERROR(__xludf.DUMMYFUNCTION("""COMPUTED_VALUE"""),"Jakarta")</f>
        <v>Jakarta</v>
      </c>
      <c r="C674" s="13" t="str">
        <f ca="1">IFERROR(__xludf.DUMMYFUNCTION("""COMPUTED_VALUE"""),"P05")</f>
        <v>P05</v>
      </c>
      <c r="D674" s="13">
        <f ca="1">IFERROR(__xludf.DUMMYFUNCTION("""COMPUTED_VALUE"""),4)</f>
        <v>4</v>
      </c>
      <c r="E674" s="14">
        <f ca="1">IFERROR(__xludf.DUMMYFUNCTION("""COMPUTED_VALUE"""),28000)</f>
        <v>28000</v>
      </c>
      <c r="F674" s="14">
        <f ca="1">IFERROR(__xludf.DUMMYFUNCTION("""COMPUTED_VALUE"""),112000)</f>
        <v>112000</v>
      </c>
      <c r="G674" s="13" t="str">
        <f ca="1"/>
        <v>Mocha</v>
      </c>
      <c r="H674" s="13" t="str">
        <f ca="1"/>
        <v>Chocolate</v>
      </c>
      <c r="I674" s="13">
        <f ca="1">IFERROR(__xludf.DUMMYFUNCTION("""COMPUTED_VALUE"""),25)</f>
        <v>25</v>
      </c>
      <c r="J674" s="13">
        <f ca="1">IFERROR(__xludf.DUMMYFUNCTION("""COMPUTED_VALUE"""),9)</f>
        <v>9</v>
      </c>
      <c r="K674" s="13">
        <f ca="1">IFERROR(__xludf.DUMMYFUNCTION("""COMPUTED_VALUE"""),2025)</f>
        <v>2025</v>
      </c>
      <c r="L674" s="15">
        <f ca="1"/>
        <v>45925</v>
      </c>
    </row>
    <row r="675" spans="1:12">
      <c r="A675" s="12" t="str">
        <f ca="1">IFERROR(__xludf.DUMMYFUNCTION("""COMPUTED_VALUE"""),"08-09-2025")</f>
        <v>08-09-2025</v>
      </c>
      <c r="B675" s="13" t="str">
        <f ca="1">IFERROR(__xludf.DUMMYFUNCTION("""COMPUTED_VALUE"""),"Jakarta")</f>
        <v>Jakarta</v>
      </c>
      <c r="C675" s="13" t="str">
        <f ca="1">IFERROR(__xludf.DUMMYFUNCTION("""COMPUTED_VALUE"""),"P01")</f>
        <v>P01</v>
      </c>
      <c r="D675" s="13">
        <f ca="1">IFERROR(__xludf.DUMMYFUNCTION("""COMPUTED_VALUE"""),5)</f>
        <v>5</v>
      </c>
      <c r="E675" s="14">
        <f ca="1">IFERROR(__xludf.DUMMYFUNCTION("""COMPUTED_VALUE"""),25000)</f>
        <v>25000</v>
      </c>
      <c r="F675" s="14">
        <f ca="1">IFERROR(__xludf.DUMMYFUNCTION("""COMPUTED_VALUE"""),125000)</f>
        <v>125000</v>
      </c>
      <c r="G675" s="13" t="str">
        <f ca="1"/>
        <v>Cappuccino</v>
      </c>
      <c r="H675" s="13" t="str">
        <f ca="1"/>
        <v>Coffee</v>
      </c>
      <c r="I675" s="13">
        <f ca="1">IFERROR(__xludf.DUMMYFUNCTION("""COMPUTED_VALUE"""),8)</f>
        <v>8</v>
      </c>
      <c r="J675" s="13">
        <f ca="1">IFERROR(__xludf.DUMMYFUNCTION("""COMPUTED_VALUE"""),9)</f>
        <v>9</v>
      </c>
      <c r="K675" s="13">
        <f ca="1">IFERROR(__xludf.DUMMYFUNCTION("""COMPUTED_VALUE"""),2025)</f>
        <v>2025</v>
      </c>
      <c r="L675" s="15">
        <f ca="1"/>
        <v>45908</v>
      </c>
    </row>
    <row r="676" spans="1:12">
      <c r="A676" s="12" t="str">
        <f ca="1">IFERROR(__xludf.DUMMYFUNCTION("""COMPUTED_VALUE"""),"29-09-2025")</f>
        <v>29-09-2025</v>
      </c>
      <c r="B676" s="13" t="str">
        <f ca="1">IFERROR(__xludf.DUMMYFUNCTION("""COMPUTED_VALUE"""),"Jakarta")</f>
        <v>Jakarta</v>
      </c>
      <c r="C676" s="13" t="str">
        <f ca="1">IFERROR(__xludf.DUMMYFUNCTION("""COMPUTED_VALUE"""),"P02")</f>
        <v>P02</v>
      </c>
      <c r="D676" s="13">
        <f ca="1">IFERROR(__xludf.DUMMYFUNCTION("""COMPUTED_VALUE"""),1)</f>
        <v>1</v>
      </c>
      <c r="E676" s="14">
        <f ca="1">IFERROR(__xludf.DUMMYFUNCTION("""COMPUTED_VALUE"""),25000)</f>
        <v>25000</v>
      </c>
      <c r="F676" s="14">
        <f ca="1">IFERROR(__xludf.DUMMYFUNCTION("""COMPUTED_VALUE"""),25000)</f>
        <v>25000</v>
      </c>
      <c r="G676" s="13" t="str">
        <f ca="1"/>
        <v>Latte</v>
      </c>
      <c r="H676" s="13" t="str">
        <f ca="1"/>
        <v>Coffee</v>
      </c>
      <c r="I676" s="13">
        <f ca="1">IFERROR(__xludf.DUMMYFUNCTION("""COMPUTED_VALUE"""),29)</f>
        <v>29</v>
      </c>
      <c r="J676" s="13">
        <f ca="1">IFERROR(__xludf.DUMMYFUNCTION("""COMPUTED_VALUE"""),9)</f>
        <v>9</v>
      </c>
      <c r="K676" s="13">
        <f ca="1">IFERROR(__xludf.DUMMYFUNCTION("""COMPUTED_VALUE"""),2025)</f>
        <v>2025</v>
      </c>
      <c r="L676" s="15">
        <f ca="1"/>
        <v>45929</v>
      </c>
    </row>
    <row r="677" spans="1:12">
      <c r="A677" s="12" t="str">
        <f ca="1">IFERROR(__xludf.DUMMYFUNCTION("""COMPUTED_VALUE"""),"26-09-2025")</f>
        <v>26-09-2025</v>
      </c>
      <c r="B677" s="13" t="str">
        <f ca="1">IFERROR(__xludf.DUMMYFUNCTION("""COMPUTED_VALUE"""),"Jakarta")</f>
        <v>Jakarta</v>
      </c>
      <c r="C677" s="13" t="str">
        <f ca="1">IFERROR(__xludf.DUMMYFUNCTION("""COMPUTED_VALUE"""),"P03")</f>
        <v>P03</v>
      </c>
      <c r="D677" s="13">
        <f ca="1">IFERROR(__xludf.DUMMYFUNCTION("""COMPUTED_VALUE"""),3)</f>
        <v>3</v>
      </c>
      <c r="E677" s="14">
        <f ca="1">IFERROR(__xludf.DUMMYFUNCTION("""COMPUTED_VALUE"""),35000)</f>
        <v>35000</v>
      </c>
      <c r="F677" s="14">
        <f ca="1">IFERROR(__xludf.DUMMYFUNCTION("""COMPUTED_VALUE"""),105000)</f>
        <v>105000</v>
      </c>
      <c r="G677" s="13" t="str">
        <f ca="1"/>
        <v>Espresso</v>
      </c>
      <c r="H677" s="13" t="str">
        <f ca="1"/>
        <v>Coffee</v>
      </c>
      <c r="I677" s="13">
        <f ca="1">IFERROR(__xludf.DUMMYFUNCTION("""COMPUTED_VALUE"""),26)</f>
        <v>26</v>
      </c>
      <c r="J677" s="13">
        <f ca="1">IFERROR(__xludf.DUMMYFUNCTION("""COMPUTED_VALUE"""),9)</f>
        <v>9</v>
      </c>
      <c r="K677" s="13">
        <f ca="1">IFERROR(__xludf.DUMMYFUNCTION("""COMPUTED_VALUE"""),2025)</f>
        <v>2025</v>
      </c>
      <c r="L677" s="15">
        <f ca="1"/>
        <v>45926</v>
      </c>
    </row>
    <row r="678" spans="1:12">
      <c r="A678" s="12" t="str">
        <f ca="1">IFERROR(__xludf.DUMMYFUNCTION("""COMPUTED_VALUE"""),"06-09-2025")</f>
        <v>06-09-2025</v>
      </c>
      <c r="B678" s="13" t="str">
        <f ca="1">IFERROR(__xludf.DUMMYFUNCTION("""COMPUTED_VALUE"""),"Jakarta")</f>
        <v>Jakarta</v>
      </c>
      <c r="C678" s="13" t="str">
        <f ca="1">IFERROR(__xludf.DUMMYFUNCTION("""COMPUTED_VALUE"""),"P04")</f>
        <v>P04</v>
      </c>
      <c r="D678" s="13">
        <f ca="1">IFERROR(__xludf.DUMMYFUNCTION("""COMPUTED_VALUE"""),1)</f>
        <v>1</v>
      </c>
      <c r="E678" s="14">
        <f ca="1">IFERROR(__xludf.DUMMYFUNCTION("""COMPUTED_VALUE"""),25000)</f>
        <v>25000</v>
      </c>
      <c r="F678" s="14">
        <f ca="1">IFERROR(__xludf.DUMMYFUNCTION("""COMPUTED_VALUE"""),25000)</f>
        <v>25000</v>
      </c>
      <c r="G678" s="13" t="str">
        <f ca="1"/>
        <v>Americano</v>
      </c>
      <c r="H678" s="13" t="str">
        <f ca="1"/>
        <v>Coffee</v>
      </c>
      <c r="I678" s="13">
        <f ca="1">IFERROR(__xludf.DUMMYFUNCTION("""COMPUTED_VALUE"""),6)</f>
        <v>6</v>
      </c>
      <c r="J678" s="13">
        <f ca="1">IFERROR(__xludf.DUMMYFUNCTION("""COMPUTED_VALUE"""),9)</f>
        <v>9</v>
      </c>
      <c r="K678" s="13">
        <f ca="1">IFERROR(__xludf.DUMMYFUNCTION("""COMPUTED_VALUE"""),2025)</f>
        <v>2025</v>
      </c>
      <c r="L678" s="15">
        <f ca="1"/>
        <v>45906</v>
      </c>
    </row>
    <row r="679" spans="1:12">
      <c r="A679" s="12" t="str">
        <f ca="1">IFERROR(__xludf.DUMMYFUNCTION("""COMPUTED_VALUE"""),"06-09-2025")</f>
        <v>06-09-2025</v>
      </c>
      <c r="B679" s="13" t="str">
        <f ca="1">IFERROR(__xludf.DUMMYFUNCTION("""COMPUTED_VALUE"""),"Jakarta")</f>
        <v>Jakarta</v>
      </c>
      <c r="C679" s="13" t="str">
        <f ca="1">IFERROR(__xludf.DUMMYFUNCTION("""COMPUTED_VALUE"""),"P05")</f>
        <v>P05</v>
      </c>
      <c r="D679" s="13">
        <f ca="1">IFERROR(__xludf.DUMMYFUNCTION("""COMPUTED_VALUE"""),3)</f>
        <v>3</v>
      </c>
      <c r="E679" s="14">
        <f ca="1">IFERROR(__xludf.DUMMYFUNCTION("""COMPUTED_VALUE"""),28000)</f>
        <v>28000</v>
      </c>
      <c r="F679" s="14">
        <f ca="1">IFERROR(__xludf.DUMMYFUNCTION("""COMPUTED_VALUE"""),84000)</f>
        <v>84000</v>
      </c>
      <c r="G679" s="13" t="str">
        <f ca="1"/>
        <v>Mocha</v>
      </c>
      <c r="H679" s="13" t="str">
        <f ca="1"/>
        <v>Chocolate</v>
      </c>
      <c r="I679" s="13">
        <f ca="1">IFERROR(__xludf.DUMMYFUNCTION("""COMPUTED_VALUE"""),6)</f>
        <v>6</v>
      </c>
      <c r="J679" s="13">
        <f ca="1">IFERROR(__xludf.DUMMYFUNCTION("""COMPUTED_VALUE"""),9)</f>
        <v>9</v>
      </c>
      <c r="K679" s="13">
        <f ca="1">IFERROR(__xludf.DUMMYFUNCTION("""COMPUTED_VALUE"""),2025)</f>
        <v>2025</v>
      </c>
      <c r="L679" s="15">
        <f ca="1"/>
        <v>45906</v>
      </c>
    </row>
    <row r="680" spans="1:12">
      <c r="A680" s="12" t="str">
        <f ca="1">IFERROR(__xludf.DUMMYFUNCTION("""COMPUTED_VALUE"""),"16-09-2025")</f>
        <v>16-09-2025</v>
      </c>
      <c r="B680" s="13" t="str">
        <f ca="1">IFERROR(__xludf.DUMMYFUNCTION("""COMPUTED_VALUE"""),"Jakarta")</f>
        <v>Jakarta</v>
      </c>
      <c r="C680" s="13" t="str">
        <f ca="1">IFERROR(__xludf.DUMMYFUNCTION("""COMPUTED_VALUE"""),"P03")</f>
        <v>P03</v>
      </c>
      <c r="D680" s="13">
        <f ca="1">IFERROR(__xludf.DUMMYFUNCTION("""COMPUTED_VALUE"""),4)</f>
        <v>4</v>
      </c>
      <c r="E680" s="14">
        <f ca="1">IFERROR(__xludf.DUMMYFUNCTION("""COMPUTED_VALUE"""),20000)</f>
        <v>20000</v>
      </c>
      <c r="F680" s="14">
        <f ca="1">IFERROR(__xludf.DUMMYFUNCTION("""COMPUTED_VALUE"""),80000)</f>
        <v>80000</v>
      </c>
      <c r="G680" s="13" t="str">
        <f ca="1"/>
        <v>Espresso</v>
      </c>
      <c r="H680" s="13" t="str">
        <f ca="1"/>
        <v>Coffee</v>
      </c>
      <c r="I680" s="13">
        <f ca="1">IFERROR(__xludf.DUMMYFUNCTION("""COMPUTED_VALUE"""),16)</f>
        <v>16</v>
      </c>
      <c r="J680" s="13">
        <f ca="1">IFERROR(__xludf.DUMMYFUNCTION("""COMPUTED_VALUE"""),9)</f>
        <v>9</v>
      </c>
      <c r="K680" s="13">
        <f ca="1">IFERROR(__xludf.DUMMYFUNCTION("""COMPUTED_VALUE"""),2025)</f>
        <v>2025</v>
      </c>
      <c r="L680" s="15">
        <f ca="1"/>
        <v>45916</v>
      </c>
    </row>
    <row r="681" spans="1:12">
      <c r="A681" s="12" t="str">
        <f ca="1">IFERROR(__xludf.DUMMYFUNCTION("""COMPUTED_VALUE"""),"26-09-2025")</f>
        <v>26-09-2025</v>
      </c>
      <c r="B681" s="13" t="str">
        <f ca="1">IFERROR(__xludf.DUMMYFUNCTION("""COMPUTED_VALUE"""),"Jakarta")</f>
        <v>Jakarta</v>
      </c>
      <c r="C681" s="13" t="str">
        <f ca="1">IFERROR(__xludf.DUMMYFUNCTION("""COMPUTED_VALUE"""),"P04")</f>
        <v>P04</v>
      </c>
      <c r="D681" s="13">
        <f ca="1">IFERROR(__xludf.DUMMYFUNCTION("""COMPUTED_VALUE"""),2)</f>
        <v>2</v>
      </c>
      <c r="E681" s="14">
        <f ca="1">IFERROR(__xludf.DUMMYFUNCTION("""COMPUTED_VALUE"""),20000)</f>
        <v>20000</v>
      </c>
      <c r="F681" s="14">
        <f ca="1">IFERROR(__xludf.DUMMYFUNCTION("""COMPUTED_VALUE"""),40000)</f>
        <v>40000</v>
      </c>
      <c r="G681" s="13" t="str">
        <f ca="1"/>
        <v>Americano</v>
      </c>
      <c r="H681" s="13" t="str">
        <f ca="1"/>
        <v>Coffee</v>
      </c>
      <c r="I681" s="13">
        <f ca="1">IFERROR(__xludf.DUMMYFUNCTION("""COMPUTED_VALUE"""),26)</f>
        <v>26</v>
      </c>
      <c r="J681" s="13">
        <f ca="1">IFERROR(__xludf.DUMMYFUNCTION("""COMPUTED_VALUE"""),9)</f>
        <v>9</v>
      </c>
      <c r="K681" s="13">
        <f ca="1">IFERROR(__xludf.DUMMYFUNCTION("""COMPUTED_VALUE"""),2025)</f>
        <v>2025</v>
      </c>
      <c r="L681" s="15">
        <f ca="1"/>
        <v>45926</v>
      </c>
    </row>
    <row r="682" spans="1:12">
      <c r="A682" s="12" t="str">
        <f ca="1">IFERROR(__xludf.DUMMYFUNCTION("""COMPUTED_VALUE"""),"28-09-2025")</f>
        <v>28-09-2025</v>
      </c>
      <c r="B682" s="13" t="str">
        <f ca="1">IFERROR(__xludf.DUMMYFUNCTION("""COMPUTED_VALUE"""),"Jakarta")</f>
        <v>Jakarta</v>
      </c>
      <c r="C682" s="13" t="str">
        <f ca="1">IFERROR(__xludf.DUMMYFUNCTION("""COMPUTED_VALUE"""),"P05")</f>
        <v>P05</v>
      </c>
      <c r="D682" s="13">
        <f ca="1">IFERROR(__xludf.DUMMYFUNCTION("""COMPUTED_VALUE"""),3)</f>
        <v>3</v>
      </c>
      <c r="E682" s="14">
        <f ca="1">IFERROR(__xludf.DUMMYFUNCTION("""COMPUTED_VALUE"""),25000)</f>
        <v>25000</v>
      </c>
      <c r="F682" s="14">
        <f ca="1">IFERROR(__xludf.DUMMYFUNCTION("""COMPUTED_VALUE"""),75000)</f>
        <v>75000</v>
      </c>
      <c r="G682" s="13" t="str">
        <f ca="1"/>
        <v>Mocha</v>
      </c>
      <c r="H682" s="13" t="str">
        <f ca="1"/>
        <v>Chocolate</v>
      </c>
      <c r="I682" s="13">
        <f ca="1">IFERROR(__xludf.DUMMYFUNCTION("""COMPUTED_VALUE"""),28)</f>
        <v>28</v>
      </c>
      <c r="J682" s="13">
        <f ca="1">IFERROR(__xludf.DUMMYFUNCTION("""COMPUTED_VALUE"""),9)</f>
        <v>9</v>
      </c>
      <c r="K682" s="13">
        <f ca="1">IFERROR(__xludf.DUMMYFUNCTION("""COMPUTED_VALUE"""),2025)</f>
        <v>2025</v>
      </c>
      <c r="L682" s="15">
        <f ca="1"/>
        <v>45928</v>
      </c>
    </row>
    <row r="683" spans="1:12">
      <c r="A683" s="12" t="str">
        <f ca="1">IFERROR(__xludf.DUMMYFUNCTION("""COMPUTED_VALUE"""),"27-09-2025")</f>
        <v>27-09-2025</v>
      </c>
      <c r="B683" s="13" t="str">
        <f ca="1">IFERROR(__xludf.DUMMYFUNCTION("""COMPUTED_VALUE"""),"Jakarta")</f>
        <v>Jakarta</v>
      </c>
      <c r="C683" s="13" t="str">
        <f ca="1">IFERROR(__xludf.DUMMYFUNCTION("""COMPUTED_VALUE"""),"P01")</f>
        <v>P01</v>
      </c>
      <c r="D683" s="13">
        <f ca="1">IFERROR(__xludf.DUMMYFUNCTION("""COMPUTED_VALUE"""),2)</f>
        <v>2</v>
      </c>
      <c r="E683" s="14">
        <f ca="1">IFERROR(__xludf.DUMMYFUNCTION("""COMPUTED_VALUE"""),35000)</f>
        <v>35000</v>
      </c>
      <c r="F683" s="14">
        <f ca="1">IFERROR(__xludf.DUMMYFUNCTION("""COMPUTED_VALUE"""),70000)</f>
        <v>70000</v>
      </c>
      <c r="G683" s="13" t="str">
        <f ca="1"/>
        <v>Cappuccino</v>
      </c>
      <c r="H683" s="13" t="str">
        <f ca="1"/>
        <v>Coffee</v>
      </c>
      <c r="I683" s="13">
        <f ca="1">IFERROR(__xludf.DUMMYFUNCTION("""COMPUTED_VALUE"""),27)</f>
        <v>27</v>
      </c>
      <c r="J683" s="13">
        <f ca="1">IFERROR(__xludf.DUMMYFUNCTION("""COMPUTED_VALUE"""),9)</f>
        <v>9</v>
      </c>
      <c r="K683" s="13">
        <f ca="1">IFERROR(__xludf.DUMMYFUNCTION("""COMPUTED_VALUE"""),2025)</f>
        <v>2025</v>
      </c>
      <c r="L683" s="15">
        <f ca="1"/>
        <v>45927</v>
      </c>
    </row>
    <row r="684" spans="1:12">
      <c r="A684" s="12" t="str">
        <f ca="1">IFERROR(__xludf.DUMMYFUNCTION("""COMPUTED_VALUE"""),"30-09-2025")</f>
        <v>30-09-2025</v>
      </c>
      <c r="B684" s="13" t="str">
        <f ca="1">IFERROR(__xludf.DUMMYFUNCTION("""COMPUTED_VALUE"""),"Jakarta")</f>
        <v>Jakarta</v>
      </c>
      <c r="C684" s="13" t="str">
        <f ca="1">IFERROR(__xludf.DUMMYFUNCTION("""COMPUTED_VALUE"""),"P02")</f>
        <v>P02</v>
      </c>
      <c r="D684" s="13">
        <f ca="1">IFERROR(__xludf.DUMMYFUNCTION("""COMPUTED_VALUE"""),1)</f>
        <v>1</v>
      </c>
      <c r="E684" s="14">
        <f ca="1">IFERROR(__xludf.DUMMYFUNCTION("""COMPUTED_VALUE"""),28000)</f>
        <v>28000</v>
      </c>
      <c r="F684" s="14">
        <f ca="1">IFERROR(__xludf.DUMMYFUNCTION("""COMPUTED_VALUE"""),28000)</f>
        <v>28000</v>
      </c>
      <c r="G684" s="13" t="str">
        <f ca="1"/>
        <v>Latte</v>
      </c>
      <c r="H684" s="13" t="str">
        <f ca="1"/>
        <v>Coffee</v>
      </c>
      <c r="I684" s="13">
        <f ca="1">IFERROR(__xludf.DUMMYFUNCTION("""COMPUTED_VALUE"""),30)</f>
        <v>30</v>
      </c>
      <c r="J684" s="13">
        <f ca="1">IFERROR(__xludf.DUMMYFUNCTION("""COMPUTED_VALUE"""),9)</f>
        <v>9</v>
      </c>
      <c r="K684" s="13">
        <f ca="1">IFERROR(__xludf.DUMMYFUNCTION("""COMPUTED_VALUE"""),2025)</f>
        <v>2025</v>
      </c>
      <c r="L684" s="15">
        <f ca="1"/>
        <v>45930</v>
      </c>
    </row>
    <row r="685" spans="1:12">
      <c r="A685" s="12" t="str">
        <f ca="1">IFERROR(__xludf.DUMMYFUNCTION("""COMPUTED_VALUE"""),"17-09-2025")</f>
        <v>17-09-2025</v>
      </c>
      <c r="B685" s="13" t="str">
        <f ca="1">IFERROR(__xludf.DUMMYFUNCTION("""COMPUTED_VALUE"""),"Jakarta")</f>
        <v>Jakarta</v>
      </c>
      <c r="C685" s="13" t="str">
        <f ca="1">IFERROR(__xludf.DUMMYFUNCTION("""COMPUTED_VALUE"""),"P03")</f>
        <v>P03</v>
      </c>
      <c r="D685" s="13">
        <f ca="1">IFERROR(__xludf.DUMMYFUNCTION("""COMPUTED_VALUE"""),1)</f>
        <v>1</v>
      </c>
      <c r="E685" s="14">
        <f ca="1">IFERROR(__xludf.DUMMYFUNCTION("""COMPUTED_VALUE"""),35000)</f>
        <v>35000</v>
      </c>
      <c r="F685" s="14">
        <f ca="1">IFERROR(__xludf.DUMMYFUNCTION("""COMPUTED_VALUE"""),35000)</f>
        <v>35000</v>
      </c>
      <c r="G685" s="13" t="str">
        <f ca="1"/>
        <v>Espresso</v>
      </c>
      <c r="H685" s="13" t="str">
        <f ca="1"/>
        <v>Coffee</v>
      </c>
      <c r="I685" s="13">
        <f ca="1">IFERROR(__xludf.DUMMYFUNCTION("""COMPUTED_VALUE"""),17)</f>
        <v>17</v>
      </c>
      <c r="J685" s="13">
        <f ca="1">IFERROR(__xludf.DUMMYFUNCTION("""COMPUTED_VALUE"""),9)</f>
        <v>9</v>
      </c>
      <c r="K685" s="13">
        <f ca="1">IFERROR(__xludf.DUMMYFUNCTION("""COMPUTED_VALUE"""),2025)</f>
        <v>2025</v>
      </c>
      <c r="L685" s="15">
        <f ca="1"/>
        <v>45917</v>
      </c>
    </row>
    <row r="686" spans="1:12">
      <c r="A686" s="12" t="str">
        <f ca="1">IFERROR(__xludf.DUMMYFUNCTION("""COMPUTED_VALUE"""),"28-09-2025")</f>
        <v>28-09-2025</v>
      </c>
      <c r="B686" s="13" t="str">
        <f ca="1">IFERROR(__xludf.DUMMYFUNCTION("""COMPUTED_VALUE"""),"Jakarta")</f>
        <v>Jakarta</v>
      </c>
      <c r="C686" s="13" t="str">
        <f ca="1">IFERROR(__xludf.DUMMYFUNCTION("""COMPUTED_VALUE"""),"P04")</f>
        <v>P04</v>
      </c>
      <c r="D686" s="13">
        <f ca="1">IFERROR(__xludf.DUMMYFUNCTION("""COMPUTED_VALUE"""),3)</f>
        <v>3</v>
      </c>
      <c r="E686" s="14">
        <f ca="1">IFERROR(__xludf.DUMMYFUNCTION("""COMPUTED_VALUE"""),35000)</f>
        <v>35000</v>
      </c>
      <c r="F686" s="14">
        <f ca="1">IFERROR(__xludf.DUMMYFUNCTION("""COMPUTED_VALUE"""),105000)</f>
        <v>105000</v>
      </c>
      <c r="G686" s="13" t="str">
        <f ca="1"/>
        <v>Americano</v>
      </c>
      <c r="H686" s="13" t="str">
        <f ca="1"/>
        <v>Coffee</v>
      </c>
      <c r="I686" s="13">
        <f ca="1">IFERROR(__xludf.DUMMYFUNCTION("""COMPUTED_VALUE"""),28)</f>
        <v>28</v>
      </c>
      <c r="J686" s="13">
        <f ca="1">IFERROR(__xludf.DUMMYFUNCTION("""COMPUTED_VALUE"""),9)</f>
        <v>9</v>
      </c>
      <c r="K686" s="13">
        <f ca="1">IFERROR(__xludf.DUMMYFUNCTION("""COMPUTED_VALUE"""),2025)</f>
        <v>2025</v>
      </c>
      <c r="L686" s="15">
        <f ca="1"/>
        <v>45928</v>
      </c>
    </row>
    <row r="687" spans="1:12">
      <c r="A687" s="12" t="str">
        <f ca="1">IFERROR(__xludf.DUMMYFUNCTION("""COMPUTED_VALUE"""),"20-09-2025")</f>
        <v>20-09-2025</v>
      </c>
      <c r="B687" s="13" t="str">
        <f ca="1">IFERROR(__xludf.DUMMYFUNCTION("""COMPUTED_VALUE"""),"Jakarta")</f>
        <v>Jakarta</v>
      </c>
      <c r="C687" s="13" t="str">
        <f ca="1">IFERROR(__xludf.DUMMYFUNCTION("""COMPUTED_VALUE"""),"P05")</f>
        <v>P05</v>
      </c>
      <c r="D687" s="13">
        <f ca="1">IFERROR(__xludf.DUMMYFUNCTION("""COMPUTED_VALUE"""),1)</f>
        <v>1</v>
      </c>
      <c r="E687" s="14">
        <f ca="1">IFERROR(__xludf.DUMMYFUNCTION("""COMPUTED_VALUE"""),25000)</f>
        <v>25000</v>
      </c>
      <c r="F687" s="14">
        <f ca="1">IFERROR(__xludf.DUMMYFUNCTION("""COMPUTED_VALUE"""),25000)</f>
        <v>25000</v>
      </c>
      <c r="G687" s="13" t="str">
        <f ca="1"/>
        <v>Mocha</v>
      </c>
      <c r="H687" s="13" t="str">
        <f ca="1"/>
        <v>Chocolate</v>
      </c>
      <c r="I687" s="13">
        <f ca="1">IFERROR(__xludf.DUMMYFUNCTION("""COMPUTED_VALUE"""),20)</f>
        <v>20</v>
      </c>
      <c r="J687" s="13">
        <f ca="1">IFERROR(__xludf.DUMMYFUNCTION("""COMPUTED_VALUE"""),9)</f>
        <v>9</v>
      </c>
      <c r="K687" s="13">
        <f ca="1">IFERROR(__xludf.DUMMYFUNCTION("""COMPUTED_VALUE"""),2025)</f>
        <v>2025</v>
      </c>
      <c r="L687" s="15">
        <f ca="1"/>
        <v>45920</v>
      </c>
    </row>
    <row r="688" spans="1:12">
      <c r="A688" s="12" t="str">
        <f ca="1">IFERROR(__xludf.DUMMYFUNCTION("""COMPUTED_VALUE"""),"19-09-2025")</f>
        <v>19-09-2025</v>
      </c>
      <c r="B688" s="13" t="str">
        <f ca="1">IFERROR(__xludf.DUMMYFUNCTION("""COMPUTED_VALUE"""),"Jakarta")</f>
        <v>Jakarta</v>
      </c>
      <c r="C688" s="13" t="str">
        <f ca="1">IFERROR(__xludf.DUMMYFUNCTION("""COMPUTED_VALUE"""),"P01")</f>
        <v>P01</v>
      </c>
      <c r="D688" s="13">
        <f ca="1">IFERROR(__xludf.DUMMYFUNCTION("""COMPUTED_VALUE"""),4)</f>
        <v>4</v>
      </c>
      <c r="E688" s="14">
        <f ca="1">IFERROR(__xludf.DUMMYFUNCTION("""COMPUTED_VALUE"""),20000)</f>
        <v>20000</v>
      </c>
      <c r="F688" s="14">
        <f ca="1">IFERROR(__xludf.DUMMYFUNCTION("""COMPUTED_VALUE"""),80000)</f>
        <v>80000</v>
      </c>
      <c r="G688" s="13" t="str">
        <f ca="1"/>
        <v>Cappuccino</v>
      </c>
      <c r="H688" s="13" t="str">
        <f ca="1"/>
        <v>Coffee</v>
      </c>
      <c r="I688" s="13">
        <f ca="1">IFERROR(__xludf.DUMMYFUNCTION("""COMPUTED_VALUE"""),19)</f>
        <v>19</v>
      </c>
      <c r="J688" s="13">
        <f ca="1">IFERROR(__xludf.DUMMYFUNCTION("""COMPUTED_VALUE"""),9)</f>
        <v>9</v>
      </c>
      <c r="K688" s="13">
        <f ca="1">IFERROR(__xludf.DUMMYFUNCTION("""COMPUTED_VALUE"""),2025)</f>
        <v>2025</v>
      </c>
      <c r="L688" s="15">
        <f ca="1"/>
        <v>45919</v>
      </c>
    </row>
    <row r="689" spans="1:12">
      <c r="A689" s="12" t="str">
        <f ca="1">IFERROR(__xludf.DUMMYFUNCTION("""COMPUTED_VALUE"""),"25-09-2025")</f>
        <v>25-09-2025</v>
      </c>
      <c r="B689" s="13" t="str">
        <f ca="1">IFERROR(__xludf.DUMMYFUNCTION("""COMPUTED_VALUE"""),"Jakarta")</f>
        <v>Jakarta</v>
      </c>
      <c r="C689" s="13" t="str">
        <f ca="1">IFERROR(__xludf.DUMMYFUNCTION("""COMPUTED_VALUE"""),"P02")</f>
        <v>P02</v>
      </c>
      <c r="D689" s="13">
        <f ca="1">IFERROR(__xludf.DUMMYFUNCTION("""COMPUTED_VALUE"""),1)</f>
        <v>1</v>
      </c>
      <c r="E689" s="14">
        <f ca="1">IFERROR(__xludf.DUMMYFUNCTION("""COMPUTED_VALUE"""),20000)</f>
        <v>20000</v>
      </c>
      <c r="F689" s="14">
        <f ca="1">IFERROR(__xludf.DUMMYFUNCTION("""COMPUTED_VALUE"""),20000)</f>
        <v>20000</v>
      </c>
      <c r="G689" s="13" t="str">
        <f ca="1"/>
        <v>Latte</v>
      </c>
      <c r="H689" s="13" t="str">
        <f ca="1"/>
        <v>Coffee</v>
      </c>
      <c r="I689" s="13">
        <f ca="1">IFERROR(__xludf.DUMMYFUNCTION("""COMPUTED_VALUE"""),25)</f>
        <v>25</v>
      </c>
      <c r="J689" s="13">
        <f ca="1">IFERROR(__xludf.DUMMYFUNCTION("""COMPUTED_VALUE"""),9)</f>
        <v>9</v>
      </c>
      <c r="K689" s="13">
        <f ca="1">IFERROR(__xludf.DUMMYFUNCTION("""COMPUTED_VALUE"""),2025)</f>
        <v>2025</v>
      </c>
      <c r="L689" s="15">
        <f ca="1"/>
        <v>45925</v>
      </c>
    </row>
    <row r="690" spans="1:12">
      <c r="A690" s="12" t="str">
        <f ca="1">IFERROR(__xludf.DUMMYFUNCTION("""COMPUTED_VALUE"""),"12-09-2025")</f>
        <v>12-09-2025</v>
      </c>
      <c r="B690" s="13" t="str">
        <f ca="1">IFERROR(__xludf.DUMMYFUNCTION("""COMPUTED_VALUE"""),"Jakarta")</f>
        <v>Jakarta</v>
      </c>
      <c r="C690" s="13" t="str">
        <f ca="1">IFERROR(__xludf.DUMMYFUNCTION("""COMPUTED_VALUE"""),"P03")</f>
        <v>P03</v>
      </c>
      <c r="D690" s="13">
        <f ca="1">IFERROR(__xludf.DUMMYFUNCTION("""COMPUTED_VALUE"""),3)</f>
        <v>3</v>
      </c>
      <c r="E690" s="14">
        <f ca="1">IFERROR(__xludf.DUMMYFUNCTION("""COMPUTED_VALUE"""),30000)</f>
        <v>30000</v>
      </c>
      <c r="F690" s="14">
        <f ca="1">IFERROR(__xludf.DUMMYFUNCTION("""COMPUTED_VALUE"""),90000)</f>
        <v>90000</v>
      </c>
      <c r="G690" s="13" t="str">
        <f ca="1"/>
        <v>Espresso</v>
      </c>
      <c r="H690" s="13" t="str">
        <f ca="1"/>
        <v>Coffee</v>
      </c>
      <c r="I690" s="13">
        <f ca="1">IFERROR(__xludf.DUMMYFUNCTION("""COMPUTED_VALUE"""),12)</f>
        <v>12</v>
      </c>
      <c r="J690" s="13">
        <f ca="1">IFERROR(__xludf.DUMMYFUNCTION("""COMPUTED_VALUE"""),9)</f>
        <v>9</v>
      </c>
      <c r="K690" s="13">
        <f ca="1">IFERROR(__xludf.DUMMYFUNCTION("""COMPUTED_VALUE"""),2025)</f>
        <v>2025</v>
      </c>
      <c r="L690" s="15">
        <f ca="1"/>
        <v>45912</v>
      </c>
    </row>
    <row r="691" spans="1:12">
      <c r="A691" s="12" t="str">
        <f ca="1">IFERROR(__xludf.DUMMYFUNCTION("""COMPUTED_VALUE"""),"15-09-2025")</f>
        <v>15-09-2025</v>
      </c>
      <c r="B691" s="13" t="str">
        <f ca="1">IFERROR(__xludf.DUMMYFUNCTION("""COMPUTED_VALUE"""),"Jakarta")</f>
        <v>Jakarta</v>
      </c>
      <c r="C691" s="13" t="str">
        <f ca="1">IFERROR(__xludf.DUMMYFUNCTION("""COMPUTED_VALUE"""),"P04")</f>
        <v>P04</v>
      </c>
      <c r="D691" s="13">
        <f ca="1">IFERROR(__xludf.DUMMYFUNCTION("""COMPUTED_VALUE"""),4)</f>
        <v>4</v>
      </c>
      <c r="E691" s="14">
        <f ca="1">IFERROR(__xludf.DUMMYFUNCTION("""COMPUTED_VALUE"""),20000)</f>
        <v>20000</v>
      </c>
      <c r="F691" s="14">
        <f ca="1">IFERROR(__xludf.DUMMYFUNCTION("""COMPUTED_VALUE"""),80000)</f>
        <v>80000</v>
      </c>
      <c r="G691" s="13" t="str">
        <f ca="1"/>
        <v>Americano</v>
      </c>
      <c r="H691" s="13" t="str">
        <f ca="1"/>
        <v>Coffee</v>
      </c>
      <c r="I691" s="13">
        <f ca="1">IFERROR(__xludf.DUMMYFUNCTION("""COMPUTED_VALUE"""),15)</f>
        <v>15</v>
      </c>
      <c r="J691" s="13">
        <f ca="1">IFERROR(__xludf.DUMMYFUNCTION("""COMPUTED_VALUE"""),9)</f>
        <v>9</v>
      </c>
      <c r="K691" s="13">
        <f ca="1">IFERROR(__xludf.DUMMYFUNCTION("""COMPUTED_VALUE"""),2025)</f>
        <v>2025</v>
      </c>
      <c r="L691" s="15">
        <f ca="1"/>
        <v>45915</v>
      </c>
    </row>
    <row r="692" spans="1:12">
      <c r="A692" s="12" t="str">
        <f ca="1">IFERROR(__xludf.DUMMYFUNCTION("""COMPUTED_VALUE"""),"11-09-2025")</f>
        <v>11-09-2025</v>
      </c>
      <c r="B692" s="13" t="str">
        <f ca="1">IFERROR(__xludf.DUMMYFUNCTION("""COMPUTED_VALUE"""),"Jakarta")</f>
        <v>Jakarta</v>
      </c>
      <c r="C692" s="13" t="str">
        <f ca="1">IFERROR(__xludf.DUMMYFUNCTION("""COMPUTED_VALUE"""),"P05")</f>
        <v>P05</v>
      </c>
      <c r="D692" s="13">
        <f ca="1">IFERROR(__xludf.DUMMYFUNCTION("""COMPUTED_VALUE"""),2)</f>
        <v>2</v>
      </c>
      <c r="E692" s="14">
        <f ca="1">IFERROR(__xludf.DUMMYFUNCTION("""COMPUTED_VALUE"""),30000)</f>
        <v>30000</v>
      </c>
      <c r="F692" s="14">
        <f ca="1">IFERROR(__xludf.DUMMYFUNCTION("""COMPUTED_VALUE"""),60000)</f>
        <v>60000</v>
      </c>
      <c r="G692" s="13" t="str">
        <f ca="1"/>
        <v>Mocha</v>
      </c>
      <c r="H692" s="13" t="str">
        <f ca="1"/>
        <v>Chocolate</v>
      </c>
      <c r="I692" s="13">
        <f ca="1">IFERROR(__xludf.DUMMYFUNCTION("""COMPUTED_VALUE"""),11)</f>
        <v>11</v>
      </c>
      <c r="J692" s="13">
        <f ca="1">IFERROR(__xludf.DUMMYFUNCTION("""COMPUTED_VALUE"""),9)</f>
        <v>9</v>
      </c>
      <c r="K692" s="13">
        <f ca="1">IFERROR(__xludf.DUMMYFUNCTION("""COMPUTED_VALUE"""),2025)</f>
        <v>2025</v>
      </c>
      <c r="L692" s="15">
        <f ca="1"/>
        <v>45911</v>
      </c>
    </row>
    <row r="693" spans="1:12">
      <c r="A693" s="12" t="str">
        <f ca="1">IFERROR(__xludf.DUMMYFUNCTION("""COMPUTED_VALUE"""),"14-09-2025")</f>
        <v>14-09-2025</v>
      </c>
      <c r="B693" s="13" t="str">
        <f ca="1">IFERROR(__xludf.DUMMYFUNCTION("""COMPUTED_VALUE"""),"Jakarta")</f>
        <v>Jakarta</v>
      </c>
      <c r="C693" s="13" t="str">
        <f ca="1">IFERROR(__xludf.DUMMYFUNCTION("""COMPUTED_VALUE"""),"P01")</f>
        <v>P01</v>
      </c>
      <c r="D693" s="13">
        <f ca="1">IFERROR(__xludf.DUMMYFUNCTION("""COMPUTED_VALUE"""),3)</f>
        <v>3</v>
      </c>
      <c r="E693" s="14">
        <f ca="1">IFERROR(__xludf.DUMMYFUNCTION("""COMPUTED_VALUE"""),25000)</f>
        <v>25000</v>
      </c>
      <c r="F693" s="14">
        <f ca="1">IFERROR(__xludf.DUMMYFUNCTION("""COMPUTED_VALUE"""),75000)</f>
        <v>75000</v>
      </c>
      <c r="G693" s="13" t="str">
        <f ca="1"/>
        <v>Cappuccino</v>
      </c>
      <c r="H693" s="13" t="str">
        <f ca="1"/>
        <v>Coffee</v>
      </c>
      <c r="I693" s="13">
        <f ca="1">IFERROR(__xludf.DUMMYFUNCTION("""COMPUTED_VALUE"""),14)</f>
        <v>14</v>
      </c>
      <c r="J693" s="13">
        <f ca="1">IFERROR(__xludf.DUMMYFUNCTION("""COMPUTED_VALUE"""),9)</f>
        <v>9</v>
      </c>
      <c r="K693" s="13">
        <f ca="1">IFERROR(__xludf.DUMMYFUNCTION("""COMPUTED_VALUE"""),2025)</f>
        <v>2025</v>
      </c>
      <c r="L693" s="15">
        <f ca="1"/>
        <v>45914</v>
      </c>
    </row>
    <row r="694" spans="1:12">
      <c r="A694" s="12" t="str">
        <f ca="1">IFERROR(__xludf.DUMMYFUNCTION("""COMPUTED_VALUE"""),"07-09-2025")</f>
        <v>07-09-2025</v>
      </c>
      <c r="B694" s="13" t="str">
        <f ca="1">IFERROR(__xludf.DUMMYFUNCTION("""COMPUTED_VALUE"""),"Jakarta")</f>
        <v>Jakarta</v>
      </c>
      <c r="C694" s="13" t="str">
        <f ca="1">IFERROR(__xludf.DUMMYFUNCTION("""COMPUTED_VALUE"""),"P02")</f>
        <v>P02</v>
      </c>
      <c r="D694" s="13">
        <f ca="1">IFERROR(__xludf.DUMMYFUNCTION("""COMPUTED_VALUE"""),5)</f>
        <v>5</v>
      </c>
      <c r="E694" s="14">
        <f ca="1">IFERROR(__xludf.DUMMYFUNCTION("""COMPUTED_VALUE"""),35000)</f>
        <v>35000</v>
      </c>
      <c r="F694" s="14">
        <f ca="1">IFERROR(__xludf.DUMMYFUNCTION("""COMPUTED_VALUE"""),175000)</f>
        <v>175000</v>
      </c>
      <c r="G694" s="13" t="str">
        <f ca="1"/>
        <v>Latte</v>
      </c>
      <c r="H694" s="13" t="str">
        <f ca="1"/>
        <v>Coffee</v>
      </c>
      <c r="I694" s="13">
        <f ca="1">IFERROR(__xludf.DUMMYFUNCTION("""COMPUTED_VALUE"""),7)</f>
        <v>7</v>
      </c>
      <c r="J694" s="13">
        <f ca="1">IFERROR(__xludf.DUMMYFUNCTION("""COMPUTED_VALUE"""),9)</f>
        <v>9</v>
      </c>
      <c r="K694" s="13">
        <f ca="1">IFERROR(__xludf.DUMMYFUNCTION("""COMPUTED_VALUE"""),2025)</f>
        <v>2025</v>
      </c>
      <c r="L694" s="15">
        <f ca="1"/>
        <v>45907</v>
      </c>
    </row>
    <row r="695" spans="1:12">
      <c r="A695" s="12" t="str">
        <f ca="1">IFERROR(__xludf.DUMMYFUNCTION("""COMPUTED_VALUE"""),"01-09-2025")</f>
        <v>01-09-2025</v>
      </c>
      <c r="B695" s="13" t="str">
        <f ca="1">IFERROR(__xludf.DUMMYFUNCTION("""COMPUTED_VALUE"""),"Jakarta")</f>
        <v>Jakarta</v>
      </c>
      <c r="C695" s="13" t="str">
        <f ca="1">IFERROR(__xludf.DUMMYFUNCTION("""COMPUTED_VALUE"""),"P03")</f>
        <v>P03</v>
      </c>
      <c r="D695" s="13">
        <f ca="1">IFERROR(__xludf.DUMMYFUNCTION("""COMPUTED_VALUE"""),2)</f>
        <v>2</v>
      </c>
      <c r="E695" s="14">
        <f ca="1">IFERROR(__xludf.DUMMYFUNCTION("""COMPUTED_VALUE"""),25000)</f>
        <v>25000</v>
      </c>
      <c r="F695" s="14">
        <f ca="1">IFERROR(__xludf.DUMMYFUNCTION("""COMPUTED_VALUE"""),50000)</f>
        <v>50000</v>
      </c>
      <c r="G695" s="13" t="str">
        <f ca="1"/>
        <v>Espresso</v>
      </c>
      <c r="H695" s="13" t="str">
        <f ca="1"/>
        <v>Coffee</v>
      </c>
      <c r="I695" s="13">
        <f ca="1">IFERROR(__xludf.DUMMYFUNCTION("""COMPUTED_VALUE"""),1)</f>
        <v>1</v>
      </c>
      <c r="J695" s="13">
        <f ca="1">IFERROR(__xludf.DUMMYFUNCTION("""COMPUTED_VALUE"""),9)</f>
        <v>9</v>
      </c>
      <c r="K695" s="13">
        <f ca="1">IFERROR(__xludf.DUMMYFUNCTION("""COMPUTED_VALUE"""),2025)</f>
        <v>2025</v>
      </c>
      <c r="L695" s="15">
        <f ca="1"/>
        <v>45901</v>
      </c>
    </row>
    <row r="696" spans="1:12">
      <c r="A696" s="12" t="str">
        <f ca="1">IFERROR(__xludf.DUMMYFUNCTION("""COMPUTED_VALUE"""),"14-09-2025")</f>
        <v>14-09-2025</v>
      </c>
      <c r="B696" s="13" t="str">
        <f ca="1">IFERROR(__xludf.DUMMYFUNCTION("""COMPUTED_VALUE"""),"Jakarta")</f>
        <v>Jakarta</v>
      </c>
      <c r="C696" s="13" t="str">
        <f ca="1">IFERROR(__xludf.DUMMYFUNCTION("""COMPUTED_VALUE"""),"P04")</f>
        <v>P04</v>
      </c>
      <c r="D696" s="13">
        <f ca="1">IFERROR(__xludf.DUMMYFUNCTION("""COMPUTED_VALUE"""),4)</f>
        <v>4</v>
      </c>
      <c r="E696" s="14">
        <f ca="1">IFERROR(__xludf.DUMMYFUNCTION("""COMPUTED_VALUE"""),30000)</f>
        <v>30000</v>
      </c>
      <c r="F696" s="14">
        <f ca="1">IFERROR(__xludf.DUMMYFUNCTION("""COMPUTED_VALUE"""),120000)</f>
        <v>120000</v>
      </c>
      <c r="G696" s="13" t="str">
        <f ca="1"/>
        <v>Americano</v>
      </c>
      <c r="H696" s="13" t="str">
        <f ca="1"/>
        <v>Coffee</v>
      </c>
      <c r="I696" s="13">
        <f ca="1">IFERROR(__xludf.DUMMYFUNCTION("""COMPUTED_VALUE"""),14)</f>
        <v>14</v>
      </c>
      <c r="J696" s="13">
        <f ca="1">IFERROR(__xludf.DUMMYFUNCTION("""COMPUTED_VALUE"""),9)</f>
        <v>9</v>
      </c>
      <c r="K696" s="13">
        <f ca="1">IFERROR(__xludf.DUMMYFUNCTION("""COMPUTED_VALUE"""),2025)</f>
        <v>2025</v>
      </c>
      <c r="L696" s="15">
        <f ca="1"/>
        <v>45914</v>
      </c>
    </row>
    <row r="697" spans="1:12">
      <c r="A697" s="12" t="str">
        <f ca="1">IFERROR(__xludf.DUMMYFUNCTION("""COMPUTED_VALUE"""),"24-09-2025")</f>
        <v>24-09-2025</v>
      </c>
      <c r="B697" s="13" t="str">
        <f ca="1">IFERROR(__xludf.DUMMYFUNCTION("""COMPUTED_VALUE"""),"Jakarta")</f>
        <v>Jakarta</v>
      </c>
      <c r="C697" s="13" t="str">
        <f ca="1">IFERROR(__xludf.DUMMYFUNCTION("""COMPUTED_VALUE"""),"P05")</f>
        <v>P05</v>
      </c>
      <c r="D697" s="13">
        <f ca="1">IFERROR(__xludf.DUMMYFUNCTION("""COMPUTED_VALUE"""),1)</f>
        <v>1</v>
      </c>
      <c r="E697" s="14">
        <f ca="1">IFERROR(__xludf.DUMMYFUNCTION("""COMPUTED_VALUE"""),30000)</f>
        <v>30000</v>
      </c>
      <c r="F697" s="14">
        <f ca="1">IFERROR(__xludf.DUMMYFUNCTION("""COMPUTED_VALUE"""),30000)</f>
        <v>30000</v>
      </c>
      <c r="G697" s="13" t="str">
        <f ca="1"/>
        <v>Mocha</v>
      </c>
      <c r="H697" s="13" t="str">
        <f ca="1"/>
        <v>Chocolate</v>
      </c>
      <c r="I697" s="13">
        <f ca="1">IFERROR(__xludf.DUMMYFUNCTION("""COMPUTED_VALUE"""),24)</f>
        <v>24</v>
      </c>
      <c r="J697" s="13">
        <f ca="1">IFERROR(__xludf.DUMMYFUNCTION("""COMPUTED_VALUE"""),9)</f>
        <v>9</v>
      </c>
      <c r="K697" s="13">
        <f ca="1">IFERROR(__xludf.DUMMYFUNCTION("""COMPUTED_VALUE"""),2025)</f>
        <v>2025</v>
      </c>
      <c r="L697" s="15">
        <f ca="1"/>
        <v>45924</v>
      </c>
    </row>
    <row r="698" spans="1:12">
      <c r="A698" s="12" t="str">
        <f ca="1">IFERROR(__xludf.DUMMYFUNCTION("""COMPUTED_VALUE"""),"19-09-2025")</f>
        <v>19-09-2025</v>
      </c>
      <c r="B698" s="13" t="str">
        <f ca="1">IFERROR(__xludf.DUMMYFUNCTION("""COMPUTED_VALUE"""),"Jakarta")</f>
        <v>Jakarta</v>
      </c>
      <c r="C698" s="13" t="str">
        <f ca="1">IFERROR(__xludf.DUMMYFUNCTION("""COMPUTED_VALUE"""),"P01")</f>
        <v>P01</v>
      </c>
      <c r="D698" s="13">
        <f ca="1">IFERROR(__xludf.DUMMYFUNCTION("""COMPUTED_VALUE"""),1)</f>
        <v>1</v>
      </c>
      <c r="E698" s="14">
        <f ca="1">IFERROR(__xludf.DUMMYFUNCTION("""COMPUTED_VALUE"""),20000)</f>
        <v>20000</v>
      </c>
      <c r="F698" s="14">
        <f ca="1">IFERROR(__xludf.DUMMYFUNCTION("""COMPUTED_VALUE"""),20000)</f>
        <v>20000</v>
      </c>
      <c r="G698" s="13" t="str">
        <f ca="1"/>
        <v>Cappuccino</v>
      </c>
      <c r="H698" s="13" t="str">
        <f ca="1"/>
        <v>Coffee</v>
      </c>
      <c r="I698" s="13">
        <f ca="1">IFERROR(__xludf.DUMMYFUNCTION("""COMPUTED_VALUE"""),19)</f>
        <v>19</v>
      </c>
      <c r="J698" s="13">
        <f ca="1">IFERROR(__xludf.DUMMYFUNCTION("""COMPUTED_VALUE"""),9)</f>
        <v>9</v>
      </c>
      <c r="K698" s="13">
        <f ca="1">IFERROR(__xludf.DUMMYFUNCTION("""COMPUTED_VALUE"""),2025)</f>
        <v>2025</v>
      </c>
      <c r="L698" s="15">
        <f ca="1"/>
        <v>45919</v>
      </c>
    </row>
    <row r="699" spans="1:12">
      <c r="A699" s="12" t="str">
        <f ca="1">IFERROR(__xludf.DUMMYFUNCTION("""COMPUTED_VALUE"""),"22-09-2025")</f>
        <v>22-09-2025</v>
      </c>
      <c r="B699" s="13" t="str">
        <f ca="1">IFERROR(__xludf.DUMMYFUNCTION("""COMPUTED_VALUE"""),"Jakarta")</f>
        <v>Jakarta</v>
      </c>
      <c r="C699" s="13" t="str">
        <f ca="1">IFERROR(__xludf.DUMMYFUNCTION("""COMPUTED_VALUE"""),"P02")</f>
        <v>P02</v>
      </c>
      <c r="D699" s="13">
        <f ca="1">IFERROR(__xludf.DUMMYFUNCTION("""COMPUTED_VALUE"""),1)</f>
        <v>1</v>
      </c>
      <c r="E699" s="14">
        <f ca="1">IFERROR(__xludf.DUMMYFUNCTION("""COMPUTED_VALUE"""),20000)</f>
        <v>20000</v>
      </c>
      <c r="F699" s="14">
        <f ca="1">IFERROR(__xludf.DUMMYFUNCTION("""COMPUTED_VALUE"""),20000)</f>
        <v>20000</v>
      </c>
      <c r="G699" s="13" t="str">
        <f ca="1"/>
        <v>Latte</v>
      </c>
      <c r="H699" s="13" t="str">
        <f ca="1"/>
        <v>Coffee</v>
      </c>
      <c r="I699" s="13">
        <f ca="1">IFERROR(__xludf.DUMMYFUNCTION("""COMPUTED_VALUE"""),22)</f>
        <v>22</v>
      </c>
      <c r="J699" s="13">
        <f ca="1">IFERROR(__xludf.DUMMYFUNCTION("""COMPUTED_VALUE"""),9)</f>
        <v>9</v>
      </c>
      <c r="K699" s="13">
        <f ca="1">IFERROR(__xludf.DUMMYFUNCTION("""COMPUTED_VALUE"""),2025)</f>
        <v>2025</v>
      </c>
      <c r="L699" s="15">
        <f ca="1"/>
        <v>45922</v>
      </c>
    </row>
    <row r="700" spans="1:12">
      <c r="A700" s="12" t="str">
        <f ca="1">IFERROR(__xludf.DUMMYFUNCTION("""COMPUTED_VALUE"""),"07-09-2025")</f>
        <v>07-09-2025</v>
      </c>
      <c r="B700" s="13" t="str">
        <f ca="1">IFERROR(__xludf.DUMMYFUNCTION("""COMPUTED_VALUE"""),"Jakarta")</f>
        <v>Jakarta</v>
      </c>
      <c r="C700" s="13" t="str">
        <f ca="1">IFERROR(__xludf.DUMMYFUNCTION("""COMPUTED_VALUE"""),"P03")</f>
        <v>P03</v>
      </c>
      <c r="D700" s="13">
        <f ca="1">IFERROR(__xludf.DUMMYFUNCTION("""COMPUTED_VALUE"""),5)</f>
        <v>5</v>
      </c>
      <c r="E700" s="14">
        <f ca="1">IFERROR(__xludf.DUMMYFUNCTION("""COMPUTED_VALUE"""),35000)</f>
        <v>35000</v>
      </c>
      <c r="F700" s="14">
        <f ca="1">IFERROR(__xludf.DUMMYFUNCTION("""COMPUTED_VALUE"""),175000)</f>
        <v>175000</v>
      </c>
      <c r="G700" s="13" t="str">
        <f ca="1"/>
        <v>Espresso</v>
      </c>
      <c r="H700" s="13" t="str">
        <f ca="1"/>
        <v>Coffee</v>
      </c>
      <c r="I700" s="13">
        <f ca="1">IFERROR(__xludf.DUMMYFUNCTION("""COMPUTED_VALUE"""),7)</f>
        <v>7</v>
      </c>
      <c r="J700" s="13">
        <f ca="1">IFERROR(__xludf.DUMMYFUNCTION("""COMPUTED_VALUE"""),9)</f>
        <v>9</v>
      </c>
      <c r="K700" s="13">
        <f ca="1">IFERROR(__xludf.DUMMYFUNCTION("""COMPUTED_VALUE"""),2025)</f>
        <v>2025</v>
      </c>
      <c r="L700" s="15">
        <f ca="1"/>
        <v>45907</v>
      </c>
    </row>
    <row r="701" spans="1:12">
      <c r="A701" s="12" t="str">
        <f ca="1">IFERROR(__xludf.DUMMYFUNCTION("""COMPUTED_VALUE"""),"14-09-2025")</f>
        <v>14-09-2025</v>
      </c>
      <c r="B701" s="13" t="str">
        <f ca="1">IFERROR(__xludf.DUMMYFUNCTION("""COMPUTED_VALUE"""),"Jakarta")</f>
        <v>Jakarta</v>
      </c>
      <c r="C701" s="13" t="str">
        <f ca="1">IFERROR(__xludf.DUMMYFUNCTION("""COMPUTED_VALUE"""),"P04")</f>
        <v>P04</v>
      </c>
      <c r="D701" s="13">
        <f ca="1">IFERROR(__xludf.DUMMYFUNCTION("""COMPUTED_VALUE"""),1)</f>
        <v>1</v>
      </c>
      <c r="E701" s="14">
        <f ca="1">IFERROR(__xludf.DUMMYFUNCTION("""COMPUTED_VALUE"""),25000)</f>
        <v>25000</v>
      </c>
      <c r="F701" s="14">
        <f ca="1">IFERROR(__xludf.DUMMYFUNCTION("""COMPUTED_VALUE"""),25000)</f>
        <v>25000</v>
      </c>
      <c r="G701" s="13" t="str">
        <f ca="1"/>
        <v>Americano</v>
      </c>
      <c r="H701" s="13" t="str">
        <f ca="1"/>
        <v>Coffee</v>
      </c>
      <c r="I701" s="13">
        <f ca="1">IFERROR(__xludf.DUMMYFUNCTION("""COMPUTED_VALUE"""),14)</f>
        <v>14</v>
      </c>
      <c r="J701" s="13">
        <f ca="1">IFERROR(__xludf.DUMMYFUNCTION("""COMPUTED_VALUE"""),9)</f>
        <v>9</v>
      </c>
      <c r="K701" s="13">
        <f ca="1">IFERROR(__xludf.DUMMYFUNCTION("""COMPUTED_VALUE"""),2025)</f>
        <v>2025</v>
      </c>
      <c r="L701" s="15">
        <f ca="1"/>
        <v>45914</v>
      </c>
    </row>
    <row r="702" spans="1:12">
      <c r="A702" s="12" t="str">
        <f ca="1">IFERROR(__xludf.DUMMYFUNCTION("""COMPUTED_VALUE"""),"21-09-2025")</f>
        <v>21-09-2025</v>
      </c>
      <c r="B702" s="13" t="str">
        <f ca="1">IFERROR(__xludf.DUMMYFUNCTION("""COMPUTED_VALUE"""),"Jakarta")</f>
        <v>Jakarta</v>
      </c>
      <c r="C702" s="13" t="str">
        <f ca="1">IFERROR(__xludf.DUMMYFUNCTION("""COMPUTED_VALUE"""),"P05")</f>
        <v>P05</v>
      </c>
      <c r="D702" s="13">
        <f ca="1">IFERROR(__xludf.DUMMYFUNCTION("""COMPUTED_VALUE"""),2)</f>
        <v>2</v>
      </c>
      <c r="E702" s="14">
        <f ca="1">IFERROR(__xludf.DUMMYFUNCTION("""COMPUTED_VALUE"""),30000)</f>
        <v>30000</v>
      </c>
      <c r="F702" s="14">
        <f ca="1">IFERROR(__xludf.DUMMYFUNCTION("""COMPUTED_VALUE"""),60000)</f>
        <v>60000</v>
      </c>
      <c r="G702" s="13" t="str">
        <f ca="1"/>
        <v>Mocha</v>
      </c>
      <c r="H702" s="13" t="str">
        <f ca="1"/>
        <v>Chocolate</v>
      </c>
      <c r="I702" s="13">
        <f ca="1">IFERROR(__xludf.DUMMYFUNCTION("""COMPUTED_VALUE"""),21)</f>
        <v>21</v>
      </c>
      <c r="J702" s="13">
        <f ca="1">IFERROR(__xludf.DUMMYFUNCTION("""COMPUTED_VALUE"""),9)</f>
        <v>9</v>
      </c>
      <c r="K702" s="13">
        <f ca="1">IFERROR(__xludf.DUMMYFUNCTION("""COMPUTED_VALUE"""),2025)</f>
        <v>2025</v>
      </c>
      <c r="L702" s="15">
        <f ca="1"/>
        <v>45921</v>
      </c>
    </row>
    <row r="703" spans="1:12">
      <c r="A703" s="12" t="str">
        <f ca="1">IFERROR(__xludf.DUMMYFUNCTION("""COMPUTED_VALUE"""),"04-09-2025")</f>
        <v>04-09-2025</v>
      </c>
      <c r="B703" s="13" t="str">
        <f ca="1">IFERROR(__xludf.DUMMYFUNCTION("""COMPUTED_VALUE"""),"Jakarta")</f>
        <v>Jakarta</v>
      </c>
      <c r="C703" s="13" t="str">
        <f ca="1">IFERROR(__xludf.DUMMYFUNCTION("""COMPUTED_VALUE"""),"P01")</f>
        <v>P01</v>
      </c>
      <c r="D703" s="13">
        <f ca="1">IFERROR(__xludf.DUMMYFUNCTION("""COMPUTED_VALUE"""),1)</f>
        <v>1</v>
      </c>
      <c r="E703" s="14">
        <f ca="1">IFERROR(__xludf.DUMMYFUNCTION("""COMPUTED_VALUE"""),35000)</f>
        <v>35000</v>
      </c>
      <c r="F703" s="14">
        <f ca="1">IFERROR(__xludf.DUMMYFUNCTION("""COMPUTED_VALUE"""),35000)</f>
        <v>35000</v>
      </c>
      <c r="G703" s="13" t="str">
        <f ca="1"/>
        <v>Cappuccino</v>
      </c>
      <c r="H703" s="13" t="str">
        <f ca="1"/>
        <v>Coffee</v>
      </c>
      <c r="I703" s="13">
        <f ca="1">IFERROR(__xludf.DUMMYFUNCTION("""COMPUTED_VALUE"""),4)</f>
        <v>4</v>
      </c>
      <c r="J703" s="13">
        <f ca="1">IFERROR(__xludf.DUMMYFUNCTION("""COMPUTED_VALUE"""),9)</f>
        <v>9</v>
      </c>
      <c r="K703" s="13">
        <f ca="1">IFERROR(__xludf.DUMMYFUNCTION("""COMPUTED_VALUE"""),2025)</f>
        <v>2025</v>
      </c>
      <c r="L703" s="15">
        <f ca="1"/>
        <v>45904</v>
      </c>
    </row>
    <row r="704" spans="1:12">
      <c r="A704" s="12" t="str">
        <f ca="1">IFERROR(__xludf.DUMMYFUNCTION("""COMPUTED_VALUE"""),"23-09-2025")</f>
        <v>23-09-2025</v>
      </c>
      <c r="B704" s="13" t="str">
        <f ca="1">IFERROR(__xludf.DUMMYFUNCTION("""COMPUTED_VALUE"""),"Jakarta")</f>
        <v>Jakarta</v>
      </c>
      <c r="C704" s="13" t="str">
        <f ca="1">IFERROR(__xludf.DUMMYFUNCTION("""COMPUTED_VALUE"""),"P02")</f>
        <v>P02</v>
      </c>
      <c r="D704" s="13">
        <f ca="1">IFERROR(__xludf.DUMMYFUNCTION("""COMPUTED_VALUE"""),2)</f>
        <v>2</v>
      </c>
      <c r="E704" s="14">
        <f ca="1">IFERROR(__xludf.DUMMYFUNCTION("""COMPUTED_VALUE"""),28000)</f>
        <v>28000</v>
      </c>
      <c r="F704" s="14">
        <f ca="1">IFERROR(__xludf.DUMMYFUNCTION("""COMPUTED_VALUE"""),56000)</f>
        <v>56000</v>
      </c>
      <c r="G704" s="13" t="str">
        <f ca="1"/>
        <v>Latte</v>
      </c>
      <c r="H704" s="13" t="str">
        <f ca="1"/>
        <v>Coffee</v>
      </c>
      <c r="I704" s="13">
        <f ca="1">IFERROR(__xludf.DUMMYFUNCTION("""COMPUTED_VALUE"""),23)</f>
        <v>23</v>
      </c>
      <c r="J704" s="13">
        <f ca="1">IFERROR(__xludf.DUMMYFUNCTION("""COMPUTED_VALUE"""),9)</f>
        <v>9</v>
      </c>
      <c r="K704" s="13">
        <f ca="1">IFERROR(__xludf.DUMMYFUNCTION("""COMPUTED_VALUE"""),2025)</f>
        <v>2025</v>
      </c>
      <c r="L704" s="15">
        <f ca="1"/>
        <v>45923</v>
      </c>
    </row>
    <row r="705" spans="1:12">
      <c r="A705" s="12" t="str">
        <f ca="1">IFERROR(__xludf.DUMMYFUNCTION("""COMPUTED_VALUE"""),"25-09-2025")</f>
        <v>25-09-2025</v>
      </c>
      <c r="B705" s="13" t="str">
        <f ca="1">IFERROR(__xludf.DUMMYFUNCTION("""COMPUTED_VALUE"""),"Jakarta")</f>
        <v>Jakarta</v>
      </c>
      <c r="C705" s="13" t="str">
        <f ca="1">IFERROR(__xludf.DUMMYFUNCTION("""COMPUTED_VALUE"""),"P03")</f>
        <v>P03</v>
      </c>
      <c r="D705" s="13">
        <f ca="1">IFERROR(__xludf.DUMMYFUNCTION("""COMPUTED_VALUE"""),3)</f>
        <v>3</v>
      </c>
      <c r="E705" s="14">
        <f ca="1">IFERROR(__xludf.DUMMYFUNCTION("""COMPUTED_VALUE"""),20000)</f>
        <v>20000</v>
      </c>
      <c r="F705" s="14">
        <f ca="1">IFERROR(__xludf.DUMMYFUNCTION("""COMPUTED_VALUE"""),60000)</f>
        <v>60000</v>
      </c>
      <c r="G705" s="13" t="str">
        <f ca="1"/>
        <v>Espresso</v>
      </c>
      <c r="H705" s="13" t="str">
        <f ca="1"/>
        <v>Coffee</v>
      </c>
      <c r="I705" s="13">
        <f ca="1">IFERROR(__xludf.DUMMYFUNCTION("""COMPUTED_VALUE"""),25)</f>
        <v>25</v>
      </c>
      <c r="J705" s="13">
        <f ca="1">IFERROR(__xludf.DUMMYFUNCTION("""COMPUTED_VALUE"""),9)</f>
        <v>9</v>
      </c>
      <c r="K705" s="13">
        <f ca="1">IFERROR(__xludf.DUMMYFUNCTION("""COMPUTED_VALUE"""),2025)</f>
        <v>2025</v>
      </c>
      <c r="L705" s="15">
        <f ca="1"/>
        <v>45925</v>
      </c>
    </row>
    <row r="706" spans="1:12">
      <c r="A706" s="12" t="str">
        <f ca="1">IFERROR(__xludf.DUMMYFUNCTION("""COMPUTED_VALUE"""),"29-09-2025")</f>
        <v>29-09-2025</v>
      </c>
      <c r="B706" s="13" t="str">
        <f ca="1">IFERROR(__xludf.DUMMYFUNCTION("""COMPUTED_VALUE"""),"Jakarta")</f>
        <v>Jakarta</v>
      </c>
      <c r="C706" s="13" t="str">
        <f ca="1">IFERROR(__xludf.DUMMYFUNCTION("""COMPUTED_VALUE"""),"P04")</f>
        <v>P04</v>
      </c>
      <c r="D706" s="13">
        <f ca="1">IFERROR(__xludf.DUMMYFUNCTION("""COMPUTED_VALUE"""),1)</f>
        <v>1</v>
      </c>
      <c r="E706" s="14">
        <f ca="1">IFERROR(__xludf.DUMMYFUNCTION("""COMPUTED_VALUE"""),30000)</f>
        <v>30000</v>
      </c>
      <c r="F706" s="14">
        <f ca="1">IFERROR(__xludf.DUMMYFUNCTION("""COMPUTED_VALUE"""),30000)</f>
        <v>30000</v>
      </c>
      <c r="G706" s="13" t="str">
        <f ca="1"/>
        <v>Americano</v>
      </c>
      <c r="H706" s="13" t="str">
        <f ca="1"/>
        <v>Coffee</v>
      </c>
      <c r="I706" s="13">
        <f ca="1">IFERROR(__xludf.DUMMYFUNCTION("""COMPUTED_VALUE"""),29)</f>
        <v>29</v>
      </c>
      <c r="J706" s="13">
        <f ca="1">IFERROR(__xludf.DUMMYFUNCTION("""COMPUTED_VALUE"""),9)</f>
        <v>9</v>
      </c>
      <c r="K706" s="13">
        <f ca="1">IFERROR(__xludf.DUMMYFUNCTION("""COMPUTED_VALUE"""),2025)</f>
        <v>2025</v>
      </c>
      <c r="L706" s="15">
        <f ca="1"/>
        <v>45929</v>
      </c>
    </row>
    <row r="707" spans="1:12">
      <c r="A707" s="12" t="str">
        <f ca="1">IFERROR(__xludf.DUMMYFUNCTION("""COMPUTED_VALUE"""),"12-09-2025")</f>
        <v>12-09-2025</v>
      </c>
      <c r="B707" s="13" t="str">
        <f ca="1">IFERROR(__xludf.DUMMYFUNCTION("""COMPUTED_VALUE"""),"Jakarta")</f>
        <v>Jakarta</v>
      </c>
      <c r="C707" s="13" t="str">
        <f ca="1">IFERROR(__xludf.DUMMYFUNCTION("""COMPUTED_VALUE"""),"P05")</f>
        <v>P05</v>
      </c>
      <c r="D707" s="13">
        <f ca="1">IFERROR(__xludf.DUMMYFUNCTION("""COMPUTED_VALUE"""),1)</f>
        <v>1</v>
      </c>
      <c r="E707" s="14">
        <f ca="1">IFERROR(__xludf.DUMMYFUNCTION("""COMPUTED_VALUE"""),25000)</f>
        <v>25000</v>
      </c>
      <c r="F707" s="14">
        <f ca="1">IFERROR(__xludf.DUMMYFUNCTION("""COMPUTED_VALUE"""),25000)</f>
        <v>25000</v>
      </c>
      <c r="G707" s="13" t="str">
        <f ca="1"/>
        <v>Mocha</v>
      </c>
      <c r="H707" s="13" t="str">
        <f ca="1"/>
        <v>Chocolate</v>
      </c>
      <c r="I707" s="13">
        <f ca="1">IFERROR(__xludf.DUMMYFUNCTION("""COMPUTED_VALUE"""),12)</f>
        <v>12</v>
      </c>
      <c r="J707" s="13">
        <f ca="1">IFERROR(__xludf.DUMMYFUNCTION("""COMPUTED_VALUE"""),9)</f>
        <v>9</v>
      </c>
      <c r="K707" s="13">
        <f ca="1">IFERROR(__xludf.DUMMYFUNCTION("""COMPUTED_VALUE"""),2025)</f>
        <v>2025</v>
      </c>
      <c r="L707" s="15">
        <f ca="1"/>
        <v>45912</v>
      </c>
    </row>
    <row r="708" spans="1:12">
      <c r="A708" s="12" t="str">
        <f ca="1">IFERROR(__xludf.DUMMYFUNCTION("""COMPUTED_VALUE"""),"14-09-2025")</f>
        <v>14-09-2025</v>
      </c>
      <c r="B708" s="13" t="str">
        <f ca="1">IFERROR(__xludf.DUMMYFUNCTION("""COMPUTED_VALUE"""),"Jakarta")</f>
        <v>Jakarta</v>
      </c>
      <c r="C708" s="13" t="str">
        <f ca="1">IFERROR(__xludf.DUMMYFUNCTION("""COMPUTED_VALUE"""),"P01")</f>
        <v>P01</v>
      </c>
      <c r="D708" s="13">
        <f ca="1">IFERROR(__xludf.DUMMYFUNCTION("""COMPUTED_VALUE"""),3)</f>
        <v>3</v>
      </c>
      <c r="E708" s="14">
        <f ca="1">IFERROR(__xludf.DUMMYFUNCTION("""COMPUTED_VALUE"""),30000)</f>
        <v>30000</v>
      </c>
      <c r="F708" s="14">
        <f ca="1">IFERROR(__xludf.DUMMYFUNCTION("""COMPUTED_VALUE"""),90000)</f>
        <v>90000</v>
      </c>
      <c r="G708" s="13" t="str">
        <f ca="1"/>
        <v>Cappuccino</v>
      </c>
      <c r="H708" s="13" t="str">
        <f ca="1"/>
        <v>Coffee</v>
      </c>
      <c r="I708" s="13">
        <f ca="1">IFERROR(__xludf.DUMMYFUNCTION("""COMPUTED_VALUE"""),14)</f>
        <v>14</v>
      </c>
      <c r="J708" s="13">
        <f ca="1">IFERROR(__xludf.DUMMYFUNCTION("""COMPUTED_VALUE"""),9)</f>
        <v>9</v>
      </c>
      <c r="K708" s="13">
        <f ca="1">IFERROR(__xludf.DUMMYFUNCTION("""COMPUTED_VALUE"""),2025)</f>
        <v>2025</v>
      </c>
      <c r="L708" s="15">
        <f ca="1"/>
        <v>45914</v>
      </c>
    </row>
    <row r="709" spans="1:12">
      <c r="A709" s="12" t="str">
        <f ca="1">IFERROR(__xludf.DUMMYFUNCTION("""COMPUTED_VALUE"""),"30-09-2025")</f>
        <v>30-09-2025</v>
      </c>
      <c r="B709" s="13" t="str">
        <f ca="1">IFERROR(__xludf.DUMMYFUNCTION("""COMPUTED_VALUE"""),"Jakarta")</f>
        <v>Jakarta</v>
      </c>
      <c r="C709" s="13" t="str">
        <f ca="1">IFERROR(__xludf.DUMMYFUNCTION("""COMPUTED_VALUE"""),"P02")</f>
        <v>P02</v>
      </c>
      <c r="D709" s="13">
        <f ca="1">IFERROR(__xludf.DUMMYFUNCTION("""COMPUTED_VALUE"""),2)</f>
        <v>2</v>
      </c>
      <c r="E709" s="14">
        <f ca="1">IFERROR(__xludf.DUMMYFUNCTION("""COMPUTED_VALUE"""),25000)</f>
        <v>25000</v>
      </c>
      <c r="F709" s="14">
        <f ca="1">IFERROR(__xludf.DUMMYFUNCTION("""COMPUTED_VALUE"""),50000)</f>
        <v>50000</v>
      </c>
      <c r="G709" s="13" t="str">
        <f ca="1"/>
        <v>Latte</v>
      </c>
      <c r="H709" s="13" t="str">
        <f ca="1"/>
        <v>Coffee</v>
      </c>
      <c r="I709" s="13">
        <f ca="1">IFERROR(__xludf.DUMMYFUNCTION("""COMPUTED_VALUE"""),30)</f>
        <v>30</v>
      </c>
      <c r="J709" s="13">
        <f ca="1">IFERROR(__xludf.DUMMYFUNCTION("""COMPUTED_VALUE"""),9)</f>
        <v>9</v>
      </c>
      <c r="K709" s="13">
        <f ca="1">IFERROR(__xludf.DUMMYFUNCTION("""COMPUTED_VALUE"""),2025)</f>
        <v>2025</v>
      </c>
      <c r="L709" s="15">
        <f ca="1"/>
        <v>45930</v>
      </c>
    </row>
    <row r="710" spans="1:12">
      <c r="A710" s="12" t="str">
        <f ca="1">IFERROR(__xludf.DUMMYFUNCTION("""COMPUTED_VALUE"""),"21-09-2025")</f>
        <v>21-09-2025</v>
      </c>
      <c r="B710" s="13" t="str">
        <f ca="1">IFERROR(__xludf.DUMMYFUNCTION("""COMPUTED_VALUE"""),"Jakarta")</f>
        <v>Jakarta</v>
      </c>
      <c r="C710" s="13" t="str">
        <f ca="1">IFERROR(__xludf.DUMMYFUNCTION("""COMPUTED_VALUE"""),"P03")</f>
        <v>P03</v>
      </c>
      <c r="D710" s="13">
        <f ca="1">IFERROR(__xludf.DUMMYFUNCTION("""COMPUTED_VALUE"""),1)</f>
        <v>1</v>
      </c>
      <c r="E710" s="14">
        <f ca="1">IFERROR(__xludf.DUMMYFUNCTION("""COMPUTED_VALUE"""),25000)</f>
        <v>25000</v>
      </c>
      <c r="F710" s="14">
        <f ca="1">IFERROR(__xludf.DUMMYFUNCTION("""COMPUTED_VALUE"""),25000)</f>
        <v>25000</v>
      </c>
      <c r="G710" s="13" t="str">
        <f ca="1"/>
        <v>Espresso</v>
      </c>
      <c r="H710" s="13" t="str">
        <f ca="1"/>
        <v>Coffee</v>
      </c>
      <c r="I710" s="13">
        <f ca="1">IFERROR(__xludf.DUMMYFUNCTION("""COMPUTED_VALUE"""),21)</f>
        <v>21</v>
      </c>
      <c r="J710" s="13">
        <f ca="1">IFERROR(__xludf.DUMMYFUNCTION("""COMPUTED_VALUE"""),9)</f>
        <v>9</v>
      </c>
      <c r="K710" s="13">
        <f ca="1">IFERROR(__xludf.DUMMYFUNCTION("""COMPUTED_VALUE"""),2025)</f>
        <v>2025</v>
      </c>
      <c r="L710" s="15">
        <f ca="1"/>
        <v>45921</v>
      </c>
    </row>
    <row r="711" spans="1:12">
      <c r="A711" s="12" t="str">
        <f ca="1">IFERROR(__xludf.DUMMYFUNCTION("""COMPUTED_VALUE"""),"07-09-2025")</f>
        <v>07-09-2025</v>
      </c>
      <c r="B711" s="13" t="str">
        <f ca="1">IFERROR(__xludf.DUMMYFUNCTION("""COMPUTED_VALUE"""),"Jakarta")</f>
        <v>Jakarta</v>
      </c>
      <c r="C711" s="13" t="str">
        <f ca="1">IFERROR(__xludf.DUMMYFUNCTION("""COMPUTED_VALUE"""),"P04")</f>
        <v>P04</v>
      </c>
      <c r="D711" s="13">
        <f ca="1">IFERROR(__xludf.DUMMYFUNCTION("""COMPUTED_VALUE"""),2)</f>
        <v>2</v>
      </c>
      <c r="E711" s="14">
        <f ca="1">IFERROR(__xludf.DUMMYFUNCTION("""COMPUTED_VALUE"""),30000)</f>
        <v>30000</v>
      </c>
      <c r="F711" s="14">
        <f ca="1">IFERROR(__xludf.DUMMYFUNCTION("""COMPUTED_VALUE"""),60000)</f>
        <v>60000</v>
      </c>
      <c r="G711" s="13" t="str">
        <f ca="1"/>
        <v>Americano</v>
      </c>
      <c r="H711" s="13" t="str">
        <f ca="1"/>
        <v>Coffee</v>
      </c>
      <c r="I711" s="13">
        <f ca="1">IFERROR(__xludf.DUMMYFUNCTION("""COMPUTED_VALUE"""),7)</f>
        <v>7</v>
      </c>
      <c r="J711" s="13">
        <f ca="1">IFERROR(__xludf.DUMMYFUNCTION("""COMPUTED_VALUE"""),9)</f>
        <v>9</v>
      </c>
      <c r="K711" s="13">
        <f ca="1">IFERROR(__xludf.DUMMYFUNCTION("""COMPUTED_VALUE"""),2025)</f>
        <v>2025</v>
      </c>
      <c r="L711" s="15">
        <f ca="1"/>
        <v>45907</v>
      </c>
    </row>
    <row r="712" spans="1:12">
      <c r="A712" s="12" t="str">
        <f ca="1">IFERROR(__xludf.DUMMYFUNCTION("""COMPUTED_VALUE"""),"07-09-2025")</f>
        <v>07-09-2025</v>
      </c>
      <c r="B712" s="13" t="str">
        <f ca="1">IFERROR(__xludf.DUMMYFUNCTION("""COMPUTED_VALUE"""),"Jakarta")</f>
        <v>Jakarta</v>
      </c>
      <c r="C712" s="13" t="str">
        <f ca="1">IFERROR(__xludf.DUMMYFUNCTION("""COMPUTED_VALUE"""),"P05")</f>
        <v>P05</v>
      </c>
      <c r="D712" s="13">
        <f ca="1">IFERROR(__xludf.DUMMYFUNCTION("""COMPUTED_VALUE"""),5)</f>
        <v>5</v>
      </c>
      <c r="E712" s="14">
        <f ca="1">IFERROR(__xludf.DUMMYFUNCTION("""COMPUTED_VALUE"""),28000)</f>
        <v>28000</v>
      </c>
      <c r="F712" s="14">
        <f ca="1">IFERROR(__xludf.DUMMYFUNCTION("""COMPUTED_VALUE"""),140000)</f>
        <v>140000</v>
      </c>
      <c r="G712" s="13" t="str">
        <f ca="1"/>
        <v>Mocha</v>
      </c>
      <c r="H712" s="13" t="str">
        <f ca="1"/>
        <v>Chocolate</v>
      </c>
      <c r="I712" s="13">
        <f ca="1">IFERROR(__xludf.DUMMYFUNCTION("""COMPUTED_VALUE"""),7)</f>
        <v>7</v>
      </c>
      <c r="J712" s="13">
        <f ca="1">IFERROR(__xludf.DUMMYFUNCTION("""COMPUTED_VALUE"""),9)</f>
        <v>9</v>
      </c>
      <c r="K712" s="13">
        <f ca="1">IFERROR(__xludf.DUMMYFUNCTION("""COMPUTED_VALUE"""),2025)</f>
        <v>2025</v>
      </c>
      <c r="L712" s="15">
        <f ca="1"/>
        <v>45907</v>
      </c>
    </row>
    <row r="713" spans="1:12">
      <c r="A713" s="12" t="str">
        <f ca="1">IFERROR(__xludf.DUMMYFUNCTION("""COMPUTED_VALUE"""),"09-09-2025")</f>
        <v>09-09-2025</v>
      </c>
      <c r="B713" s="13" t="str">
        <f ca="1">IFERROR(__xludf.DUMMYFUNCTION("""COMPUTED_VALUE"""),"Jakarta")</f>
        <v>Jakarta</v>
      </c>
      <c r="C713" s="13" t="str">
        <f ca="1">IFERROR(__xludf.DUMMYFUNCTION("""COMPUTED_VALUE"""),"P03")</f>
        <v>P03</v>
      </c>
      <c r="D713" s="13">
        <f ca="1">IFERROR(__xludf.DUMMYFUNCTION("""COMPUTED_VALUE"""),4)</f>
        <v>4</v>
      </c>
      <c r="E713" s="14">
        <f ca="1">IFERROR(__xludf.DUMMYFUNCTION("""COMPUTED_VALUE"""),25000)</f>
        <v>25000</v>
      </c>
      <c r="F713" s="14">
        <f ca="1">IFERROR(__xludf.DUMMYFUNCTION("""COMPUTED_VALUE"""),100000)</f>
        <v>100000</v>
      </c>
      <c r="G713" s="13" t="str">
        <f ca="1"/>
        <v>Espresso</v>
      </c>
      <c r="H713" s="13" t="str">
        <f ca="1"/>
        <v>Coffee</v>
      </c>
      <c r="I713" s="13">
        <f ca="1">IFERROR(__xludf.DUMMYFUNCTION("""COMPUTED_VALUE"""),9)</f>
        <v>9</v>
      </c>
      <c r="J713" s="13">
        <f ca="1">IFERROR(__xludf.DUMMYFUNCTION("""COMPUTED_VALUE"""),9)</f>
        <v>9</v>
      </c>
      <c r="K713" s="13">
        <f ca="1">IFERROR(__xludf.DUMMYFUNCTION("""COMPUTED_VALUE"""),2025)</f>
        <v>2025</v>
      </c>
      <c r="L713" s="15">
        <f ca="1"/>
        <v>45909</v>
      </c>
    </row>
    <row r="714" spans="1:12">
      <c r="A714" s="12" t="str">
        <f ca="1">IFERROR(__xludf.DUMMYFUNCTION("""COMPUTED_VALUE"""),"17-09-2025")</f>
        <v>17-09-2025</v>
      </c>
      <c r="B714" s="13" t="str">
        <f ca="1">IFERROR(__xludf.DUMMYFUNCTION("""COMPUTED_VALUE"""),"Jakarta")</f>
        <v>Jakarta</v>
      </c>
      <c r="C714" s="13" t="str">
        <f ca="1">IFERROR(__xludf.DUMMYFUNCTION("""COMPUTED_VALUE"""),"P04")</f>
        <v>P04</v>
      </c>
      <c r="D714" s="13">
        <f ca="1">IFERROR(__xludf.DUMMYFUNCTION("""COMPUTED_VALUE"""),1)</f>
        <v>1</v>
      </c>
      <c r="E714" s="14">
        <f ca="1">IFERROR(__xludf.DUMMYFUNCTION("""COMPUTED_VALUE"""),30000)</f>
        <v>30000</v>
      </c>
      <c r="F714" s="14">
        <f ca="1">IFERROR(__xludf.DUMMYFUNCTION("""COMPUTED_VALUE"""),30000)</f>
        <v>30000</v>
      </c>
      <c r="G714" s="13" t="str">
        <f ca="1"/>
        <v>Americano</v>
      </c>
      <c r="H714" s="13" t="str">
        <f ca="1"/>
        <v>Coffee</v>
      </c>
      <c r="I714" s="13">
        <f ca="1">IFERROR(__xludf.DUMMYFUNCTION("""COMPUTED_VALUE"""),17)</f>
        <v>17</v>
      </c>
      <c r="J714" s="13">
        <f ca="1">IFERROR(__xludf.DUMMYFUNCTION("""COMPUTED_VALUE"""),9)</f>
        <v>9</v>
      </c>
      <c r="K714" s="13">
        <f ca="1">IFERROR(__xludf.DUMMYFUNCTION("""COMPUTED_VALUE"""),2025)</f>
        <v>2025</v>
      </c>
      <c r="L714" s="15">
        <f ca="1"/>
        <v>45917</v>
      </c>
    </row>
    <row r="715" spans="1:12">
      <c r="A715" s="12" t="str">
        <f ca="1">IFERROR(__xludf.DUMMYFUNCTION("""COMPUTED_VALUE"""),"21-09-2025")</f>
        <v>21-09-2025</v>
      </c>
      <c r="B715" s="13" t="str">
        <f ca="1">IFERROR(__xludf.DUMMYFUNCTION("""COMPUTED_VALUE"""),"Jakarta")</f>
        <v>Jakarta</v>
      </c>
      <c r="C715" s="13" t="str">
        <f ca="1">IFERROR(__xludf.DUMMYFUNCTION("""COMPUTED_VALUE"""),"P05")</f>
        <v>P05</v>
      </c>
      <c r="D715" s="13">
        <f ca="1">IFERROR(__xludf.DUMMYFUNCTION("""COMPUTED_VALUE"""),5)</f>
        <v>5</v>
      </c>
      <c r="E715" s="14">
        <f ca="1">IFERROR(__xludf.DUMMYFUNCTION("""COMPUTED_VALUE"""),20000)</f>
        <v>20000</v>
      </c>
      <c r="F715" s="14">
        <f ca="1">IFERROR(__xludf.DUMMYFUNCTION("""COMPUTED_VALUE"""),100000)</f>
        <v>100000</v>
      </c>
      <c r="G715" s="13" t="str">
        <f ca="1"/>
        <v>Mocha</v>
      </c>
      <c r="H715" s="13" t="str">
        <f ca="1"/>
        <v>Chocolate</v>
      </c>
      <c r="I715" s="13">
        <f ca="1">IFERROR(__xludf.DUMMYFUNCTION("""COMPUTED_VALUE"""),21)</f>
        <v>21</v>
      </c>
      <c r="J715" s="13">
        <f ca="1">IFERROR(__xludf.DUMMYFUNCTION("""COMPUTED_VALUE"""),9)</f>
        <v>9</v>
      </c>
      <c r="K715" s="13">
        <f ca="1">IFERROR(__xludf.DUMMYFUNCTION("""COMPUTED_VALUE"""),2025)</f>
        <v>2025</v>
      </c>
      <c r="L715" s="15">
        <f ca="1"/>
        <v>45921</v>
      </c>
    </row>
    <row r="716" spans="1:12">
      <c r="A716" s="12" t="str">
        <f ca="1">IFERROR(__xludf.DUMMYFUNCTION("""COMPUTED_VALUE"""),"25-09-2025")</f>
        <v>25-09-2025</v>
      </c>
      <c r="B716" s="13" t="str">
        <f ca="1">IFERROR(__xludf.DUMMYFUNCTION("""COMPUTED_VALUE"""),"Jakarta")</f>
        <v>Jakarta</v>
      </c>
      <c r="C716" s="13" t="str">
        <f ca="1">IFERROR(__xludf.DUMMYFUNCTION("""COMPUTED_VALUE"""),"P01")</f>
        <v>P01</v>
      </c>
      <c r="D716" s="13">
        <f ca="1">IFERROR(__xludf.DUMMYFUNCTION("""COMPUTED_VALUE"""),1)</f>
        <v>1</v>
      </c>
      <c r="E716" s="14">
        <f ca="1">IFERROR(__xludf.DUMMYFUNCTION("""COMPUTED_VALUE"""),30000)</f>
        <v>30000</v>
      </c>
      <c r="F716" s="14">
        <f ca="1">IFERROR(__xludf.DUMMYFUNCTION("""COMPUTED_VALUE"""),30000)</f>
        <v>30000</v>
      </c>
      <c r="G716" s="13" t="str">
        <f ca="1"/>
        <v>Cappuccino</v>
      </c>
      <c r="H716" s="13" t="str">
        <f ca="1"/>
        <v>Coffee</v>
      </c>
      <c r="I716" s="13">
        <f ca="1">IFERROR(__xludf.DUMMYFUNCTION("""COMPUTED_VALUE"""),25)</f>
        <v>25</v>
      </c>
      <c r="J716" s="13">
        <f ca="1">IFERROR(__xludf.DUMMYFUNCTION("""COMPUTED_VALUE"""),9)</f>
        <v>9</v>
      </c>
      <c r="K716" s="13">
        <f ca="1">IFERROR(__xludf.DUMMYFUNCTION("""COMPUTED_VALUE"""),2025)</f>
        <v>2025</v>
      </c>
      <c r="L716" s="15">
        <f ca="1"/>
        <v>45925</v>
      </c>
    </row>
    <row r="717" spans="1:12">
      <c r="A717" s="12" t="str">
        <f ca="1">IFERROR(__xludf.DUMMYFUNCTION("""COMPUTED_VALUE"""),"03-09-2025")</f>
        <v>03-09-2025</v>
      </c>
      <c r="B717" s="13" t="str">
        <f ca="1">IFERROR(__xludf.DUMMYFUNCTION("""COMPUTED_VALUE"""),"Jakarta")</f>
        <v>Jakarta</v>
      </c>
      <c r="C717" s="13" t="str">
        <f ca="1">IFERROR(__xludf.DUMMYFUNCTION("""COMPUTED_VALUE"""),"P02")</f>
        <v>P02</v>
      </c>
      <c r="D717" s="13">
        <f ca="1">IFERROR(__xludf.DUMMYFUNCTION("""COMPUTED_VALUE"""),1)</f>
        <v>1</v>
      </c>
      <c r="E717" s="14">
        <f ca="1">IFERROR(__xludf.DUMMYFUNCTION("""COMPUTED_VALUE"""),25000)</f>
        <v>25000</v>
      </c>
      <c r="F717" s="14">
        <f ca="1">IFERROR(__xludf.DUMMYFUNCTION("""COMPUTED_VALUE"""),25000)</f>
        <v>25000</v>
      </c>
      <c r="G717" s="13" t="str">
        <f ca="1"/>
        <v>Latte</v>
      </c>
      <c r="H717" s="13" t="str">
        <f ca="1"/>
        <v>Coffee</v>
      </c>
      <c r="I717" s="13">
        <f ca="1">IFERROR(__xludf.DUMMYFUNCTION("""COMPUTED_VALUE"""),3)</f>
        <v>3</v>
      </c>
      <c r="J717" s="13">
        <f ca="1">IFERROR(__xludf.DUMMYFUNCTION("""COMPUTED_VALUE"""),9)</f>
        <v>9</v>
      </c>
      <c r="K717" s="13">
        <f ca="1">IFERROR(__xludf.DUMMYFUNCTION("""COMPUTED_VALUE"""),2025)</f>
        <v>2025</v>
      </c>
      <c r="L717" s="15">
        <f ca="1"/>
        <v>45903</v>
      </c>
    </row>
    <row r="718" spans="1:12">
      <c r="A718" s="12" t="str">
        <f ca="1">IFERROR(__xludf.DUMMYFUNCTION("""COMPUTED_VALUE"""),"04-09-2025")</f>
        <v>04-09-2025</v>
      </c>
      <c r="B718" s="13" t="str">
        <f ca="1">IFERROR(__xludf.DUMMYFUNCTION("""COMPUTED_VALUE"""),"Jakarta")</f>
        <v>Jakarta</v>
      </c>
      <c r="C718" s="13" t="str">
        <f ca="1">IFERROR(__xludf.DUMMYFUNCTION("""COMPUTED_VALUE"""),"P03")</f>
        <v>P03</v>
      </c>
      <c r="D718" s="13">
        <f ca="1">IFERROR(__xludf.DUMMYFUNCTION("""COMPUTED_VALUE"""),5)</f>
        <v>5</v>
      </c>
      <c r="E718" s="14">
        <f ca="1">IFERROR(__xludf.DUMMYFUNCTION("""COMPUTED_VALUE"""),20000)</f>
        <v>20000</v>
      </c>
      <c r="F718" s="14">
        <f ca="1">IFERROR(__xludf.DUMMYFUNCTION("""COMPUTED_VALUE"""),100000)</f>
        <v>100000</v>
      </c>
      <c r="G718" s="13" t="str">
        <f ca="1"/>
        <v>Espresso</v>
      </c>
      <c r="H718" s="13" t="str">
        <f ca="1"/>
        <v>Coffee</v>
      </c>
      <c r="I718" s="13">
        <f ca="1">IFERROR(__xludf.DUMMYFUNCTION("""COMPUTED_VALUE"""),4)</f>
        <v>4</v>
      </c>
      <c r="J718" s="13">
        <f ca="1">IFERROR(__xludf.DUMMYFUNCTION("""COMPUTED_VALUE"""),9)</f>
        <v>9</v>
      </c>
      <c r="K718" s="13">
        <f ca="1">IFERROR(__xludf.DUMMYFUNCTION("""COMPUTED_VALUE"""),2025)</f>
        <v>2025</v>
      </c>
      <c r="L718" s="15">
        <f ca="1"/>
        <v>45904</v>
      </c>
    </row>
    <row r="719" spans="1:12">
      <c r="A719" s="12" t="str">
        <f ca="1">IFERROR(__xludf.DUMMYFUNCTION("""COMPUTED_VALUE"""),"12-09-2025")</f>
        <v>12-09-2025</v>
      </c>
      <c r="B719" s="13" t="str">
        <f ca="1">IFERROR(__xludf.DUMMYFUNCTION("""COMPUTED_VALUE"""),"Jakarta")</f>
        <v>Jakarta</v>
      </c>
      <c r="C719" s="13" t="str">
        <f ca="1">IFERROR(__xludf.DUMMYFUNCTION("""COMPUTED_VALUE"""),"P04")</f>
        <v>P04</v>
      </c>
      <c r="D719" s="13">
        <f ca="1">IFERROR(__xludf.DUMMYFUNCTION("""COMPUTED_VALUE"""),1)</f>
        <v>1</v>
      </c>
      <c r="E719" s="14">
        <f ca="1">IFERROR(__xludf.DUMMYFUNCTION("""COMPUTED_VALUE"""),25000)</f>
        <v>25000</v>
      </c>
      <c r="F719" s="14">
        <f ca="1">IFERROR(__xludf.DUMMYFUNCTION("""COMPUTED_VALUE"""),25000)</f>
        <v>25000</v>
      </c>
      <c r="G719" s="13" t="str">
        <f ca="1"/>
        <v>Americano</v>
      </c>
      <c r="H719" s="13" t="str">
        <f ca="1"/>
        <v>Coffee</v>
      </c>
      <c r="I719" s="13">
        <f ca="1">IFERROR(__xludf.DUMMYFUNCTION("""COMPUTED_VALUE"""),12)</f>
        <v>12</v>
      </c>
      <c r="J719" s="13">
        <f ca="1">IFERROR(__xludf.DUMMYFUNCTION("""COMPUTED_VALUE"""),9)</f>
        <v>9</v>
      </c>
      <c r="K719" s="13">
        <f ca="1">IFERROR(__xludf.DUMMYFUNCTION("""COMPUTED_VALUE"""),2025)</f>
        <v>2025</v>
      </c>
      <c r="L719" s="15">
        <f ca="1"/>
        <v>45912</v>
      </c>
    </row>
    <row r="720" spans="1:12">
      <c r="A720" s="12" t="str">
        <f ca="1">IFERROR(__xludf.DUMMYFUNCTION("""COMPUTED_VALUE"""),"16-09-2025")</f>
        <v>16-09-2025</v>
      </c>
      <c r="B720" s="13" t="str">
        <f ca="1">IFERROR(__xludf.DUMMYFUNCTION("""COMPUTED_VALUE"""),"Jakarta")</f>
        <v>Jakarta</v>
      </c>
      <c r="C720" s="13" t="str">
        <f ca="1">IFERROR(__xludf.DUMMYFUNCTION("""COMPUTED_VALUE"""),"P05")</f>
        <v>P05</v>
      </c>
      <c r="D720" s="13">
        <f ca="1">IFERROR(__xludf.DUMMYFUNCTION("""COMPUTED_VALUE"""),5)</f>
        <v>5</v>
      </c>
      <c r="E720" s="14">
        <f ca="1">IFERROR(__xludf.DUMMYFUNCTION("""COMPUTED_VALUE"""),20000)</f>
        <v>20000</v>
      </c>
      <c r="F720" s="14">
        <f ca="1">IFERROR(__xludf.DUMMYFUNCTION("""COMPUTED_VALUE"""),100000)</f>
        <v>100000</v>
      </c>
      <c r="G720" s="13" t="str">
        <f ca="1"/>
        <v>Mocha</v>
      </c>
      <c r="H720" s="13" t="str">
        <f ca="1"/>
        <v>Chocolate</v>
      </c>
      <c r="I720" s="13">
        <f ca="1">IFERROR(__xludf.DUMMYFUNCTION("""COMPUTED_VALUE"""),16)</f>
        <v>16</v>
      </c>
      <c r="J720" s="13">
        <f ca="1">IFERROR(__xludf.DUMMYFUNCTION("""COMPUTED_VALUE"""),9)</f>
        <v>9</v>
      </c>
      <c r="K720" s="13">
        <f ca="1">IFERROR(__xludf.DUMMYFUNCTION("""COMPUTED_VALUE"""),2025)</f>
        <v>2025</v>
      </c>
      <c r="L720" s="15">
        <f ca="1"/>
        <v>45916</v>
      </c>
    </row>
    <row r="721" spans="1:12">
      <c r="A721" s="12" t="str">
        <f ca="1">IFERROR(__xludf.DUMMYFUNCTION("""COMPUTED_VALUE"""),"23-09-2025")</f>
        <v>23-09-2025</v>
      </c>
      <c r="B721" s="13" t="str">
        <f ca="1">IFERROR(__xludf.DUMMYFUNCTION("""COMPUTED_VALUE"""),"Jakarta")</f>
        <v>Jakarta</v>
      </c>
      <c r="C721" s="13" t="str">
        <f ca="1">IFERROR(__xludf.DUMMYFUNCTION("""COMPUTED_VALUE"""),"P01")</f>
        <v>P01</v>
      </c>
      <c r="D721" s="13">
        <f ca="1">IFERROR(__xludf.DUMMYFUNCTION("""COMPUTED_VALUE"""),3)</f>
        <v>3</v>
      </c>
      <c r="E721" s="14">
        <f ca="1">IFERROR(__xludf.DUMMYFUNCTION("""COMPUTED_VALUE"""),25000)</f>
        <v>25000</v>
      </c>
      <c r="F721" s="14">
        <f ca="1">IFERROR(__xludf.DUMMYFUNCTION("""COMPUTED_VALUE"""),75000)</f>
        <v>75000</v>
      </c>
      <c r="G721" s="13" t="str">
        <f ca="1"/>
        <v>Cappuccino</v>
      </c>
      <c r="H721" s="13" t="str">
        <f ca="1"/>
        <v>Coffee</v>
      </c>
      <c r="I721" s="13">
        <f ca="1">IFERROR(__xludf.DUMMYFUNCTION("""COMPUTED_VALUE"""),23)</f>
        <v>23</v>
      </c>
      <c r="J721" s="13">
        <f ca="1">IFERROR(__xludf.DUMMYFUNCTION("""COMPUTED_VALUE"""),9)</f>
        <v>9</v>
      </c>
      <c r="K721" s="13">
        <f ca="1">IFERROR(__xludf.DUMMYFUNCTION("""COMPUTED_VALUE"""),2025)</f>
        <v>2025</v>
      </c>
      <c r="L721" s="15">
        <f ca="1"/>
        <v>45923</v>
      </c>
    </row>
    <row r="722" spans="1:12">
      <c r="A722" s="12"/>
      <c r="E722" s="14"/>
      <c r="F722" s="14"/>
      <c r="G722" s="13">
        <v>0</v>
      </c>
      <c r="H722" s="13">
        <v>0</v>
      </c>
      <c r="I722" s="13"/>
      <c r="J722" s="13"/>
      <c r="K722" s="13"/>
      <c r="L722" s="15">
        <v>0</v>
      </c>
    </row>
    <row r="723" spans="1:12">
      <c r="A723" s="12"/>
      <c r="E723" s="14"/>
      <c r="F723" s="14"/>
      <c r="G723" s="13">
        <v>0</v>
      </c>
      <c r="H723" s="13">
        <v>0</v>
      </c>
      <c r="I723" s="13"/>
      <c r="J723" s="13"/>
      <c r="K723" s="13"/>
      <c r="L723" s="15">
        <v>0</v>
      </c>
    </row>
    <row r="724" spans="1:12">
      <c r="A724" s="12"/>
      <c r="E724" s="14"/>
      <c r="F724" s="14"/>
      <c r="G724" s="13">
        <v>0</v>
      </c>
      <c r="H724" s="13">
        <v>0</v>
      </c>
      <c r="I724" s="13"/>
      <c r="J724" s="13"/>
      <c r="K724" s="13"/>
      <c r="L724" s="15">
        <v>0</v>
      </c>
    </row>
    <row r="725" spans="1:12">
      <c r="A725" s="12"/>
      <c r="E725" s="14"/>
      <c r="F725" s="14"/>
      <c r="G725" s="13">
        <v>0</v>
      </c>
      <c r="H725" s="13">
        <v>0</v>
      </c>
      <c r="I725" s="13"/>
      <c r="J725" s="13"/>
      <c r="K725" s="13"/>
      <c r="L725" s="15">
        <v>0</v>
      </c>
    </row>
    <row r="726" spans="1:12">
      <c r="A726" s="12"/>
      <c r="E726" s="14"/>
      <c r="F726" s="14"/>
      <c r="G726" s="13">
        <v>0</v>
      </c>
      <c r="H726" s="13">
        <v>0</v>
      </c>
      <c r="I726" s="13"/>
      <c r="J726" s="13"/>
      <c r="K726" s="13"/>
      <c r="L726" s="15">
        <v>0</v>
      </c>
    </row>
    <row r="727" spans="1:12">
      <c r="A727" s="12"/>
      <c r="E727" s="14"/>
      <c r="F727" s="14"/>
      <c r="G727" s="13">
        <v>0</v>
      </c>
      <c r="H727" s="13">
        <v>0</v>
      </c>
      <c r="I727" s="13"/>
      <c r="J727" s="13"/>
      <c r="K727" s="13"/>
      <c r="L727" s="15">
        <v>0</v>
      </c>
    </row>
    <row r="728" spans="1:12">
      <c r="A728" s="12"/>
      <c r="E728" s="14"/>
      <c r="F728" s="14"/>
      <c r="G728" s="13">
        <v>0</v>
      </c>
      <c r="H728" s="13">
        <v>0</v>
      </c>
      <c r="I728" s="13"/>
      <c r="J728" s="13"/>
      <c r="K728" s="13"/>
      <c r="L728" s="15">
        <v>0</v>
      </c>
    </row>
    <row r="729" spans="1:12">
      <c r="A729" s="12"/>
      <c r="E729" s="14"/>
      <c r="F729" s="14"/>
      <c r="G729" s="13">
        <v>0</v>
      </c>
      <c r="H729" s="13">
        <v>0</v>
      </c>
      <c r="I729" s="13"/>
      <c r="J729" s="13"/>
      <c r="K729" s="13"/>
      <c r="L729" s="15">
        <v>0</v>
      </c>
    </row>
    <row r="730" spans="1:12">
      <c r="A730" s="12"/>
      <c r="E730" s="14"/>
      <c r="F730" s="14"/>
      <c r="G730" s="13">
        <v>0</v>
      </c>
      <c r="H730" s="13">
        <v>0</v>
      </c>
      <c r="I730" s="13"/>
      <c r="J730" s="13"/>
      <c r="K730" s="13"/>
      <c r="L730" s="15">
        <v>0</v>
      </c>
    </row>
    <row r="731" spans="1:12">
      <c r="A731" s="12"/>
      <c r="E731" s="14"/>
      <c r="F731" s="14"/>
      <c r="G731" s="13">
        <v>0</v>
      </c>
      <c r="H731" s="13">
        <v>0</v>
      </c>
      <c r="I731" s="13"/>
      <c r="J731" s="13"/>
      <c r="K731" s="13"/>
      <c r="L731" s="15">
        <v>0</v>
      </c>
    </row>
    <row r="732" spans="1:12">
      <c r="A732" s="12"/>
      <c r="E732" s="14"/>
      <c r="F732" s="14"/>
      <c r="G732" s="13">
        <v>0</v>
      </c>
      <c r="H732" s="13">
        <v>0</v>
      </c>
      <c r="I732" s="13"/>
      <c r="J732" s="13"/>
      <c r="K732" s="13"/>
      <c r="L732" s="15">
        <v>0</v>
      </c>
    </row>
    <row r="733" spans="1:12">
      <c r="A733" s="12"/>
      <c r="E733" s="14"/>
      <c r="F733" s="14"/>
      <c r="G733" s="13">
        <v>0</v>
      </c>
      <c r="H733" s="13">
        <v>0</v>
      </c>
      <c r="I733" s="13"/>
      <c r="J733" s="13"/>
      <c r="K733" s="13"/>
      <c r="L733" s="15">
        <v>0</v>
      </c>
    </row>
    <row r="734" spans="1:12">
      <c r="A734" s="12"/>
      <c r="E734" s="14"/>
      <c r="F734" s="14"/>
      <c r="G734" s="13">
        <v>0</v>
      </c>
      <c r="H734" s="13">
        <v>0</v>
      </c>
      <c r="I734" s="13"/>
      <c r="J734" s="13"/>
      <c r="K734" s="13"/>
      <c r="L734" s="15">
        <v>0</v>
      </c>
    </row>
    <row r="735" spans="1:12">
      <c r="A735" s="12"/>
      <c r="E735" s="14"/>
      <c r="F735" s="14"/>
      <c r="G735" s="13">
        <v>0</v>
      </c>
      <c r="H735" s="13">
        <v>0</v>
      </c>
      <c r="I735" s="13"/>
      <c r="J735" s="13"/>
      <c r="K735" s="13"/>
      <c r="L735" s="15">
        <v>0</v>
      </c>
    </row>
    <row r="736" spans="1:12">
      <c r="A736" s="12"/>
      <c r="E736" s="14"/>
      <c r="F736" s="14"/>
      <c r="G736" s="13">
        <v>0</v>
      </c>
      <c r="H736" s="13">
        <v>0</v>
      </c>
      <c r="I736" s="13"/>
      <c r="J736" s="13"/>
      <c r="K736" s="13"/>
      <c r="L736" s="15">
        <v>0</v>
      </c>
    </row>
    <row r="737" spans="1:12">
      <c r="A737" s="12"/>
      <c r="E737" s="14"/>
      <c r="F737" s="14"/>
      <c r="G737" s="13">
        <v>0</v>
      </c>
      <c r="H737" s="13">
        <v>0</v>
      </c>
      <c r="I737" s="13"/>
      <c r="J737" s="13"/>
      <c r="K737" s="13"/>
      <c r="L737" s="15">
        <v>0</v>
      </c>
    </row>
    <row r="738" spans="1:12">
      <c r="A738" s="12"/>
      <c r="E738" s="14"/>
      <c r="F738" s="14"/>
      <c r="G738" s="13">
        <v>0</v>
      </c>
      <c r="H738" s="13">
        <v>0</v>
      </c>
      <c r="I738" s="13"/>
      <c r="J738" s="13"/>
      <c r="K738" s="13"/>
      <c r="L738" s="15">
        <v>0</v>
      </c>
    </row>
    <row r="739" spans="1:12">
      <c r="A739" s="12"/>
      <c r="E739" s="14"/>
      <c r="F739" s="14"/>
      <c r="G739" s="13">
        <v>0</v>
      </c>
      <c r="H739" s="13">
        <v>0</v>
      </c>
      <c r="I739" s="13"/>
      <c r="J739" s="13"/>
      <c r="K739" s="13"/>
      <c r="L739" s="15">
        <v>0</v>
      </c>
    </row>
    <row r="740" spans="1:12">
      <c r="A740" s="12"/>
      <c r="E740" s="14"/>
      <c r="F740" s="14"/>
      <c r="G740" s="13">
        <v>0</v>
      </c>
      <c r="H740" s="13">
        <v>0</v>
      </c>
      <c r="I740" s="13"/>
      <c r="J740" s="13"/>
      <c r="K740" s="13"/>
      <c r="L740" s="15">
        <v>0</v>
      </c>
    </row>
    <row r="741" spans="1:12">
      <c r="A741" s="12"/>
      <c r="E741" s="14"/>
      <c r="F741" s="14"/>
      <c r="G741" s="13">
        <v>0</v>
      </c>
      <c r="H741" s="13">
        <v>0</v>
      </c>
      <c r="I741" s="13"/>
      <c r="J741" s="13"/>
      <c r="K741" s="13"/>
      <c r="L741" s="15">
        <v>0</v>
      </c>
    </row>
    <row r="742" spans="1:12">
      <c r="A742" s="12"/>
      <c r="E742" s="14"/>
      <c r="F742" s="14"/>
      <c r="G742" s="13">
        <v>0</v>
      </c>
      <c r="H742" s="13">
        <v>0</v>
      </c>
      <c r="I742" s="13"/>
      <c r="J742" s="13"/>
      <c r="K742" s="13"/>
      <c r="L742" s="15">
        <v>0</v>
      </c>
    </row>
    <row r="743" spans="1:12">
      <c r="A743" s="12"/>
      <c r="E743" s="14"/>
      <c r="F743" s="14"/>
      <c r="G743" s="13">
        <v>0</v>
      </c>
      <c r="H743" s="13">
        <v>0</v>
      </c>
      <c r="I743" s="13"/>
      <c r="J743" s="13"/>
      <c r="K743" s="13"/>
      <c r="L743" s="15">
        <v>0</v>
      </c>
    </row>
    <row r="744" spans="1:12">
      <c r="A744" s="12"/>
      <c r="E744" s="14"/>
      <c r="F744" s="14"/>
      <c r="G744" s="13">
        <v>0</v>
      </c>
      <c r="H744" s="13">
        <v>0</v>
      </c>
      <c r="I744" s="13"/>
      <c r="J744" s="13"/>
      <c r="K744" s="13"/>
      <c r="L744" s="15">
        <v>0</v>
      </c>
    </row>
    <row r="745" spans="1:12">
      <c r="A745" s="12"/>
      <c r="E745" s="14"/>
      <c r="F745" s="14"/>
      <c r="G745" s="13">
        <v>0</v>
      </c>
      <c r="H745" s="13">
        <v>0</v>
      </c>
      <c r="I745" s="13"/>
      <c r="J745" s="13"/>
      <c r="K745" s="13"/>
      <c r="L745" s="15">
        <v>0</v>
      </c>
    </row>
    <row r="746" spans="1:12">
      <c r="A746" s="12"/>
      <c r="E746" s="14"/>
      <c r="F746" s="14"/>
      <c r="G746" s="13">
        <v>0</v>
      </c>
      <c r="H746" s="13">
        <v>0</v>
      </c>
      <c r="I746" s="13"/>
      <c r="J746" s="13"/>
      <c r="K746" s="13"/>
      <c r="L746" s="15">
        <v>0</v>
      </c>
    </row>
    <row r="747" spans="1:12">
      <c r="A747" s="12"/>
      <c r="E747" s="14"/>
      <c r="F747" s="14"/>
      <c r="G747" s="13">
        <v>0</v>
      </c>
      <c r="H747" s="13">
        <v>0</v>
      </c>
      <c r="I747" s="13"/>
      <c r="J747" s="13"/>
      <c r="K747" s="13"/>
      <c r="L747" s="15">
        <v>0</v>
      </c>
    </row>
    <row r="748" spans="1:12">
      <c r="A748" s="12"/>
      <c r="E748" s="14"/>
      <c r="F748" s="14"/>
      <c r="G748" s="13">
        <v>0</v>
      </c>
      <c r="H748" s="13">
        <v>0</v>
      </c>
      <c r="I748" s="13"/>
      <c r="J748" s="13"/>
      <c r="K748" s="13"/>
      <c r="L748" s="15">
        <v>0</v>
      </c>
    </row>
    <row r="749" spans="1:12">
      <c r="A749" s="12"/>
      <c r="E749" s="14"/>
      <c r="F749" s="14"/>
      <c r="G749" s="13">
        <v>0</v>
      </c>
      <c r="H749" s="13">
        <v>0</v>
      </c>
      <c r="I749" s="13"/>
      <c r="J749" s="13"/>
      <c r="K749" s="13"/>
      <c r="L749" s="15">
        <v>0</v>
      </c>
    </row>
    <row r="750" spans="1:12">
      <c r="A750" s="12"/>
      <c r="E750" s="14"/>
      <c r="F750" s="14"/>
      <c r="G750" s="13">
        <v>0</v>
      </c>
      <c r="H750" s="13">
        <v>0</v>
      </c>
      <c r="I750" s="13"/>
      <c r="J750" s="13"/>
      <c r="K750" s="13"/>
      <c r="L750" s="15">
        <v>0</v>
      </c>
    </row>
    <row r="751" spans="1:12">
      <c r="A751" s="12"/>
      <c r="E751" s="14"/>
      <c r="F751" s="14"/>
      <c r="G751" s="13">
        <v>0</v>
      </c>
      <c r="H751" s="13">
        <v>0</v>
      </c>
      <c r="I751" s="13"/>
      <c r="J751" s="13"/>
      <c r="K751" s="13"/>
      <c r="L751" s="15">
        <v>0</v>
      </c>
    </row>
    <row r="752" spans="1:12">
      <c r="A752" s="12"/>
      <c r="E752" s="14"/>
      <c r="F752" s="14"/>
      <c r="G752" s="13">
        <v>0</v>
      </c>
      <c r="H752" s="13">
        <v>0</v>
      </c>
      <c r="I752" s="13"/>
      <c r="J752" s="13"/>
      <c r="K752" s="13"/>
      <c r="L752" s="15">
        <v>0</v>
      </c>
    </row>
    <row r="753" spans="1:12">
      <c r="A753" s="12"/>
      <c r="E753" s="14"/>
      <c r="F753" s="14"/>
      <c r="G753" s="13">
        <v>0</v>
      </c>
      <c r="H753" s="13">
        <v>0</v>
      </c>
      <c r="I753" s="13"/>
      <c r="J753" s="13"/>
      <c r="K753" s="13"/>
      <c r="L753" s="15">
        <v>0</v>
      </c>
    </row>
    <row r="754" spans="1:12">
      <c r="A754" s="12"/>
      <c r="E754" s="14"/>
      <c r="F754" s="14"/>
      <c r="G754" s="13">
        <v>0</v>
      </c>
      <c r="H754" s="13">
        <v>0</v>
      </c>
      <c r="I754" s="13"/>
      <c r="J754" s="13"/>
      <c r="K754" s="13"/>
      <c r="L754" s="15">
        <v>0</v>
      </c>
    </row>
    <row r="755" spans="1:12">
      <c r="A755" s="12"/>
      <c r="E755" s="14"/>
      <c r="F755" s="14"/>
      <c r="G755" s="13">
        <v>0</v>
      </c>
      <c r="H755" s="13">
        <v>0</v>
      </c>
      <c r="I755" s="13"/>
      <c r="J755" s="13"/>
      <c r="K755" s="13"/>
      <c r="L755" s="15">
        <v>0</v>
      </c>
    </row>
    <row r="756" spans="1:12">
      <c r="A756" s="12"/>
      <c r="E756" s="14"/>
      <c r="F756" s="14"/>
      <c r="G756" s="13">
        <v>0</v>
      </c>
      <c r="H756" s="13">
        <v>0</v>
      </c>
      <c r="I756" s="13"/>
      <c r="J756" s="13"/>
      <c r="K756" s="13"/>
      <c r="L756" s="15">
        <v>0</v>
      </c>
    </row>
    <row r="757" spans="1:12">
      <c r="A757" s="12"/>
      <c r="E757" s="14"/>
      <c r="F757" s="14"/>
      <c r="G757" s="13">
        <v>0</v>
      </c>
      <c r="H757" s="13">
        <v>0</v>
      </c>
      <c r="I757" s="13"/>
      <c r="J757" s="13"/>
      <c r="K757" s="13"/>
      <c r="L757" s="15">
        <v>0</v>
      </c>
    </row>
    <row r="758" spans="1:12">
      <c r="A758" s="12"/>
      <c r="E758" s="14"/>
      <c r="F758" s="14"/>
      <c r="G758" s="13">
        <v>0</v>
      </c>
      <c r="H758" s="13">
        <v>0</v>
      </c>
      <c r="I758" s="13"/>
      <c r="J758" s="13"/>
      <c r="K758" s="13"/>
      <c r="L758" s="15">
        <v>0</v>
      </c>
    </row>
    <row r="759" spans="1:12">
      <c r="A759" s="12"/>
      <c r="E759" s="14"/>
      <c r="F759" s="14"/>
      <c r="G759" s="13">
        <v>0</v>
      </c>
      <c r="H759" s="13">
        <v>0</v>
      </c>
      <c r="I759" s="13"/>
      <c r="J759" s="13"/>
      <c r="K759" s="13"/>
      <c r="L759" s="15">
        <v>0</v>
      </c>
    </row>
    <row r="760" spans="1:12">
      <c r="A760" s="12"/>
      <c r="E760" s="14"/>
      <c r="F760" s="14"/>
      <c r="G760" s="13">
        <v>0</v>
      </c>
      <c r="H760" s="13">
        <v>0</v>
      </c>
      <c r="I760" s="13"/>
      <c r="J760" s="13"/>
      <c r="K760" s="13"/>
      <c r="L760" s="15">
        <v>0</v>
      </c>
    </row>
    <row r="761" spans="1:12">
      <c r="A761" s="12"/>
      <c r="E761" s="14"/>
      <c r="F761" s="14"/>
      <c r="G761" s="13">
        <v>0</v>
      </c>
      <c r="H761" s="13">
        <v>0</v>
      </c>
      <c r="I761" s="13"/>
      <c r="J761" s="13"/>
      <c r="K761" s="13"/>
      <c r="L761" s="15">
        <v>0</v>
      </c>
    </row>
    <row r="762" spans="1:12">
      <c r="A762" s="12"/>
      <c r="E762" s="14"/>
      <c r="F762" s="14"/>
      <c r="G762" s="13">
        <v>0</v>
      </c>
      <c r="H762" s="13">
        <v>0</v>
      </c>
      <c r="I762" s="13"/>
      <c r="J762" s="13"/>
      <c r="K762" s="13"/>
      <c r="L762" s="15">
        <v>0</v>
      </c>
    </row>
    <row r="763" spans="1:12">
      <c r="A763" s="12"/>
      <c r="E763" s="14"/>
      <c r="F763" s="14"/>
      <c r="G763" s="13">
        <v>0</v>
      </c>
      <c r="H763" s="13">
        <v>0</v>
      </c>
      <c r="I763" s="13"/>
      <c r="J763" s="13"/>
      <c r="K763" s="13"/>
      <c r="L763" s="15">
        <v>0</v>
      </c>
    </row>
    <row r="764" spans="1:12">
      <c r="A764" s="12"/>
      <c r="E764" s="14"/>
      <c r="F764" s="14"/>
      <c r="G764" s="13">
        <v>0</v>
      </c>
      <c r="H764" s="13">
        <v>0</v>
      </c>
      <c r="I764" s="13"/>
      <c r="J764" s="13"/>
      <c r="K764" s="13"/>
      <c r="L764" s="15">
        <v>0</v>
      </c>
    </row>
    <row r="765" spans="1:12">
      <c r="A765" s="12"/>
      <c r="E765" s="14"/>
      <c r="F765" s="14"/>
      <c r="G765" s="13">
        <v>0</v>
      </c>
      <c r="H765" s="13">
        <v>0</v>
      </c>
      <c r="I765" s="13"/>
      <c r="J765" s="13"/>
      <c r="K765" s="13"/>
      <c r="L765" s="15">
        <v>0</v>
      </c>
    </row>
    <row r="766" spans="1:12">
      <c r="A766" s="12"/>
      <c r="E766" s="14"/>
      <c r="F766" s="14"/>
      <c r="G766" s="13">
        <v>0</v>
      </c>
      <c r="H766" s="13">
        <v>0</v>
      </c>
      <c r="I766" s="13"/>
      <c r="J766" s="13"/>
      <c r="K766" s="13"/>
      <c r="L766" s="15">
        <v>0</v>
      </c>
    </row>
    <row r="767" spans="1:12">
      <c r="A767" s="12"/>
      <c r="E767" s="14"/>
      <c r="F767" s="14"/>
      <c r="G767" s="13">
        <v>0</v>
      </c>
      <c r="H767" s="13">
        <v>0</v>
      </c>
      <c r="I767" s="13"/>
      <c r="J767" s="13"/>
      <c r="K767" s="13"/>
      <c r="L767" s="15">
        <v>0</v>
      </c>
    </row>
    <row r="768" spans="1:12">
      <c r="A768" s="12"/>
      <c r="E768" s="14"/>
      <c r="F768" s="14"/>
      <c r="G768" s="13">
        <v>0</v>
      </c>
      <c r="H768" s="13">
        <v>0</v>
      </c>
      <c r="I768" s="13"/>
      <c r="J768" s="13"/>
      <c r="K768" s="13"/>
      <c r="L768" s="15">
        <v>0</v>
      </c>
    </row>
    <row r="769" spans="1:12">
      <c r="A769" s="12"/>
      <c r="E769" s="14"/>
      <c r="F769" s="14"/>
      <c r="G769" s="13">
        <v>0</v>
      </c>
      <c r="H769" s="13">
        <v>0</v>
      </c>
      <c r="I769" s="13"/>
      <c r="J769" s="13"/>
      <c r="K769" s="13"/>
      <c r="L769" s="15">
        <v>0</v>
      </c>
    </row>
    <row r="770" spans="1:12">
      <c r="A770" s="12"/>
      <c r="E770" s="14"/>
      <c r="F770" s="14"/>
      <c r="G770" s="13">
        <v>0</v>
      </c>
      <c r="H770" s="13">
        <v>0</v>
      </c>
      <c r="I770" s="13"/>
      <c r="J770" s="13"/>
      <c r="K770" s="13"/>
      <c r="L770" s="15">
        <v>0</v>
      </c>
    </row>
    <row r="771" spans="1:12">
      <c r="A771" s="12"/>
      <c r="E771" s="14"/>
      <c r="F771" s="14"/>
      <c r="G771" s="13">
        <v>0</v>
      </c>
      <c r="H771" s="13">
        <v>0</v>
      </c>
      <c r="I771" s="13"/>
      <c r="J771" s="13"/>
      <c r="K771" s="13"/>
      <c r="L771" s="15">
        <v>0</v>
      </c>
    </row>
    <row r="772" spans="1:12">
      <c r="A772" s="12"/>
      <c r="E772" s="14"/>
      <c r="F772" s="14"/>
      <c r="G772" s="13">
        <v>0</v>
      </c>
      <c r="H772" s="13">
        <v>0</v>
      </c>
      <c r="I772" s="13"/>
      <c r="J772" s="13"/>
      <c r="K772" s="13"/>
      <c r="L772" s="15">
        <v>0</v>
      </c>
    </row>
    <row r="773" spans="1:12">
      <c r="A773" s="12"/>
      <c r="E773" s="14"/>
      <c r="F773" s="14"/>
      <c r="G773" s="13">
        <v>0</v>
      </c>
      <c r="H773" s="13">
        <v>0</v>
      </c>
      <c r="I773" s="13"/>
      <c r="J773" s="13"/>
      <c r="K773" s="13"/>
      <c r="L773" s="15">
        <v>0</v>
      </c>
    </row>
    <row r="774" spans="1:12">
      <c r="A774" s="12"/>
      <c r="E774" s="14"/>
      <c r="F774" s="14"/>
      <c r="G774" s="13">
        <v>0</v>
      </c>
      <c r="H774" s="13">
        <v>0</v>
      </c>
      <c r="I774" s="13"/>
      <c r="J774" s="13"/>
      <c r="K774" s="13"/>
      <c r="L774" s="15">
        <v>0</v>
      </c>
    </row>
    <row r="775" spans="1:12">
      <c r="A775" s="12"/>
      <c r="E775" s="14"/>
      <c r="F775" s="14"/>
      <c r="G775" s="13">
        <v>0</v>
      </c>
      <c r="H775" s="13">
        <v>0</v>
      </c>
      <c r="I775" s="13"/>
      <c r="J775" s="13"/>
      <c r="K775" s="13"/>
      <c r="L775" s="15">
        <v>0</v>
      </c>
    </row>
    <row r="776" spans="1:12">
      <c r="A776" s="12"/>
      <c r="E776" s="14"/>
      <c r="F776" s="14"/>
      <c r="G776" s="13">
        <v>0</v>
      </c>
      <c r="H776" s="13">
        <v>0</v>
      </c>
      <c r="I776" s="13"/>
      <c r="J776" s="13"/>
      <c r="K776" s="13"/>
      <c r="L776" s="15">
        <v>0</v>
      </c>
    </row>
    <row r="777" spans="1:12">
      <c r="A777" s="12"/>
      <c r="E777" s="14"/>
      <c r="F777" s="14"/>
      <c r="G777" s="13">
        <v>0</v>
      </c>
      <c r="H777" s="13">
        <v>0</v>
      </c>
      <c r="I777" s="13"/>
      <c r="J777" s="13"/>
      <c r="K777" s="13"/>
      <c r="L777" s="15">
        <v>0</v>
      </c>
    </row>
    <row r="778" spans="1:12">
      <c r="A778" s="12"/>
      <c r="E778" s="14"/>
      <c r="F778" s="14"/>
      <c r="G778" s="13">
        <v>0</v>
      </c>
      <c r="H778" s="13">
        <v>0</v>
      </c>
      <c r="I778" s="13"/>
      <c r="J778" s="13"/>
      <c r="K778" s="13"/>
      <c r="L778" s="15">
        <v>0</v>
      </c>
    </row>
    <row r="779" spans="1:12">
      <c r="A779" s="12"/>
      <c r="E779" s="14"/>
      <c r="F779" s="14"/>
      <c r="G779" s="13">
        <v>0</v>
      </c>
      <c r="H779" s="13">
        <v>0</v>
      </c>
      <c r="I779" s="13"/>
      <c r="J779" s="13"/>
      <c r="K779" s="13"/>
      <c r="L779" s="15">
        <v>0</v>
      </c>
    </row>
    <row r="780" spans="1:12">
      <c r="A780" s="12"/>
      <c r="E780" s="14"/>
      <c r="F780" s="14"/>
      <c r="G780" s="13">
        <v>0</v>
      </c>
      <c r="H780" s="13">
        <v>0</v>
      </c>
      <c r="I780" s="13"/>
      <c r="J780" s="13"/>
      <c r="K780" s="13"/>
      <c r="L780" s="15">
        <v>0</v>
      </c>
    </row>
    <row r="781" spans="1:12">
      <c r="A781" s="12"/>
      <c r="E781" s="14"/>
      <c r="F781" s="14"/>
      <c r="G781" s="13">
        <v>0</v>
      </c>
      <c r="H781" s="13">
        <v>0</v>
      </c>
      <c r="I781" s="13"/>
      <c r="J781" s="13"/>
      <c r="K781" s="13"/>
      <c r="L781" s="15">
        <v>0</v>
      </c>
    </row>
    <row r="782" spans="1:12">
      <c r="A782" s="12"/>
      <c r="E782" s="14"/>
      <c r="F782" s="14"/>
      <c r="G782" s="13">
        <v>0</v>
      </c>
      <c r="H782" s="13">
        <v>0</v>
      </c>
      <c r="I782" s="13"/>
      <c r="J782" s="13"/>
      <c r="K782" s="13"/>
      <c r="L782" s="15">
        <v>0</v>
      </c>
    </row>
    <row r="783" spans="1:12">
      <c r="A783" s="12"/>
      <c r="E783" s="14"/>
      <c r="F783" s="14"/>
      <c r="G783" s="13">
        <v>0</v>
      </c>
      <c r="H783" s="13">
        <v>0</v>
      </c>
      <c r="I783" s="13"/>
      <c r="J783" s="13"/>
      <c r="K783" s="13"/>
      <c r="L783" s="15">
        <v>0</v>
      </c>
    </row>
    <row r="784" spans="1:12">
      <c r="A784" s="12"/>
      <c r="E784" s="14"/>
      <c r="F784" s="14"/>
      <c r="G784" s="13">
        <v>0</v>
      </c>
      <c r="H784" s="13">
        <v>0</v>
      </c>
      <c r="I784" s="13"/>
      <c r="J784" s="13"/>
      <c r="K784" s="13"/>
      <c r="L784" s="15">
        <v>0</v>
      </c>
    </row>
    <row r="785" spans="1:12">
      <c r="A785" s="12"/>
      <c r="E785" s="14"/>
      <c r="F785" s="14"/>
      <c r="G785" s="13">
        <v>0</v>
      </c>
      <c r="H785" s="13">
        <v>0</v>
      </c>
      <c r="I785" s="13"/>
      <c r="J785" s="13"/>
      <c r="K785" s="13"/>
      <c r="L785" s="15">
        <v>0</v>
      </c>
    </row>
    <row r="786" spans="1:12">
      <c r="A786" s="12"/>
      <c r="E786" s="14"/>
      <c r="F786" s="14"/>
      <c r="G786" s="13">
        <v>0</v>
      </c>
      <c r="H786" s="13">
        <v>0</v>
      </c>
      <c r="I786" s="13"/>
      <c r="J786" s="13"/>
      <c r="K786" s="13"/>
      <c r="L786" s="15">
        <v>0</v>
      </c>
    </row>
    <row r="787" spans="1:12">
      <c r="A787" s="12"/>
      <c r="E787" s="14"/>
      <c r="F787" s="14"/>
      <c r="G787" s="13">
        <v>0</v>
      </c>
      <c r="H787" s="13">
        <v>0</v>
      </c>
      <c r="I787" s="13"/>
      <c r="J787" s="13"/>
      <c r="K787" s="13"/>
      <c r="L787" s="15">
        <v>0</v>
      </c>
    </row>
    <row r="788" spans="1:12">
      <c r="A788" s="12"/>
      <c r="E788" s="14"/>
      <c r="F788" s="14"/>
      <c r="G788" s="13">
        <v>0</v>
      </c>
      <c r="H788" s="13">
        <v>0</v>
      </c>
      <c r="I788" s="13"/>
      <c r="J788" s="13"/>
      <c r="K788" s="13"/>
      <c r="L788" s="15">
        <v>0</v>
      </c>
    </row>
    <row r="789" spans="1:12">
      <c r="A789" s="12"/>
      <c r="E789" s="14"/>
      <c r="F789" s="14"/>
      <c r="G789" s="13">
        <v>0</v>
      </c>
      <c r="H789" s="13">
        <v>0</v>
      </c>
      <c r="I789" s="13"/>
      <c r="J789" s="13"/>
      <c r="K789" s="13"/>
      <c r="L789" s="15">
        <v>0</v>
      </c>
    </row>
    <row r="790" spans="1:12">
      <c r="A790" s="12"/>
      <c r="E790" s="14"/>
      <c r="F790" s="14"/>
      <c r="G790" s="13">
        <v>0</v>
      </c>
      <c r="H790" s="13">
        <v>0</v>
      </c>
      <c r="I790" s="13"/>
      <c r="J790" s="13"/>
      <c r="K790" s="13"/>
      <c r="L790" s="15">
        <v>0</v>
      </c>
    </row>
    <row r="791" spans="1:12">
      <c r="A791" s="12"/>
      <c r="E791" s="14"/>
      <c r="F791" s="14"/>
      <c r="G791" s="13">
        <v>0</v>
      </c>
      <c r="H791" s="13">
        <v>0</v>
      </c>
      <c r="I791" s="13"/>
      <c r="J791" s="13"/>
      <c r="K791" s="13"/>
      <c r="L791" s="15">
        <v>0</v>
      </c>
    </row>
    <row r="792" spans="1:12">
      <c r="A792" s="12"/>
      <c r="E792" s="14"/>
      <c r="F792" s="14"/>
      <c r="G792" s="13">
        <v>0</v>
      </c>
      <c r="H792" s="13">
        <v>0</v>
      </c>
      <c r="I792" s="13"/>
      <c r="J792" s="13"/>
      <c r="K792" s="13"/>
      <c r="L792" s="15">
        <v>0</v>
      </c>
    </row>
    <row r="793" spans="1:12">
      <c r="A793" s="12"/>
      <c r="E793" s="14"/>
      <c r="F793" s="14"/>
      <c r="G793" s="13">
        <v>0</v>
      </c>
      <c r="H793" s="13">
        <v>0</v>
      </c>
      <c r="I793" s="13"/>
      <c r="J793" s="13"/>
      <c r="K793" s="13"/>
      <c r="L793" s="15">
        <v>0</v>
      </c>
    </row>
    <row r="794" spans="1:12">
      <c r="A794" s="12"/>
      <c r="E794" s="14"/>
      <c r="F794" s="14"/>
      <c r="G794" s="13">
        <v>0</v>
      </c>
      <c r="H794" s="13">
        <v>0</v>
      </c>
      <c r="I794" s="13"/>
      <c r="J794" s="13"/>
      <c r="K794" s="13"/>
      <c r="L794" s="15">
        <v>0</v>
      </c>
    </row>
    <row r="795" spans="1:12">
      <c r="A795" s="12"/>
      <c r="E795" s="14"/>
      <c r="F795" s="14"/>
      <c r="G795" s="13">
        <v>0</v>
      </c>
      <c r="H795" s="13">
        <v>0</v>
      </c>
      <c r="I795" s="13"/>
      <c r="J795" s="13"/>
      <c r="K795" s="13"/>
      <c r="L795" s="15">
        <v>0</v>
      </c>
    </row>
    <row r="796" spans="1:12">
      <c r="A796" s="12"/>
      <c r="E796" s="14"/>
      <c r="F796" s="14"/>
      <c r="G796" s="13">
        <v>0</v>
      </c>
      <c r="H796" s="13">
        <v>0</v>
      </c>
      <c r="I796" s="13"/>
      <c r="J796" s="13"/>
      <c r="K796" s="13"/>
      <c r="L796" s="15">
        <v>0</v>
      </c>
    </row>
    <row r="797" spans="1:12">
      <c r="A797" s="12"/>
      <c r="E797" s="14"/>
      <c r="F797" s="14"/>
      <c r="G797" s="13">
        <v>0</v>
      </c>
      <c r="H797" s="13">
        <v>0</v>
      </c>
      <c r="I797" s="13"/>
      <c r="J797" s="13"/>
      <c r="K797" s="13"/>
      <c r="L797" s="15">
        <v>0</v>
      </c>
    </row>
    <row r="798" spans="1:12">
      <c r="A798" s="12"/>
      <c r="E798" s="14"/>
      <c r="F798" s="14"/>
      <c r="G798" s="13">
        <v>0</v>
      </c>
      <c r="H798" s="13">
        <v>0</v>
      </c>
      <c r="I798" s="13"/>
      <c r="J798" s="13"/>
      <c r="K798" s="13"/>
      <c r="L798" s="15">
        <v>0</v>
      </c>
    </row>
    <row r="799" spans="1:12">
      <c r="A799" s="12"/>
      <c r="E799" s="14"/>
      <c r="F799" s="14"/>
      <c r="G799" s="13">
        <v>0</v>
      </c>
      <c r="H799" s="13">
        <v>0</v>
      </c>
      <c r="I799" s="13"/>
      <c r="J799" s="13"/>
      <c r="K799" s="13"/>
      <c r="L799" s="15">
        <v>0</v>
      </c>
    </row>
    <row r="800" spans="1:12">
      <c r="A800" s="12"/>
      <c r="E800" s="14"/>
      <c r="F800" s="14"/>
      <c r="G800" s="13">
        <v>0</v>
      </c>
      <c r="H800" s="13">
        <v>0</v>
      </c>
      <c r="I800" s="13"/>
      <c r="J800" s="13"/>
      <c r="K800" s="13"/>
      <c r="L800" s="15">
        <v>0</v>
      </c>
    </row>
    <row r="801" spans="1:12">
      <c r="A801" s="12"/>
      <c r="E801" s="14"/>
      <c r="F801" s="14"/>
      <c r="G801" s="13">
        <v>0</v>
      </c>
      <c r="H801" s="13">
        <v>0</v>
      </c>
      <c r="I801" s="13"/>
      <c r="J801" s="13"/>
      <c r="K801" s="13"/>
      <c r="L801" s="15">
        <v>0</v>
      </c>
    </row>
    <row r="802" spans="1:12">
      <c r="A802" s="12"/>
      <c r="E802" s="14"/>
      <c r="F802" s="14"/>
      <c r="G802" s="13">
        <v>0</v>
      </c>
      <c r="H802" s="13">
        <v>0</v>
      </c>
      <c r="I802" s="13"/>
      <c r="J802" s="13"/>
      <c r="K802" s="13"/>
      <c r="L802" s="15">
        <v>0</v>
      </c>
    </row>
    <row r="803" spans="1:12">
      <c r="A803" s="12"/>
      <c r="E803" s="14"/>
      <c r="F803" s="14"/>
      <c r="G803" s="13">
        <v>0</v>
      </c>
      <c r="H803" s="13">
        <v>0</v>
      </c>
      <c r="I803" s="13"/>
      <c r="J803" s="13"/>
      <c r="K803" s="13"/>
      <c r="L803" s="15">
        <v>0</v>
      </c>
    </row>
    <row r="804" spans="1:12">
      <c r="A804" s="12"/>
      <c r="E804" s="14"/>
      <c r="F804" s="14"/>
      <c r="G804" s="13">
        <v>0</v>
      </c>
      <c r="H804" s="13">
        <v>0</v>
      </c>
      <c r="I804" s="13"/>
      <c r="J804" s="13"/>
      <c r="K804" s="13"/>
      <c r="L804" s="15">
        <v>0</v>
      </c>
    </row>
    <row r="805" spans="1:12">
      <c r="A805" s="12"/>
      <c r="E805" s="14"/>
      <c r="F805" s="14"/>
      <c r="G805" s="13">
        <v>0</v>
      </c>
      <c r="H805" s="13">
        <v>0</v>
      </c>
      <c r="I805" s="13"/>
      <c r="J805" s="13"/>
      <c r="K805" s="13"/>
      <c r="L805" s="15">
        <v>0</v>
      </c>
    </row>
    <row r="806" spans="1:12">
      <c r="A806" s="12"/>
      <c r="E806" s="14"/>
      <c r="F806" s="14"/>
      <c r="G806" s="13">
        <v>0</v>
      </c>
      <c r="H806" s="13">
        <v>0</v>
      </c>
      <c r="I806" s="13"/>
      <c r="J806" s="13"/>
      <c r="K806" s="13"/>
      <c r="L806" s="15">
        <v>0</v>
      </c>
    </row>
    <row r="807" spans="1:12">
      <c r="A807" s="12"/>
      <c r="E807" s="14"/>
      <c r="F807" s="14"/>
      <c r="G807" s="13">
        <v>0</v>
      </c>
      <c r="H807" s="13">
        <v>0</v>
      </c>
      <c r="I807" s="13"/>
      <c r="J807" s="13"/>
      <c r="K807" s="13"/>
      <c r="L807" s="15">
        <v>0</v>
      </c>
    </row>
    <row r="808" spans="1:12">
      <c r="A808" s="12"/>
      <c r="E808" s="14"/>
      <c r="F808" s="14"/>
      <c r="G808" s="13">
        <v>0</v>
      </c>
      <c r="H808" s="13">
        <v>0</v>
      </c>
      <c r="I808" s="13"/>
      <c r="J808" s="13"/>
      <c r="K808" s="13"/>
      <c r="L808" s="15">
        <v>0</v>
      </c>
    </row>
    <row r="809" spans="1:12">
      <c r="A809" s="12"/>
      <c r="E809" s="14"/>
      <c r="F809" s="14"/>
      <c r="G809" s="13">
        <v>0</v>
      </c>
      <c r="H809" s="13">
        <v>0</v>
      </c>
      <c r="I809" s="13"/>
      <c r="J809" s="13"/>
      <c r="K809" s="13"/>
      <c r="L809" s="15">
        <v>0</v>
      </c>
    </row>
    <row r="810" spans="1:12">
      <c r="A810" s="12"/>
      <c r="E810" s="14"/>
      <c r="F810" s="14"/>
      <c r="G810" s="13">
        <v>0</v>
      </c>
      <c r="H810" s="13">
        <v>0</v>
      </c>
      <c r="I810" s="13"/>
      <c r="J810" s="13"/>
      <c r="K810" s="13"/>
      <c r="L810" s="15">
        <v>0</v>
      </c>
    </row>
    <row r="811" spans="1:12">
      <c r="A811" s="12"/>
      <c r="E811" s="14"/>
      <c r="F811" s="14"/>
      <c r="G811" s="13">
        <v>0</v>
      </c>
      <c r="H811" s="13">
        <v>0</v>
      </c>
      <c r="I811" s="13"/>
      <c r="J811" s="13"/>
      <c r="K811" s="13"/>
      <c r="L811" s="15">
        <v>0</v>
      </c>
    </row>
    <row r="812" spans="1:12">
      <c r="A812" s="12"/>
      <c r="E812" s="14"/>
      <c r="F812" s="14"/>
      <c r="G812" s="13">
        <v>0</v>
      </c>
      <c r="H812" s="13">
        <v>0</v>
      </c>
      <c r="I812" s="13"/>
      <c r="J812" s="13"/>
      <c r="K812" s="13"/>
      <c r="L812" s="15">
        <v>0</v>
      </c>
    </row>
    <row r="813" spans="1:12">
      <c r="A813" s="12"/>
      <c r="E813" s="14"/>
      <c r="F813" s="14"/>
      <c r="G813" s="13">
        <v>0</v>
      </c>
      <c r="H813" s="13">
        <v>0</v>
      </c>
      <c r="I813" s="13"/>
      <c r="J813" s="13"/>
      <c r="K813" s="13"/>
      <c r="L813" s="15">
        <v>0</v>
      </c>
    </row>
    <row r="814" spans="1:12">
      <c r="A814" s="12"/>
      <c r="E814" s="14"/>
      <c r="F814" s="14"/>
      <c r="G814" s="13">
        <v>0</v>
      </c>
      <c r="H814" s="13">
        <v>0</v>
      </c>
      <c r="I814" s="13"/>
      <c r="J814" s="13"/>
      <c r="K814" s="13"/>
      <c r="L814" s="15">
        <v>0</v>
      </c>
    </row>
    <row r="815" spans="1:12">
      <c r="A815" s="12"/>
      <c r="E815" s="14"/>
      <c r="F815" s="14"/>
      <c r="G815" s="13">
        <v>0</v>
      </c>
      <c r="H815" s="13">
        <v>0</v>
      </c>
      <c r="I815" s="13"/>
      <c r="J815" s="13"/>
      <c r="K815" s="13"/>
      <c r="L815" s="15">
        <v>0</v>
      </c>
    </row>
    <row r="816" spans="1:12">
      <c r="A816" s="12"/>
      <c r="E816" s="14"/>
      <c r="F816" s="14"/>
      <c r="G816" s="13">
        <v>0</v>
      </c>
      <c r="H816" s="13">
        <v>0</v>
      </c>
      <c r="I816" s="13"/>
      <c r="J816" s="13"/>
      <c r="K816" s="13"/>
      <c r="L816" s="15">
        <v>0</v>
      </c>
    </row>
    <row r="817" spans="1:12">
      <c r="A817" s="12"/>
      <c r="E817" s="14"/>
      <c r="F817" s="14"/>
      <c r="G817" s="13">
        <v>0</v>
      </c>
      <c r="H817" s="13">
        <v>0</v>
      </c>
      <c r="I817" s="13"/>
      <c r="J817" s="13"/>
      <c r="K817" s="13"/>
      <c r="L817" s="15">
        <v>0</v>
      </c>
    </row>
    <row r="818" spans="1:12">
      <c r="A818" s="12"/>
      <c r="E818" s="14"/>
      <c r="F818" s="14"/>
      <c r="G818" s="13">
        <v>0</v>
      </c>
      <c r="H818" s="13">
        <v>0</v>
      </c>
      <c r="I818" s="13"/>
      <c r="J818" s="13"/>
      <c r="K818" s="13"/>
      <c r="L818" s="15">
        <v>0</v>
      </c>
    </row>
    <row r="819" spans="1:12">
      <c r="A819" s="12"/>
      <c r="E819" s="14"/>
      <c r="F819" s="14"/>
      <c r="G819" s="13">
        <v>0</v>
      </c>
      <c r="H819" s="13">
        <v>0</v>
      </c>
      <c r="I819" s="13"/>
      <c r="J819" s="13"/>
      <c r="K819" s="13"/>
      <c r="L819" s="15">
        <v>0</v>
      </c>
    </row>
    <row r="820" spans="1:12">
      <c r="A820" s="12"/>
      <c r="E820" s="14"/>
      <c r="F820" s="14"/>
      <c r="G820" s="13">
        <v>0</v>
      </c>
      <c r="H820" s="13">
        <v>0</v>
      </c>
      <c r="I820" s="13"/>
      <c r="J820" s="13"/>
      <c r="K820" s="13"/>
      <c r="L820" s="15">
        <v>0</v>
      </c>
    </row>
    <row r="821" spans="1:12">
      <c r="A821" s="12"/>
      <c r="E821" s="14"/>
      <c r="F821" s="14"/>
      <c r="G821" s="13">
        <v>0</v>
      </c>
      <c r="H821" s="13">
        <v>0</v>
      </c>
      <c r="I821" s="13"/>
      <c r="J821" s="13"/>
      <c r="K821" s="13"/>
      <c r="L821" s="15">
        <v>0</v>
      </c>
    </row>
    <row r="822" spans="1:12">
      <c r="A822" s="12"/>
      <c r="E822" s="14"/>
      <c r="F822" s="14"/>
      <c r="G822" s="13">
        <v>0</v>
      </c>
      <c r="H822" s="13">
        <v>0</v>
      </c>
      <c r="I822" s="13"/>
      <c r="J822" s="13"/>
      <c r="K822" s="13"/>
      <c r="L822" s="15">
        <v>0</v>
      </c>
    </row>
    <row r="823" spans="1:12">
      <c r="A823" s="12"/>
      <c r="E823" s="14"/>
      <c r="F823" s="14"/>
      <c r="G823" s="13">
        <v>0</v>
      </c>
      <c r="H823" s="13">
        <v>0</v>
      </c>
      <c r="I823" s="13"/>
      <c r="J823" s="13"/>
      <c r="K823" s="13"/>
      <c r="L823" s="15">
        <v>0</v>
      </c>
    </row>
    <row r="824" spans="1:12">
      <c r="A824" s="12"/>
      <c r="E824" s="14"/>
      <c r="F824" s="14"/>
      <c r="G824" s="13">
        <v>0</v>
      </c>
      <c r="H824" s="13">
        <v>0</v>
      </c>
      <c r="I824" s="13"/>
      <c r="J824" s="13"/>
      <c r="K824" s="13"/>
      <c r="L824" s="15">
        <v>0</v>
      </c>
    </row>
    <row r="825" spans="1:12">
      <c r="A825" s="12"/>
      <c r="E825" s="14"/>
      <c r="F825" s="14"/>
      <c r="G825" s="13">
        <v>0</v>
      </c>
      <c r="H825" s="13">
        <v>0</v>
      </c>
      <c r="I825" s="13"/>
      <c r="J825" s="13"/>
      <c r="K825" s="13"/>
      <c r="L825" s="15">
        <v>0</v>
      </c>
    </row>
    <row r="826" spans="1:12">
      <c r="A826" s="12"/>
      <c r="E826" s="14"/>
      <c r="F826" s="14"/>
      <c r="G826" s="13">
        <v>0</v>
      </c>
      <c r="H826" s="13">
        <v>0</v>
      </c>
      <c r="I826" s="13"/>
      <c r="J826" s="13"/>
      <c r="K826" s="13"/>
      <c r="L826" s="15">
        <v>0</v>
      </c>
    </row>
    <row r="827" spans="1:12">
      <c r="A827" s="12"/>
      <c r="E827" s="14"/>
      <c r="F827" s="14"/>
      <c r="G827" s="13">
        <v>0</v>
      </c>
      <c r="H827" s="13">
        <v>0</v>
      </c>
      <c r="I827" s="13"/>
      <c r="J827" s="13"/>
      <c r="K827" s="13"/>
      <c r="L827" s="15">
        <v>0</v>
      </c>
    </row>
    <row r="828" spans="1:12">
      <c r="A828" s="12"/>
      <c r="E828" s="14"/>
      <c r="F828" s="14"/>
      <c r="G828" s="13">
        <v>0</v>
      </c>
      <c r="H828" s="13">
        <v>0</v>
      </c>
      <c r="I828" s="13"/>
      <c r="J828" s="13"/>
      <c r="K828" s="13"/>
      <c r="L828" s="15">
        <v>0</v>
      </c>
    </row>
    <row r="829" spans="1:12">
      <c r="A829" s="12"/>
      <c r="E829" s="14"/>
      <c r="F829" s="14"/>
      <c r="G829" s="13">
        <v>0</v>
      </c>
      <c r="H829" s="13">
        <v>0</v>
      </c>
      <c r="I829" s="13"/>
      <c r="J829" s="13"/>
      <c r="K829" s="13"/>
      <c r="L829" s="15">
        <v>0</v>
      </c>
    </row>
    <row r="830" spans="1:12">
      <c r="A830" s="12"/>
      <c r="E830" s="14"/>
      <c r="F830" s="14"/>
      <c r="G830" s="13">
        <v>0</v>
      </c>
      <c r="H830" s="13">
        <v>0</v>
      </c>
      <c r="I830" s="13"/>
      <c r="J830" s="13"/>
      <c r="K830" s="13"/>
      <c r="L830" s="15">
        <v>0</v>
      </c>
    </row>
    <row r="831" spans="1:12">
      <c r="A831" s="12"/>
      <c r="E831" s="14"/>
      <c r="F831" s="14"/>
      <c r="G831" s="13">
        <v>0</v>
      </c>
      <c r="H831" s="13">
        <v>0</v>
      </c>
      <c r="I831" s="13"/>
      <c r="J831" s="13"/>
      <c r="K831" s="13"/>
      <c r="L831" s="15">
        <v>0</v>
      </c>
    </row>
    <row r="832" spans="1:12">
      <c r="A832" s="12"/>
      <c r="E832" s="14"/>
      <c r="F832" s="14"/>
      <c r="G832" s="13">
        <v>0</v>
      </c>
      <c r="H832" s="13">
        <v>0</v>
      </c>
      <c r="I832" s="13"/>
      <c r="J832" s="13"/>
      <c r="K832" s="13"/>
      <c r="L832" s="15">
        <v>0</v>
      </c>
    </row>
    <row r="833" spans="1:12">
      <c r="A833" s="12"/>
      <c r="E833" s="14"/>
      <c r="F833" s="14"/>
      <c r="G833" s="13">
        <v>0</v>
      </c>
      <c r="H833" s="13">
        <v>0</v>
      </c>
      <c r="I833" s="13"/>
      <c r="J833" s="13"/>
      <c r="K833" s="13"/>
      <c r="L833" s="15">
        <v>0</v>
      </c>
    </row>
    <row r="834" spans="1:12">
      <c r="A834" s="12"/>
      <c r="E834" s="14"/>
      <c r="F834" s="14"/>
      <c r="G834" s="13">
        <v>0</v>
      </c>
      <c r="H834" s="13">
        <v>0</v>
      </c>
      <c r="I834" s="13"/>
      <c r="J834" s="13"/>
      <c r="K834" s="13"/>
      <c r="L834" s="15">
        <v>0</v>
      </c>
    </row>
    <row r="835" spans="1:12">
      <c r="A835" s="12"/>
      <c r="E835" s="14"/>
      <c r="F835" s="14"/>
      <c r="G835" s="13">
        <v>0</v>
      </c>
      <c r="H835" s="13">
        <v>0</v>
      </c>
      <c r="I835" s="13"/>
      <c r="J835" s="13"/>
      <c r="K835" s="13"/>
      <c r="L835" s="15">
        <v>0</v>
      </c>
    </row>
    <row r="836" spans="1:12">
      <c r="A836" s="12"/>
      <c r="E836" s="14"/>
      <c r="F836" s="14"/>
      <c r="G836" s="13">
        <v>0</v>
      </c>
      <c r="H836" s="13">
        <v>0</v>
      </c>
      <c r="I836" s="13"/>
      <c r="J836" s="13"/>
      <c r="K836" s="13"/>
      <c r="L836" s="15">
        <v>0</v>
      </c>
    </row>
    <row r="837" spans="1:12">
      <c r="A837" s="12"/>
      <c r="E837" s="14"/>
      <c r="F837" s="14"/>
      <c r="G837" s="13">
        <v>0</v>
      </c>
      <c r="H837" s="13">
        <v>0</v>
      </c>
      <c r="I837" s="13"/>
      <c r="J837" s="13"/>
      <c r="K837" s="13"/>
      <c r="L837" s="15">
        <v>0</v>
      </c>
    </row>
    <row r="838" spans="1:12">
      <c r="A838" s="12"/>
      <c r="E838" s="14"/>
      <c r="F838" s="14"/>
      <c r="G838" s="13">
        <v>0</v>
      </c>
      <c r="H838" s="13">
        <v>0</v>
      </c>
      <c r="I838" s="13"/>
      <c r="J838" s="13"/>
      <c r="K838" s="13"/>
      <c r="L838" s="15">
        <v>0</v>
      </c>
    </row>
    <row r="839" spans="1:12">
      <c r="A839" s="12"/>
      <c r="E839" s="14"/>
      <c r="F839" s="14"/>
      <c r="G839" s="13">
        <v>0</v>
      </c>
      <c r="H839" s="13">
        <v>0</v>
      </c>
      <c r="I839" s="13"/>
      <c r="J839" s="13"/>
      <c r="K839" s="13"/>
      <c r="L839" s="15">
        <v>0</v>
      </c>
    </row>
    <row r="840" spans="1:12">
      <c r="A840" s="12"/>
      <c r="E840" s="14"/>
      <c r="F840" s="14"/>
      <c r="G840" s="13">
        <v>0</v>
      </c>
      <c r="H840" s="13">
        <v>0</v>
      </c>
      <c r="I840" s="13"/>
      <c r="J840" s="13"/>
      <c r="K840" s="13"/>
      <c r="L840" s="15">
        <v>0</v>
      </c>
    </row>
    <row r="841" spans="1:12">
      <c r="A841" s="12"/>
      <c r="E841" s="14"/>
      <c r="F841" s="14"/>
      <c r="G841" s="13">
        <v>0</v>
      </c>
      <c r="H841" s="13">
        <v>0</v>
      </c>
      <c r="I841" s="13"/>
      <c r="J841" s="13"/>
      <c r="K841" s="13"/>
      <c r="L841" s="15">
        <v>0</v>
      </c>
    </row>
    <row r="842" spans="1:12">
      <c r="A842" s="12"/>
      <c r="E842" s="14"/>
      <c r="F842" s="14"/>
      <c r="G842" s="13">
        <v>0</v>
      </c>
      <c r="H842" s="13">
        <v>0</v>
      </c>
      <c r="I842" s="13"/>
      <c r="J842" s="13"/>
      <c r="K842" s="13"/>
      <c r="L842" s="15">
        <v>0</v>
      </c>
    </row>
    <row r="843" spans="1:12">
      <c r="A843" s="12"/>
      <c r="E843" s="14"/>
      <c r="F843" s="14"/>
      <c r="G843" s="13">
        <v>0</v>
      </c>
      <c r="H843" s="13">
        <v>0</v>
      </c>
      <c r="I843" s="13"/>
      <c r="J843" s="13"/>
      <c r="K843" s="13"/>
      <c r="L843" s="15">
        <v>0</v>
      </c>
    </row>
    <row r="844" spans="1:12">
      <c r="A844" s="12"/>
      <c r="E844" s="14"/>
      <c r="F844" s="14"/>
      <c r="G844" s="13">
        <v>0</v>
      </c>
      <c r="H844" s="13">
        <v>0</v>
      </c>
      <c r="I844" s="13"/>
      <c r="J844" s="13"/>
      <c r="K844" s="13"/>
      <c r="L844" s="15">
        <v>0</v>
      </c>
    </row>
    <row r="845" spans="1:12">
      <c r="A845" s="12"/>
      <c r="E845" s="14"/>
      <c r="F845" s="14"/>
      <c r="G845" s="13">
        <v>0</v>
      </c>
      <c r="H845" s="13">
        <v>0</v>
      </c>
      <c r="I845" s="13"/>
      <c r="J845" s="13"/>
      <c r="K845" s="13"/>
      <c r="L845" s="15">
        <v>0</v>
      </c>
    </row>
    <row r="846" spans="1:12">
      <c r="A846" s="12"/>
      <c r="E846" s="14"/>
      <c r="F846" s="14"/>
      <c r="G846" s="13">
        <v>0</v>
      </c>
      <c r="H846" s="13">
        <v>0</v>
      </c>
      <c r="I846" s="13"/>
      <c r="J846" s="13"/>
      <c r="K846" s="13"/>
      <c r="L846" s="15">
        <v>0</v>
      </c>
    </row>
    <row r="847" spans="1:12">
      <c r="A847" s="12"/>
      <c r="E847" s="14"/>
      <c r="F847" s="14"/>
      <c r="G847" s="13">
        <v>0</v>
      </c>
      <c r="H847" s="13">
        <v>0</v>
      </c>
      <c r="I847" s="13"/>
      <c r="J847" s="13"/>
      <c r="K847" s="13"/>
      <c r="L847" s="15">
        <v>0</v>
      </c>
    </row>
    <row r="848" spans="1:12">
      <c r="A848" s="12"/>
      <c r="E848" s="14"/>
      <c r="F848" s="14"/>
      <c r="G848" s="13">
        <v>0</v>
      </c>
      <c r="H848" s="13">
        <v>0</v>
      </c>
      <c r="I848" s="13"/>
      <c r="J848" s="13"/>
      <c r="K848" s="13"/>
      <c r="L848" s="15">
        <v>0</v>
      </c>
    </row>
    <row r="849" spans="1:12">
      <c r="A849" s="12"/>
      <c r="E849" s="14"/>
      <c r="F849" s="14"/>
      <c r="G849" s="13">
        <v>0</v>
      </c>
      <c r="H849" s="13">
        <v>0</v>
      </c>
      <c r="I849" s="13"/>
      <c r="J849" s="13"/>
      <c r="K849" s="13"/>
      <c r="L849" s="15">
        <v>0</v>
      </c>
    </row>
    <row r="850" spans="1:12">
      <c r="A850" s="12"/>
      <c r="E850" s="14"/>
      <c r="F850" s="14"/>
      <c r="G850" s="13">
        <v>0</v>
      </c>
      <c r="H850" s="13">
        <v>0</v>
      </c>
      <c r="I850" s="13"/>
      <c r="J850" s="13"/>
      <c r="K850" s="13"/>
      <c r="L850" s="15">
        <v>0</v>
      </c>
    </row>
    <row r="851" spans="1:12">
      <c r="A851" s="12"/>
      <c r="E851" s="14"/>
      <c r="F851" s="14"/>
      <c r="G851" s="13">
        <v>0</v>
      </c>
      <c r="H851" s="13">
        <v>0</v>
      </c>
      <c r="I851" s="13"/>
      <c r="J851" s="13"/>
      <c r="K851" s="13"/>
      <c r="L851" s="15">
        <v>0</v>
      </c>
    </row>
    <row r="852" spans="1:12">
      <c r="A852" s="12"/>
      <c r="E852" s="14"/>
      <c r="F852" s="14"/>
      <c r="G852" s="13">
        <v>0</v>
      </c>
      <c r="H852" s="13">
        <v>0</v>
      </c>
      <c r="I852" s="13"/>
      <c r="J852" s="13"/>
      <c r="K852" s="13"/>
      <c r="L852" s="15">
        <v>0</v>
      </c>
    </row>
    <row r="853" spans="1:12">
      <c r="A853" s="12"/>
      <c r="E853" s="14"/>
      <c r="F853" s="14"/>
      <c r="G853" s="13">
        <v>0</v>
      </c>
      <c r="H853" s="13">
        <v>0</v>
      </c>
      <c r="I853" s="13"/>
      <c r="J853" s="13"/>
      <c r="K853" s="13"/>
      <c r="L853" s="15">
        <v>0</v>
      </c>
    </row>
    <row r="854" spans="1:12">
      <c r="A854" s="12"/>
      <c r="E854" s="14"/>
      <c r="F854" s="14"/>
      <c r="G854" s="13">
        <v>0</v>
      </c>
      <c r="H854" s="13">
        <v>0</v>
      </c>
      <c r="I854" s="13"/>
      <c r="J854" s="13"/>
      <c r="K854" s="13"/>
      <c r="L854" s="15">
        <v>0</v>
      </c>
    </row>
    <row r="855" spans="1:12">
      <c r="A855" s="12"/>
      <c r="E855" s="14"/>
      <c r="F855" s="14"/>
      <c r="G855" s="13">
        <v>0</v>
      </c>
      <c r="H855" s="13">
        <v>0</v>
      </c>
      <c r="I855" s="13"/>
      <c r="J855" s="13"/>
      <c r="K855" s="13"/>
      <c r="L855" s="15">
        <v>0</v>
      </c>
    </row>
    <row r="856" spans="1:12">
      <c r="A856" s="12"/>
      <c r="E856" s="14"/>
      <c r="F856" s="14"/>
      <c r="G856" s="13">
        <v>0</v>
      </c>
      <c r="H856" s="13">
        <v>0</v>
      </c>
      <c r="I856" s="13"/>
      <c r="J856" s="13"/>
      <c r="K856" s="13"/>
      <c r="L856" s="15">
        <v>0</v>
      </c>
    </row>
    <row r="857" spans="1:12">
      <c r="A857" s="12"/>
      <c r="E857" s="14"/>
      <c r="F857" s="14"/>
      <c r="G857" s="13">
        <v>0</v>
      </c>
      <c r="H857" s="13">
        <v>0</v>
      </c>
      <c r="I857" s="13"/>
      <c r="J857" s="13"/>
      <c r="K857" s="13"/>
      <c r="L857" s="15">
        <v>0</v>
      </c>
    </row>
    <row r="858" spans="1:12">
      <c r="A858" s="12"/>
      <c r="E858" s="14"/>
      <c r="F858" s="14"/>
      <c r="G858" s="13">
        <v>0</v>
      </c>
      <c r="H858" s="13">
        <v>0</v>
      </c>
      <c r="I858" s="13"/>
      <c r="J858" s="13"/>
      <c r="K858" s="13"/>
      <c r="L858" s="15">
        <v>0</v>
      </c>
    </row>
    <row r="859" spans="1:12">
      <c r="A859" s="12"/>
      <c r="E859" s="14"/>
      <c r="F859" s="14"/>
      <c r="G859" s="13">
        <v>0</v>
      </c>
      <c r="H859" s="13">
        <v>0</v>
      </c>
      <c r="I859" s="13"/>
      <c r="J859" s="13"/>
      <c r="K859" s="13"/>
      <c r="L859" s="15">
        <v>0</v>
      </c>
    </row>
    <row r="860" spans="1:12">
      <c r="A860" s="12"/>
      <c r="E860" s="14"/>
      <c r="F860" s="14"/>
      <c r="G860" s="13">
        <v>0</v>
      </c>
      <c r="H860" s="13">
        <v>0</v>
      </c>
      <c r="I860" s="13"/>
      <c r="J860" s="13"/>
      <c r="K860" s="13"/>
      <c r="L860" s="15">
        <v>0</v>
      </c>
    </row>
    <row r="861" spans="1:12">
      <c r="A861" s="12"/>
      <c r="E861" s="14"/>
      <c r="F861" s="14"/>
      <c r="G861" s="13">
        <v>0</v>
      </c>
      <c r="H861" s="13">
        <v>0</v>
      </c>
      <c r="I861" s="13"/>
      <c r="J861" s="13"/>
      <c r="K861" s="13"/>
      <c r="L861" s="15">
        <v>0</v>
      </c>
    </row>
    <row r="862" spans="1:12">
      <c r="A862" s="12"/>
      <c r="E862" s="14"/>
      <c r="F862" s="14"/>
      <c r="G862" s="13">
        <v>0</v>
      </c>
      <c r="H862" s="13">
        <v>0</v>
      </c>
      <c r="I862" s="13"/>
      <c r="J862" s="13"/>
      <c r="K862" s="13"/>
      <c r="L862" s="15">
        <v>0</v>
      </c>
    </row>
    <row r="863" spans="1:12">
      <c r="A863" s="12"/>
      <c r="E863" s="14"/>
      <c r="F863" s="14"/>
      <c r="G863" s="13">
        <v>0</v>
      </c>
      <c r="H863" s="13">
        <v>0</v>
      </c>
      <c r="I863" s="13"/>
      <c r="J863" s="13"/>
      <c r="K863" s="13"/>
      <c r="L863" s="15">
        <v>0</v>
      </c>
    </row>
    <row r="864" spans="1:12">
      <c r="A864" s="12"/>
      <c r="E864" s="14"/>
      <c r="F864" s="14"/>
      <c r="G864" s="13">
        <v>0</v>
      </c>
      <c r="H864" s="13">
        <v>0</v>
      </c>
      <c r="I864" s="13"/>
      <c r="J864" s="13"/>
      <c r="K864" s="13"/>
      <c r="L864" s="15">
        <v>0</v>
      </c>
    </row>
    <row r="865" spans="1:12">
      <c r="A865" s="12"/>
      <c r="E865" s="14"/>
      <c r="F865" s="14"/>
      <c r="G865" s="13">
        <v>0</v>
      </c>
      <c r="H865" s="13">
        <v>0</v>
      </c>
      <c r="I865" s="13"/>
      <c r="J865" s="13"/>
      <c r="K865" s="13"/>
      <c r="L865" s="15">
        <v>0</v>
      </c>
    </row>
    <row r="866" spans="1:12">
      <c r="A866" s="12"/>
      <c r="E866" s="14"/>
      <c r="F866" s="14"/>
      <c r="G866" s="13">
        <v>0</v>
      </c>
      <c r="H866" s="13">
        <v>0</v>
      </c>
      <c r="I866" s="13"/>
      <c r="J866" s="13"/>
      <c r="K866" s="13"/>
      <c r="L866" s="15">
        <v>0</v>
      </c>
    </row>
    <row r="867" spans="1:12">
      <c r="A867" s="12"/>
      <c r="E867" s="14"/>
      <c r="F867" s="14"/>
      <c r="G867" s="13">
        <v>0</v>
      </c>
      <c r="H867" s="13">
        <v>0</v>
      </c>
      <c r="I867" s="13"/>
      <c r="J867" s="13"/>
      <c r="K867" s="13"/>
      <c r="L867" s="15">
        <v>0</v>
      </c>
    </row>
    <row r="868" spans="1:12">
      <c r="A868" s="12"/>
      <c r="E868" s="14"/>
      <c r="F868" s="14"/>
      <c r="G868" s="13">
        <v>0</v>
      </c>
      <c r="H868" s="13">
        <v>0</v>
      </c>
      <c r="I868" s="13"/>
      <c r="J868" s="13"/>
      <c r="K868" s="13"/>
      <c r="L868" s="15">
        <v>0</v>
      </c>
    </row>
    <row r="869" spans="1:12">
      <c r="A869" s="12"/>
      <c r="E869" s="14"/>
      <c r="F869" s="14"/>
      <c r="G869" s="13">
        <v>0</v>
      </c>
      <c r="H869" s="13">
        <v>0</v>
      </c>
      <c r="I869" s="13"/>
      <c r="J869" s="13"/>
      <c r="K869" s="13"/>
      <c r="L869" s="15">
        <v>0</v>
      </c>
    </row>
    <row r="870" spans="1:12">
      <c r="A870" s="12"/>
      <c r="E870" s="14"/>
      <c r="F870" s="14"/>
      <c r="G870" s="13">
        <v>0</v>
      </c>
      <c r="H870" s="13">
        <v>0</v>
      </c>
      <c r="I870" s="13"/>
      <c r="J870" s="13"/>
      <c r="K870" s="13"/>
      <c r="L870" s="15">
        <v>0</v>
      </c>
    </row>
    <row r="871" spans="1:12">
      <c r="A871" s="12"/>
      <c r="E871" s="14"/>
      <c r="F871" s="14"/>
      <c r="G871" s="13">
        <v>0</v>
      </c>
      <c r="H871" s="13">
        <v>0</v>
      </c>
      <c r="I871" s="13"/>
      <c r="J871" s="13"/>
      <c r="K871" s="13"/>
      <c r="L871" s="15">
        <v>0</v>
      </c>
    </row>
    <row r="872" spans="1:12">
      <c r="A872" s="12"/>
      <c r="E872" s="14"/>
      <c r="F872" s="14"/>
      <c r="G872" s="13">
        <v>0</v>
      </c>
      <c r="H872" s="13">
        <v>0</v>
      </c>
      <c r="I872" s="13"/>
      <c r="J872" s="13"/>
      <c r="K872" s="13"/>
      <c r="L872" s="15">
        <v>0</v>
      </c>
    </row>
    <row r="873" spans="1:12">
      <c r="A873" s="12"/>
      <c r="E873" s="14"/>
      <c r="F873" s="14"/>
      <c r="G873" s="13">
        <v>0</v>
      </c>
      <c r="H873" s="13">
        <v>0</v>
      </c>
      <c r="I873" s="13"/>
      <c r="J873" s="13"/>
      <c r="K873" s="13"/>
      <c r="L873" s="15">
        <v>0</v>
      </c>
    </row>
    <row r="874" spans="1:12">
      <c r="A874" s="12"/>
      <c r="E874" s="14"/>
      <c r="F874" s="14"/>
      <c r="G874" s="13">
        <v>0</v>
      </c>
      <c r="H874" s="13">
        <v>0</v>
      </c>
      <c r="I874" s="13"/>
      <c r="J874" s="13"/>
      <c r="K874" s="13"/>
      <c r="L874" s="15">
        <v>0</v>
      </c>
    </row>
    <row r="875" spans="1:12">
      <c r="A875" s="12"/>
      <c r="E875" s="14"/>
      <c r="F875" s="14"/>
      <c r="G875" s="13">
        <v>0</v>
      </c>
      <c r="H875" s="13">
        <v>0</v>
      </c>
      <c r="I875" s="13"/>
      <c r="J875" s="13"/>
      <c r="K875" s="13"/>
      <c r="L875" s="15">
        <v>0</v>
      </c>
    </row>
    <row r="876" spans="1:12">
      <c r="A876" s="12"/>
      <c r="E876" s="14"/>
      <c r="F876" s="14"/>
      <c r="G876" s="13">
        <v>0</v>
      </c>
      <c r="H876" s="13">
        <v>0</v>
      </c>
      <c r="I876" s="13"/>
      <c r="J876" s="13"/>
      <c r="K876" s="13"/>
      <c r="L876" s="15">
        <v>0</v>
      </c>
    </row>
    <row r="877" spans="1:12">
      <c r="A877" s="12"/>
      <c r="E877" s="14"/>
      <c r="F877" s="14"/>
      <c r="G877" s="13">
        <v>0</v>
      </c>
      <c r="H877" s="13">
        <v>0</v>
      </c>
      <c r="I877" s="13"/>
      <c r="J877" s="13"/>
      <c r="K877" s="13"/>
      <c r="L877" s="15">
        <v>0</v>
      </c>
    </row>
    <row r="878" spans="1:12">
      <c r="A878" s="12"/>
      <c r="E878" s="14"/>
      <c r="F878" s="14"/>
      <c r="G878" s="13">
        <v>0</v>
      </c>
      <c r="H878" s="13">
        <v>0</v>
      </c>
      <c r="I878" s="13"/>
      <c r="J878" s="13"/>
      <c r="K878" s="13"/>
      <c r="L878" s="15">
        <v>0</v>
      </c>
    </row>
    <row r="879" spans="1:12">
      <c r="A879" s="12"/>
      <c r="E879" s="14"/>
      <c r="F879" s="14"/>
      <c r="G879" s="13">
        <v>0</v>
      </c>
      <c r="H879" s="13">
        <v>0</v>
      </c>
      <c r="I879" s="13"/>
      <c r="J879" s="13"/>
      <c r="K879" s="13"/>
      <c r="L879" s="15">
        <v>0</v>
      </c>
    </row>
    <row r="880" spans="1:12">
      <c r="A880" s="12"/>
      <c r="E880" s="14"/>
      <c r="F880" s="14"/>
      <c r="G880" s="13">
        <v>0</v>
      </c>
      <c r="H880" s="13">
        <v>0</v>
      </c>
      <c r="I880" s="13"/>
      <c r="J880" s="13"/>
      <c r="K880" s="13"/>
      <c r="L880" s="15">
        <v>0</v>
      </c>
    </row>
    <row r="881" spans="1:12">
      <c r="A881" s="12"/>
      <c r="E881" s="14"/>
      <c r="F881" s="14"/>
      <c r="G881" s="13">
        <v>0</v>
      </c>
      <c r="H881" s="13">
        <v>0</v>
      </c>
      <c r="I881" s="13"/>
      <c r="J881" s="13"/>
      <c r="K881" s="13"/>
      <c r="L881" s="15">
        <v>0</v>
      </c>
    </row>
    <row r="882" spans="1:12">
      <c r="A882" s="12"/>
      <c r="E882" s="14"/>
      <c r="F882" s="14"/>
      <c r="G882" s="13">
        <v>0</v>
      </c>
      <c r="H882" s="13">
        <v>0</v>
      </c>
      <c r="I882" s="13"/>
      <c r="J882" s="13"/>
      <c r="K882" s="13"/>
      <c r="L882" s="15">
        <v>0</v>
      </c>
    </row>
    <row r="883" spans="1:12">
      <c r="A883" s="12"/>
      <c r="E883" s="14"/>
      <c r="F883" s="14"/>
      <c r="G883" s="13">
        <v>0</v>
      </c>
      <c r="H883" s="13">
        <v>0</v>
      </c>
      <c r="I883" s="13"/>
      <c r="J883" s="13"/>
      <c r="K883" s="13"/>
      <c r="L883" s="15">
        <v>0</v>
      </c>
    </row>
    <row r="884" spans="1:12">
      <c r="A884" s="12"/>
      <c r="E884" s="14"/>
      <c r="F884" s="14"/>
      <c r="G884" s="13">
        <v>0</v>
      </c>
      <c r="H884" s="13">
        <v>0</v>
      </c>
      <c r="I884" s="13"/>
      <c r="J884" s="13"/>
      <c r="K884" s="13"/>
      <c r="L884" s="15">
        <v>0</v>
      </c>
    </row>
    <row r="885" spans="1:12">
      <c r="A885" s="12"/>
      <c r="E885" s="14"/>
      <c r="F885" s="14"/>
      <c r="G885" s="13">
        <v>0</v>
      </c>
      <c r="H885" s="13">
        <v>0</v>
      </c>
      <c r="I885" s="13"/>
      <c r="J885" s="13"/>
      <c r="K885" s="13"/>
      <c r="L885" s="15">
        <v>0</v>
      </c>
    </row>
    <row r="886" spans="1:12">
      <c r="A886" s="12"/>
      <c r="E886" s="14"/>
      <c r="F886" s="14"/>
      <c r="G886" s="13">
        <v>0</v>
      </c>
      <c r="H886" s="13">
        <v>0</v>
      </c>
      <c r="I886" s="13"/>
      <c r="J886" s="13"/>
      <c r="K886" s="13"/>
      <c r="L886" s="15">
        <v>0</v>
      </c>
    </row>
    <row r="887" spans="1:12">
      <c r="A887" s="12"/>
      <c r="E887" s="14"/>
      <c r="F887" s="14"/>
      <c r="G887" s="13">
        <v>0</v>
      </c>
      <c r="H887" s="13">
        <v>0</v>
      </c>
      <c r="I887" s="13"/>
      <c r="J887" s="13"/>
      <c r="K887" s="13"/>
      <c r="L887" s="15">
        <v>0</v>
      </c>
    </row>
    <row r="888" spans="1:12">
      <c r="A888" s="12"/>
      <c r="E888" s="14"/>
      <c r="F888" s="14"/>
      <c r="G888" s="13">
        <v>0</v>
      </c>
      <c r="H888" s="13">
        <v>0</v>
      </c>
      <c r="I888" s="13"/>
      <c r="J888" s="13"/>
      <c r="K888" s="13"/>
      <c r="L888" s="15">
        <v>0</v>
      </c>
    </row>
    <row r="889" spans="1:12">
      <c r="A889" s="12"/>
      <c r="E889" s="14"/>
      <c r="F889" s="14"/>
      <c r="G889" s="13">
        <v>0</v>
      </c>
      <c r="H889" s="13">
        <v>0</v>
      </c>
      <c r="I889" s="13"/>
      <c r="J889" s="13"/>
      <c r="K889" s="13"/>
      <c r="L889" s="15">
        <v>0</v>
      </c>
    </row>
    <row r="890" spans="1:12">
      <c r="A890" s="12"/>
      <c r="E890" s="14"/>
      <c r="F890" s="14"/>
      <c r="G890" s="13">
        <v>0</v>
      </c>
      <c r="H890" s="13">
        <v>0</v>
      </c>
      <c r="I890" s="13"/>
      <c r="J890" s="13"/>
      <c r="K890" s="13"/>
      <c r="L890" s="15">
        <v>0</v>
      </c>
    </row>
    <row r="891" spans="1:12">
      <c r="A891" s="12"/>
      <c r="E891" s="14"/>
      <c r="F891" s="14"/>
      <c r="G891" s="13">
        <v>0</v>
      </c>
      <c r="H891" s="13">
        <v>0</v>
      </c>
      <c r="I891" s="13"/>
      <c r="J891" s="13"/>
      <c r="K891" s="13"/>
      <c r="L891" s="15">
        <v>0</v>
      </c>
    </row>
    <row r="892" spans="1:12">
      <c r="A892" s="12"/>
      <c r="E892" s="14"/>
      <c r="F892" s="14"/>
      <c r="G892" s="13">
        <v>0</v>
      </c>
      <c r="H892" s="13">
        <v>0</v>
      </c>
      <c r="I892" s="13"/>
      <c r="J892" s="13"/>
      <c r="K892" s="13"/>
      <c r="L892" s="15">
        <v>0</v>
      </c>
    </row>
    <row r="893" spans="1:12">
      <c r="A893" s="12"/>
      <c r="E893" s="14"/>
      <c r="F893" s="14"/>
      <c r="G893" s="13">
        <v>0</v>
      </c>
      <c r="H893" s="13">
        <v>0</v>
      </c>
      <c r="I893" s="13"/>
      <c r="J893" s="13"/>
      <c r="K893" s="13"/>
      <c r="L893" s="15">
        <v>0</v>
      </c>
    </row>
    <row r="894" spans="1:12">
      <c r="A894" s="12"/>
      <c r="E894" s="14"/>
      <c r="F894" s="14"/>
      <c r="G894" s="13">
        <v>0</v>
      </c>
      <c r="H894" s="13">
        <v>0</v>
      </c>
      <c r="I894" s="13"/>
      <c r="J894" s="13"/>
      <c r="K894" s="13"/>
      <c r="L894" s="15">
        <v>0</v>
      </c>
    </row>
    <row r="895" spans="1:12">
      <c r="A895" s="12"/>
      <c r="E895" s="14"/>
      <c r="F895" s="14"/>
      <c r="G895" s="13">
        <v>0</v>
      </c>
      <c r="H895" s="13">
        <v>0</v>
      </c>
      <c r="I895" s="13"/>
      <c r="J895" s="13"/>
      <c r="K895" s="13"/>
      <c r="L895" s="15">
        <v>0</v>
      </c>
    </row>
    <row r="896" spans="1:12">
      <c r="A896" s="12"/>
      <c r="E896" s="14"/>
      <c r="F896" s="14"/>
      <c r="G896" s="13">
        <v>0</v>
      </c>
      <c r="H896" s="13">
        <v>0</v>
      </c>
      <c r="I896" s="13"/>
      <c r="J896" s="13"/>
      <c r="K896" s="13"/>
      <c r="L896" s="15">
        <v>0</v>
      </c>
    </row>
    <row r="897" spans="1:12">
      <c r="A897" s="12"/>
      <c r="E897" s="14"/>
      <c r="F897" s="14"/>
      <c r="G897" s="13">
        <v>0</v>
      </c>
      <c r="H897" s="13">
        <v>0</v>
      </c>
      <c r="I897" s="13"/>
      <c r="J897" s="13"/>
      <c r="K897" s="13"/>
      <c r="L897" s="15">
        <v>0</v>
      </c>
    </row>
    <row r="898" spans="1:12">
      <c r="A898" s="12"/>
      <c r="E898" s="14"/>
      <c r="F898" s="14"/>
      <c r="G898" s="13">
        <v>0</v>
      </c>
      <c r="H898" s="13">
        <v>0</v>
      </c>
      <c r="I898" s="13"/>
      <c r="J898" s="13"/>
      <c r="K898" s="13"/>
      <c r="L898" s="15">
        <v>0</v>
      </c>
    </row>
    <row r="899" spans="1:12">
      <c r="A899" s="12"/>
      <c r="E899" s="14"/>
      <c r="F899" s="14"/>
      <c r="G899" s="13">
        <v>0</v>
      </c>
      <c r="H899" s="13">
        <v>0</v>
      </c>
      <c r="I899" s="13"/>
      <c r="J899" s="13"/>
      <c r="K899" s="13"/>
      <c r="L899" s="15">
        <v>0</v>
      </c>
    </row>
    <row r="900" spans="1:12">
      <c r="A900" s="12"/>
      <c r="E900" s="14"/>
      <c r="F900" s="14"/>
      <c r="G900" s="13">
        <v>0</v>
      </c>
      <c r="H900" s="13">
        <v>0</v>
      </c>
      <c r="I900" s="13"/>
      <c r="J900" s="13"/>
      <c r="K900" s="13"/>
      <c r="L900" s="15">
        <v>0</v>
      </c>
    </row>
    <row r="901" spans="1:12">
      <c r="A901" s="12"/>
      <c r="E901" s="14"/>
      <c r="F901" s="14"/>
      <c r="G901" s="13">
        <v>0</v>
      </c>
      <c r="H901" s="13">
        <v>0</v>
      </c>
      <c r="I901" s="13"/>
      <c r="J901" s="13"/>
      <c r="K901" s="13"/>
      <c r="L901" s="15">
        <v>0</v>
      </c>
    </row>
    <row r="902" spans="1:12">
      <c r="A902" s="12"/>
      <c r="E902" s="14"/>
      <c r="F902" s="14"/>
      <c r="G902" s="13">
        <v>0</v>
      </c>
      <c r="H902" s="13">
        <v>0</v>
      </c>
      <c r="I902" s="13"/>
      <c r="J902" s="13"/>
      <c r="K902" s="13"/>
      <c r="L902" s="15">
        <v>0</v>
      </c>
    </row>
    <row r="903" spans="1:12">
      <c r="A903" s="12"/>
      <c r="E903" s="14"/>
      <c r="F903" s="14"/>
      <c r="G903" s="13">
        <v>0</v>
      </c>
      <c r="H903" s="13">
        <v>0</v>
      </c>
      <c r="I903" s="13"/>
      <c r="J903" s="13"/>
      <c r="K903" s="13"/>
      <c r="L903" s="15">
        <v>0</v>
      </c>
    </row>
    <row r="904" spans="1:12">
      <c r="A904" s="12"/>
      <c r="E904" s="14"/>
      <c r="F904" s="14"/>
      <c r="G904" s="13">
        <v>0</v>
      </c>
      <c r="H904" s="13">
        <v>0</v>
      </c>
      <c r="I904" s="13"/>
      <c r="J904" s="13"/>
      <c r="K904" s="13"/>
      <c r="L904" s="15">
        <v>0</v>
      </c>
    </row>
    <row r="905" spans="1:12">
      <c r="A905" s="12"/>
      <c r="E905" s="14"/>
      <c r="F905" s="14"/>
      <c r="G905" s="13">
        <v>0</v>
      </c>
      <c r="H905" s="13">
        <v>0</v>
      </c>
      <c r="I905" s="13"/>
      <c r="J905" s="13"/>
      <c r="K905" s="13"/>
      <c r="L905" s="15">
        <v>0</v>
      </c>
    </row>
    <row r="906" spans="1:12">
      <c r="A906" s="12"/>
      <c r="E906" s="14"/>
      <c r="F906" s="14"/>
      <c r="G906" s="13">
        <v>0</v>
      </c>
      <c r="H906" s="13">
        <v>0</v>
      </c>
      <c r="I906" s="13"/>
      <c r="J906" s="13"/>
      <c r="K906" s="13"/>
      <c r="L906" s="15">
        <v>0</v>
      </c>
    </row>
    <row r="907" spans="1:12">
      <c r="A907" s="12"/>
      <c r="E907" s="14"/>
      <c r="F907" s="14"/>
      <c r="G907" s="13">
        <v>0</v>
      </c>
      <c r="H907" s="13">
        <v>0</v>
      </c>
      <c r="I907" s="13"/>
      <c r="J907" s="13"/>
      <c r="K907" s="13"/>
      <c r="L907" s="15">
        <v>0</v>
      </c>
    </row>
    <row r="908" spans="1:12">
      <c r="A908" s="12"/>
      <c r="E908" s="14"/>
      <c r="F908" s="14"/>
      <c r="G908" s="13">
        <v>0</v>
      </c>
      <c r="H908" s="13">
        <v>0</v>
      </c>
      <c r="I908" s="13"/>
      <c r="J908" s="13"/>
      <c r="K908" s="13"/>
      <c r="L908" s="15">
        <v>0</v>
      </c>
    </row>
    <row r="909" spans="1:12">
      <c r="A909" s="12"/>
      <c r="E909" s="14"/>
      <c r="F909" s="14"/>
      <c r="G909" s="13">
        <v>0</v>
      </c>
      <c r="H909" s="13">
        <v>0</v>
      </c>
      <c r="I909" s="13"/>
      <c r="J909" s="13"/>
      <c r="K909" s="13"/>
      <c r="L909" s="15">
        <v>0</v>
      </c>
    </row>
    <row r="910" spans="1:12">
      <c r="A910" s="12"/>
      <c r="E910" s="14"/>
      <c r="F910" s="14"/>
      <c r="G910" s="13">
        <v>0</v>
      </c>
      <c r="H910" s="13">
        <v>0</v>
      </c>
      <c r="I910" s="13"/>
      <c r="J910" s="13"/>
      <c r="K910" s="13"/>
      <c r="L910" s="15">
        <v>0</v>
      </c>
    </row>
    <row r="911" spans="1:12">
      <c r="A911" s="12"/>
      <c r="E911" s="14"/>
      <c r="F911" s="14"/>
      <c r="G911" s="13">
        <v>0</v>
      </c>
      <c r="H911" s="13">
        <v>0</v>
      </c>
      <c r="I911" s="13"/>
      <c r="J911" s="13"/>
      <c r="K911" s="13"/>
      <c r="L911" s="15">
        <v>0</v>
      </c>
    </row>
    <row r="912" spans="1:12">
      <c r="A912" s="12"/>
      <c r="E912" s="14"/>
      <c r="F912" s="14"/>
      <c r="G912" s="13">
        <v>0</v>
      </c>
      <c r="H912" s="13">
        <v>0</v>
      </c>
      <c r="I912" s="13"/>
      <c r="J912" s="13"/>
      <c r="K912" s="13"/>
      <c r="L912" s="15">
        <v>0</v>
      </c>
    </row>
    <row r="913" spans="1:12">
      <c r="A913" s="12"/>
      <c r="E913" s="14"/>
      <c r="F913" s="14"/>
      <c r="G913" s="13">
        <v>0</v>
      </c>
      <c r="H913" s="13">
        <v>0</v>
      </c>
      <c r="I913" s="13"/>
      <c r="J913" s="13"/>
      <c r="K913" s="13"/>
      <c r="L913" s="15">
        <v>0</v>
      </c>
    </row>
    <row r="914" spans="1:12">
      <c r="A914" s="12"/>
      <c r="E914" s="14"/>
      <c r="F914" s="14"/>
      <c r="G914" s="13">
        <v>0</v>
      </c>
      <c r="H914" s="13">
        <v>0</v>
      </c>
      <c r="I914" s="13"/>
      <c r="J914" s="13"/>
      <c r="K914" s="13"/>
      <c r="L914" s="15">
        <v>0</v>
      </c>
    </row>
    <row r="915" spans="1:12">
      <c r="A915" s="12"/>
      <c r="E915" s="14"/>
      <c r="F915" s="14"/>
      <c r="G915" s="13">
        <v>0</v>
      </c>
      <c r="H915" s="13">
        <v>0</v>
      </c>
      <c r="I915" s="13"/>
      <c r="J915" s="13"/>
      <c r="K915" s="13"/>
      <c r="L915" s="15">
        <v>0</v>
      </c>
    </row>
    <row r="916" spans="1:12">
      <c r="A916" s="12"/>
      <c r="E916" s="14"/>
      <c r="F916" s="14"/>
      <c r="G916" s="13">
        <v>0</v>
      </c>
      <c r="H916" s="13">
        <v>0</v>
      </c>
      <c r="I916" s="13"/>
      <c r="J916" s="13"/>
      <c r="K916" s="13"/>
      <c r="L916" s="15">
        <v>0</v>
      </c>
    </row>
    <row r="917" spans="1:12">
      <c r="A917" s="12"/>
      <c r="E917" s="14"/>
      <c r="F917" s="14"/>
      <c r="G917" s="13">
        <v>0</v>
      </c>
      <c r="H917" s="13">
        <v>0</v>
      </c>
      <c r="I917" s="13"/>
      <c r="J917" s="13"/>
      <c r="K917" s="13"/>
      <c r="L917" s="15">
        <v>0</v>
      </c>
    </row>
    <row r="918" spans="1:12">
      <c r="A918" s="12"/>
      <c r="E918" s="14"/>
      <c r="F918" s="14"/>
      <c r="G918" s="13">
        <v>0</v>
      </c>
      <c r="H918" s="13">
        <v>0</v>
      </c>
      <c r="I918" s="13"/>
      <c r="J918" s="13"/>
      <c r="K918" s="13"/>
      <c r="L918" s="15">
        <v>0</v>
      </c>
    </row>
    <row r="919" spans="1:12">
      <c r="A919" s="12"/>
      <c r="E919" s="14"/>
      <c r="F919" s="14"/>
      <c r="G919" s="13">
        <v>0</v>
      </c>
      <c r="H919" s="13">
        <v>0</v>
      </c>
      <c r="I919" s="13"/>
      <c r="J919" s="13"/>
      <c r="K919" s="13"/>
      <c r="L919" s="15">
        <v>0</v>
      </c>
    </row>
    <row r="920" spans="1:12">
      <c r="A920" s="12"/>
      <c r="E920" s="14"/>
      <c r="F920" s="14"/>
      <c r="G920" s="13">
        <v>0</v>
      </c>
      <c r="H920" s="13">
        <v>0</v>
      </c>
      <c r="I920" s="13"/>
      <c r="J920" s="13"/>
      <c r="K920" s="13"/>
      <c r="L920" s="15">
        <v>0</v>
      </c>
    </row>
    <row r="921" spans="1:12">
      <c r="A921" s="12"/>
      <c r="E921" s="14"/>
      <c r="F921" s="14"/>
      <c r="G921" s="13">
        <v>0</v>
      </c>
      <c r="H921" s="13">
        <v>0</v>
      </c>
      <c r="I921" s="13"/>
      <c r="J921" s="13"/>
      <c r="K921" s="13"/>
      <c r="L921" s="15">
        <v>0</v>
      </c>
    </row>
    <row r="922" spans="1:12">
      <c r="A922" s="12"/>
      <c r="E922" s="14"/>
      <c r="F922" s="14"/>
      <c r="G922" s="13">
        <v>0</v>
      </c>
      <c r="H922" s="13">
        <v>0</v>
      </c>
      <c r="I922" s="13"/>
      <c r="J922" s="13"/>
      <c r="K922" s="13"/>
      <c r="L922" s="15">
        <v>0</v>
      </c>
    </row>
    <row r="923" spans="1:12">
      <c r="A923" s="12"/>
      <c r="E923" s="14"/>
      <c r="F923" s="14"/>
      <c r="G923" s="13">
        <v>0</v>
      </c>
      <c r="H923" s="13">
        <v>0</v>
      </c>
      <c r="I923" s="13"/>
      <c r="J923" s="13"/>
      <c r="K923" s="13"/>
      <c r="L923" s="15">
        <v>0</v>
      </c>
    </row>
    <row r="924" spans="1:12">
      <c r="A924" s="12"/>
      <c r="E924" s="14"/>
      <c r="F924" s="14"/>
      <c r="G924" s="13">
        <v>0</v>
      </c>
      <c r="H924" s="13">
        <v>0</v>
      </c>
      <c r="I924" s="13"/>
      <c r="J924" s="13"/>
      <c r="K924" s="13"/>
      <c r="L924" s="15">
        <v>0</v>
      </c>
    </row>
    <row r="925" spans="1:12">
      <c r="A925" s="12"/>
      <c r="E925" s="14"/>
      <c r="F925" s="14"/>
      <c r="G925" s="13">
        <v>0</v>
      </c>
      <c r="H925" s="13">
        <v>0</v>
      </c>
      <c r="I925" s="13"/>
      <c r="J925" s="13"/>
      <c r="K925" s="13"/>
      <c r="L925" s="15">
        <v>0</v>
      </c>
    </row>
    <row r="926" spans="1:12">
      <c r="A926" s="12"/>
      <c r="E926" s="14"/>
      <c r="F926" s="14"/>
      <c r="G926" s="13">
        <v>0</v>
      </c>
      <c r="H926" s="13">
        <v>0</v>
      </c>
      <c r="I926" s="13"/>
      <c r="J926" s="13"/>
      <c r="K926" s="13"/>
      <c r="L926" s="15">
        <v>0</v>
      </c>
    </row>
    <row r="927" spans="1:12">
      <c r="A927" s="12"/>
      <c r="E927" s="14"/>
      <c r="F927" s="14"/>
      <c r="G927" s="13">
        <v>0</v>
      </c>
      <c r="H927" s="13">
        <v>0</v>
      </c>
      <c r="I927" s="13"/>
      <c r="J927" s="13"/>
      <c r="K927" s="13"/>
      <c r="L927" s="15">
        <v>0</v>
      </c>
    </row>
    <row r="928" spans="1:12">
      <c r="A928" s="12"/>
      <c r="E928" s="14"/>
      <c r="F928" s="14"/>
      <c r="G928" s="13">
        <v>0</v>
      </c>
      <c r="H928" s="13">
        <v>0</v>
      </c>
      <c r="I928" s="13"/>
      <c r="J928" s="13"/>
      <c r="K928" s="13"/>
      <c r="L928" s="15">
        <v>0</v>
      </c>
    </row>
    <row r="929" spans="1:12">
      <c r="A929" s="12"/>
      <c r="E929" s="14"/>
      <c r="F929" s="14"/>
      <c r="G929" s="13">
        <v>0</v>
      </c>
      <c r="H929" s="13">
        <v>0</v>
      </c>
      <c r="I929" s="13"/>
      <c r="J929" s="13"/>
      <c r="K929" s="13"/>
      <c r="L929" s="15">
        <v>0</v>
      </c>
    </row>
    <row r="930" spans="1:12">
      <c r="A930" s="12"/>
      <c r="E930" s="14"/>
      <c r="F930" s="14"/>
      <c r="G930" s="13">
        <v>0</v>
      </c>
      <c r="H930" s="13">
        <v>0</v>
      </c>
      <c r="I930" s="13"/>
      <c r="J930" s="13"/>
      <c r="K930" s="13"/>
      <c r="L930" s="15">
        <v>0</v>
      </c>
    </row>
    <row r="931" spans="1:12">
      <c r="A931" s="12"/>
      <c r="E931" s="14"/>
      <c r="F931" s="14"/>
      <c r="G931" s="13">
        <v>0</v>
      </c>
      <c r="H931" s="13">
        <v>0</v>
      </c>
      <c r="I931" s="13"/>
      <c r="J931" s="13"/>
      <c r="K931" s="13"/>
      <c r="L931" s="15">
        <v>0</v>
      </c>
    </row>
    <row r="932" spans="1:12">
      <c r="A932" s="12"/>
      <c r="E932" s="14"/>
      <c r="F932" s="14"/>
      <c r="G932" s="13">
        <v>0</v>
      </c>
      <c r="H932" s="13">
        <v>0</v>
      </c>
      <c r="I932" s="13"/>
      <c r="J932" s="13"/>
      <c r="K932" s="13"/>
      <c r="L932" s="15">
        <v>0</v>
      </c>
    </row>
    <row r="933" spans="1:12">
      <c r="A933" s="12"/>
      <c r="E933" s="14"/>
      <c r="F933" s="14"/>
      <c r="G933" s="13">
        <v>0</v>
      </c>
      <c r="H933" s="13">
        <v>0</v>
      </c>
      <c r="I933" s="13"/>
      <c r="J933" s="13"/>
      <c r="K933" s="13"/>
      <c r="L933" s="15">
        <v>0</v>
      </c>
    </row>
    <row r="934" spans="1:12">
      <c r="A934" s="12"/>
      <c r="E934" s="14"/>
      <c r="F934" s="14"/>
      <c r="G934" s="13">
        <v>0</v>
      </c>
      <c r="H934" s="13">
        <v>0</v>
      </c>
      <c r="I934" s="13"/>
      <c r="J934" s="13"/>
      <c r="K934" s="13"/>
      <c r="L934" s="15">
        <v>0</v>
      </c>
    </row>
    <row r="935" spans="1:12">
      <c r="A935" s="12"/>
      <c r="E935" s="14"/>
      <c r="F935" s="14"/>
      <c r="G935" s="13">
        <v>0</v>
      </c>
      <c r="H935" s="13">
        <v>0</v>
      </c>
      <c r="I935" s="13"/>
      <c r="J935" s="13"/>
      <c r="K935" s="13"/>
      <c r="L935" s="15">
        <v>0</v>
      </c>
    </row>
    <row r="936" spans="1:12">
      <c r="A936" s="12"/>
      <c r="E936" s="14"/>
      <c r="F936" s="14"/>
      <c r="G936" s="13">
        <v>0</v>
      </c>
      <c r="H936" s="13">
        <v>0</v>
      </c>
      <c r="I936" s="13"/>
      <c r="J936" s="13"/>
      <c r="K936" s="13"/>
      <c r="L936" s="15">
        <v>0</v>
      </c>
    </row>
    <row r="937" spans="1:12">
      <c r="A937" s="12"/>
      <c r="E937" s="14"/>
      <c r="F937" s="14"/>
      <c r="G937" s="13">
        <v>0</v>
      </c>
      <c r="H937" s="13">
        <v>0</v>
      </c>
      <c r="I937" s="13"/>
      <c r="J937" s="13"/>
      <c r="K937" s="13"/>
      <c r="L937" s="15">
        <v>0</v>
      </c>
    </row>
    <row r="938" spans="1:12">
      <c r="A938" s="12"/>
      <c r="E938" s="14"/>
      <c r="F938" s="14"/>
      <c r="G938" s="13">
        <v>0</v>
      </c>
      <c r="H938" s="13">
        <v>0</v>
      </c>
      <c r="I938" s="13"/>
      <c r="J938" s="13"/>
      <c r="K938" s="13"/>
      <c r="L938" s="15">
        <v>0</v>
      </c>
    </row>
    <row r="939" spans="1:12">
      <c r="A939" s="12"/>
      <c r="E939" s="14"/>
      <c r="F939" s="14"/>
      <c r="G939" s="13">
        <v>0</v>
      </c>
      <c r="H939" s="13">
        <v>0</v>
      </c>
      <c r="I939" s="13"/>
      <c r="J939" s="13"/>
      <c r="K939" s="13"/>
      <c r="L939" s="15">
        <v>0</v>
      </c>
    </row>
    <row r="940" spans="1:12">
      <c r="A940" s="12"/>
      <c r="E940" s="14"/>
      <c r="F940" s="14"/>
      <c r="G940" s="13">
        <v>0</v>
      </c>
      <c r="H940" s="13">
        <v>0</v>
      </c>
      <c r="I940" s="13"/>
      <c r="J940" s="13"/>
      <c r="K940" s="13"/>
      <c r="L940" s="15">
        <v>0</v>
      </c>
    </row>
    <row r="941" spans="1:12">
      <c r="A941" s="12"/>
      <c r="E941" s="14"/>
      <c r="F941" s="14"/>
      <c r="G941" s="13">
        <v>0</v>
      </c>
      <c r="H941" s="13">
        <v>0</v>
      </c>
      <c r="I941" s="13"/>
      <c r="J941" s="13"/>
      <c r="K941" s="13"/>
      <c r="L941" s="15">
        <v>0</v>
      </c>
    </row>
    <row r="942" spans="1:12">
      <c r="A942" s="12"/>
      <c r="E942" s="14"/>
      <c r="F942" s="14"/>
      <c r="G942" s="13">
        <v>0</v>
      </c>
      <c r="H942" s="13">
        <v>0</v>
      </c>
      <c r="I942" s="13"/>
      <c r="J942" s="13"/>
      <c r="K942" s="13"/>
      <c r="L942" s="15">
        <v>0</v>
      </c>
    </row>
    <row r="943" spans="1:12">
      <c r="A943" s="12"/>
      <c r="E943" s="14"/>
      <c r="F943" s="14"/>
      <c r="G943" s="13">
        <v>0</v>
      </c>
      <c r="H943" s="13">
        <v>0</v>
      </c>
      <c r="I943" s="13"/>
      <c r="J943" s="13"/>
      <c r="K943" s="13"/>
      <c r="L943" s="15">
        <v>0</v>
      </c>
    </row>
    <row r="944" spans="1:12">
      <c r="A944" s="12"/>
      <c r="E944" s="14"/>
      <c r="F944" s="14"/>
      <c r="G944" s="13">
        <v>0</v>
      </c>
      <c r="H944" s="13">
        <v>0</v>
      </c>
      <c r="I944" s="13"/>
      <c r="J944" s="13"/>
      <c r="K944" s="13"/>
      <c r="L944" s="15">
        <v>0</v>
      </c>
    </row>
    <row r="945" spans="1:12">
      <c r="A945" s="12"/>
      <c r="E945" s="14"/>
      <c r="F945" s="14"/>
      <c r="G945" s="13">
        <v>0</v>
      </c>
      <c r="H945" s="13">
        <v>0</v>
      </c>
      <c r="I945" s="13"/>
      <c r="J945" s="13"/>
      <c r="K945" s="13"/>
      <c r="L945" s="15">
        <v>0</v>
      </c>
    </row>
    <row r="946" spans="1:12">
      <c r="A946" s="12"/>
      <c r="E946" s="14"/>
      <c r="F946" s="14"/>
      <c r="G946" s="13">
        <v>0</v>
      </c>
      <c r="H946" s="13">
        <v>0</v>
      </c>
      <c r="I946" s="13"/>
      <c r="J946" s="13"/>
      <c r="K946" s="13"/>
      <c r="L946" s="15">
        <v>0</v>
      </c>
    </row>
    <row r="947" spans="1:12">
      <c r="A947" s="12"/>
      <c r="E947" s="14"/>
      <c r="F947" s="14"/>
      <c r="G947" s="13">
        <v>0</v>
      </c>
      <c r="H947" s="13">
        <v>0</v>
      </c>
      <c r="I947" s="13"/>
      <c r="J947" s="13"/>
      <c r="K947" s="13"/>
      <c r="L947" s="15">
        <v>0</v>
      </c>
    </row>
    <row r="948" spans="1:12">
      <c r="A948" s="12"/>
      <c r="E948" s="14"/>
      <c r="F948" s="14"/>
      <c r="G948" s="13">
        <v>0</v>
      </c>
      <c r="H948" s="13">
        <v>0</v>
      </c>
      <c r="I948" s="13"/>
      <c r="J948" s="13"/>
      <c r="K948" s="13"/>
      <c r="L948" s="15">
        <v>0</v>
      </c>
    </row>
    <row r="949" spans="1:12">
      <c r="A949" s="12"/>
      <c r="E949" s="14"/>
      <c r="F949" s="14"/>
      <c r="G949" s="13">
        <v>0</v>
      </c>
      <c r="H949" s="13">
        <v>0</v>
      </c>
      <c r="I949" s="13"/>
      <c r="J949" s="13"/>
      <c r="K949" s="13"/>
      <c r="L949" s="15">
        <v>0</v>
      </c>
    </row>
    <row r="950" spans="1:12">
      <c r="A950" s="12"/>
      <c r="E950" s="14"/>
      <c r="F950" s="14"/>
      <c r="G950" s="13">
        <v>0</v>
      </c>
      <c r="H950" s="13">
        <v>0</v>
      </c>
      <c r="I950" s="13"/>
      <c r="J950" s="13"/>
      <c r="K950" s="13"/>
      <c r="L950" s="15">
        <v>0</v>
      </c>
    </row>
    <row r="951" spans="1:12">
      <c r="A951" s="12"/>
      <c r="E951" s="14"/>
      <c r="F951" s="14"/>
      <c r="G951" s="13">
        <v>0</v>
      </c>
      <c r="H951" s="13">
        <v>0</v>
      </c>
      <c r="I951" s="13"/>
      <c r="J951" s="13"/>
      <c r="K951" s="13"/>
      <c r="L951" s="15">
        <v>0</v>
      </c>
    </row>
    <row r="952" spans="1:12">
      <c r="A952" s="12"/>
      <c r="E952" s="14"/>
      <c r="F952" s="14"/>
      <c r="G952" s="13">
        <v>0</v>
      </c>
      <c r="H952" s="13">
        <v>0</v>
      </c>
      <c r="I952" s="13"/>
      <c r="J952" s="13"/>
      <c r="K952" s="13"/>
      <c r="L952" s="15">
        <v>0</v>
      </c>
    </row>
    <row r="953" spans="1:12">
      <c r="A953" s="12"/>
      <c r="E953" s="14"/>
      <c r="F953" s="14"/>
      <c r="G953" s="13">
        <v>0</v>
      </c>
      <c r="H953" s="13">
        <v>0</v>
      </c>
      <c r="I953" s="13"/>
      <c r="J953" s="13"/>
      <c r="K953" s="13"/>
      <c r="L953" s="15">
        <v>0</v>
      </c>
    </row>
    <row r="954" spans="1:12">
      <c r="A954" s="12"/>
      <c r="E954" s="14"/>
      <c r="F954" s="14"/>
      <c r="G954" s="13">
        <v>0</v>
      </c>
      <c r="H954" s="13">
        <v>0</v>
      </c>
      <c r="I954" s="13"/>
      <c r="J954" s="13"/>
      <c r="K954" s="13"/>
      <c r="L954" s="15">
        <v>0</v>
      </c>
    </row>
    <row r="955" spans="1:12">
      <c r="A955" s="12"/>
      <c r="E955" s="14"/>
      <c r="F955" s="14"/>
      <c r="G955" s="13">
        <v>0</v>
      </c>
      <c r="H955" s="13">
        <v>0</v>
      </c>
      <c r="I955" s="13"/>
      <c r="J955" s="13"/>
      <c r="K955" s="13"/>
      <c r="L955" s="15">
        <v>0</v>
      </c>
    </row>
    <row r="956" spans="1:12">
      <c r="A956" s="12"/>
      <c r="E956" s="14"/>
      <c r="F956" s="14"/>
      <c r="G956" s="13">
        <v>0</v>
      </c>
      <c r="H956" s="13">
        <v>0</v>
      </c>
      <c r="I956" s="13"/>
      <c r="J956" s="13"/>
      <c r="K956" s="13"/>
      <c r="L956" s="15">
        <v>0</v>
      </c>
    </row>
    <row r="957" spans="1:12">
      <c r="A957" s="12"/>
      <c r="E957" s="14"/>
      <c r="F957" s="14"/>
      <c r="G957" s="13">
        <v>0</v>
      </c>
      <c r="H957" s="13">
        <v>0</v>
      </c>
      <c r="I957" s="13"/>
      <c r="J957" s="13"/>
      <c r="K957" s="13"/>
      <c r="L957" s="15">
        <v>0</v>
      </c>
    </row>
    <row r="958" spans="1:12">
      <c r="A958" s="12"/>
      <c r="E958" s="14"/>
      <c r="F958" s="14"/>
      <c r="G958" s="13">
        <v>0</v>
      </c>
      <c r="H958" s="13">
        <v>0</v>
      </c>
      <c r="I958" s="13"/>
      <c r="J958" s="13"/>
      <c r="K958" s="13"/>
      <c r="L958" s="15">
        <v>0</v>
      </c>
    </row>
    <row r="959" spans="1:12">
      <c r="A959" s="12"/>
      <c r="E959" s="14"/>
      <c r="F959" s="14"/>
      <c r="G959" s="13">
        <v>0</v>
      </c>
      <c r="H959" s="13">
        <v>0</v>
      </c>
      <c r="I959" s="13"/>
      <c r="J959" s="13"/>
      <c r="K959" s="13"/>
      <c r="L959" s="15">
        <v>0</v>
      </c>
    </row>
    <row r="960" spans="1:12">
      <c r="A960" s="12"/>
      <c r="E960" s="14"/>
      <c r="F960" s="14"/>
      <c r="G960" s="13">
        <v>0</v>
      </c>
      <c r="H960" s="13">
        <v>0</v>
      </c>
      <c r="I960" s="13"/>
      <c r="J960" s="13"/>
      <c r="K960" s="13"/>
      <c r="L960" s="15">
        <v>0</v>
      </c>
    </row>
    <row r="961" spans="1:12">
      <c r="A961" s="12"/>
      <c r="E961" s="14"/>
      <c r="F961" s="14"/>
      <c r="G961" s="13">
        <v>0</v>
      </c>
      <c r="H961" s="13">
        <v>0</v>
      </c>
      <c r="I961" s="13"/>
      <c r="J961" s="13"/>
      <c r="K961" s="13"/>
      <c r="L961" s="15">
        <v>0</v>
      </c>
    </row>
    <row r="962" spans="1:12">
      <c r="A962" s="12"/>
      <c r="E962" s="14"/>
      <c r="F962" s="14"/>
      <c r="G962" s="13">
        <v>0</v>
      </c>
      <c r="H962" s="13">
        <v>0</v>
      </c>
      <c r="I962" s="13"/>
      <c r="J962" s="13"/>
      <c r="K962" s="13"/>
      <c r="L962" s="15">
        <v>0</v>
      </c>
    </row>
    <row r="963" spans="1:12">
      <c r="A963" s="12"/>
      <c r="E963" s="14"/>
      <c r="F963" s="14"/>
      <c r="G963" s="13">
        <v>0</v>
      </c>
      <c r="H963" s="13">
        <v>0</v>
      </c>
      <c r="I963" s="13"/>
      <c r="J963" s="13"/>
      <c r="K963" s="13"/>
      <c r="L963" s="15">
        <v>0</v>
      </c>
    </row>
    <row r="964" spans="1:12">
      <c r="A964" s="12"/>
      <c r="E964" s="14"/>
      <c r="F964" s="14"/>
      <c r="G964" s="13">
        <v>0</v>
      </c>
      <c r="H964" s="13">
        <v>0</v>
      </c>
      <c r="I964" s="13"/>
      <c r="J964" s="13"/>
      <c r="K964" s="13"/>
      <c r="L964" s="15">
        <v>0</v>
      </c>
    </row>
    <row r="965" spans="1:12">
      <c r="A965" s="12"/>
      <c r="E965" s="14"/>
      <c r="F965" s="14"/>
      <c r="G965" s="13">
        <v>0</v>
      </c>
      <c r="H965" s="13">
        <v>0</v>
      </c>
      <c r="I965" s="13"/>
      <c r="J965" s="13"/>
      <c r="K965" s="13"/>
      <c r="L965" s="15">
        <v>0</v>
      </c>
    </row>
    <row r="966" spans="1:12">
      <c r="A966" s="12"/>
      <c r="E966" s="14"/>
      <c r="F966" s="14"/>
      <c r="G966" s="13">
        <v>0</v>
      </c>
      <c r="H966" s="13">
        <v>0</v>
      </c>
      <c r="I966" s="13"/>
      <c r="J966" s="13"/>
      <c r="K966" s="13"/>
      <c r="L966" s="15">
        <v>0</v>
      </c>
    </row>
    <row r="967" spans="1:12">
      <c r="A967" s="12"/>
      <c r="E967" s="14"/>
      <c r="F967" s="14"/>
      <c r="G967" s="13">
        <v>0</v>
      </c>
      <c r="H967" s="13">
        <v>0</v>
      </c>
      <c r="I967" s="13"/>
      <c r="J967" s="13"/>
      <c r="K967" s="13"/>
      <c r="L967" s="15">
        <v>0</v>
      </c>
    </row>
    <row r="968" spans="1:12">
      <c r="A968" s="12"/>
      <c r="E968" s="14"/>
      <c r="F968" s="14"/>
      <c r="G968" s="13">
        <v>0</v>
      </c>
      <c r="H968" s="13">
        <v>0</v>
      </c>
      <c r="I968" s="13"/>
      <c r="J968" s="13"/>
      <c r="K968" s="13"/>
      <c r="L968" s="15">
        <v>0</v>
      </c>
    </row>
    <row r="969" spans="1:12">
      <c r="A969" s="12"/>
      <c r="E969" s="14"/>
      <c r="F969" s="14"/>
      <c r="G969" s="13">
        <v>0</v>
      </c>
      <c r="H969" s="13">
        <v>0</v>
      </c>
      <c r="I969" s="13"/>
      <c r="J969" s="13"/>
      <c r="K969" s="13"/>
      <c r="L969" s="15">
        <v>0</v>
      </c>
    </row>
    <row r="970" spans="1:12">
      <c r="A970" s="12"/>
      <c r="E970" s="14"/>
      <c r="F970" s="14"/>
      <c r="G970" s="13">
        <v>0</v>
      </c>
      <c r="H970" s="13">
        <v>0</v>
      </c>
      <c r="I970" s="13"/>
      <c r="J970" s="13"/>
      <c r="K970" s="13"/>
      <c r="L970" s="15">
        <v>0</v>
      </c>
    </row>
    <row r="971" spans="1:12">
      <c r="A971" s="12"/>
      <c r="E971" s="14"/>
      <c r="F971" s="14"/>
      <c r="G971" s="13">
        <v>0</v>
      </c>
      <c r="H971" s="13">
        <v>0</v>
      </c>
      <c r="I971" s="13"/>
      <c r="J971" s="13"/>
      <c r="K971" s="13"/>
      <c r="L971" s="15">
        <v>0</v>
      </c>
    </row>
    <row r="972" spans="1:12">
      <c r="A972" s="12"/>
      <c r="E972" s="14"/>
      <c r="F972" s="14"/>
      <c r="G972" s="13">
        <v>0</v>
      </c>
      <c r="H972" s="13">
        <v>0</v>
      </c>
      <c r="I972" s="13"/>
      <c r="J972" s="13"/>
      <c r="K972" s="13"/>
      <c r="L972" s="15">
        <v>0</v>
      </c>
    </row>
    <row r="973" spans="1:12">
      <c r="A973" s="12"/>
      <c r="E973" s="14"/>
      <c r="F973" s="14"/>
      <c r="G973" s="13">
        <v>0</v>
      </c>
      <c r="H973" s="13">
        <v>0</v>
      </c>
      <c r="I973" s="13"/>
      <c r="J973" s="13"/>
      <c r="K973" s="13"/>
      <c r="L973" s="15">
        <v>0</v>
      </c>
    </row>
    <row r="974" spans="1:12">
      <c r="A974" s="12"/>
      <c r="E974" s="14"/>
      <c r="F974" s="14"/>
      <c r="G974" s="13">
        <v>0</v>
      </c>
      <c r="H974" s="13">
        <v>0</v>
      </c>
      <c r="I974" s="13"/>
      <c r="J974" s="13"/>
      <c r="K974" s="13"/>
      <c r="L974" s="15">
        <v>0</v>
      </c>
    </row>
    <row r="975" spans="1:12">
      <c r="A975" s="12"/>
      <c r="E975" s="14"/>
      <c r="F975" s="14"/>
      <c r="G975" s="13">
        <v>0</v>
      </c>
      <c r="H975" s="13">
        <v>0</v>
      </c>
      <c r="I975" s="13"/>
      <c r="J975" s="13"/>
      <c r="K975" s="13"/>
      <c r="L975" s="15">
        <v>0</v>
      </c>
    </row>
    <row r="976" spans="1:12">
      <c r="A976" s="12"/>
      <c r="E976" s="14"/>
      <c r="F976" s="14"/>
      <c r="G976" s="13">
        <v>0</v>
      </c>
      <c r="H976" s="13">
        <v>0</v>
      </c>
      <c r="I976" s="13"/>
      <c r="J976" s="13"/>
      <c r="K976" s="13"/>
      <c r="L976" s="15">
        <v>0</v>
      </c>
    </row>
    <row r="977" spans="1:12">
      <c r="A977" s="12"/>
      <c r="E977" s="14"/>
      <c r="F977" s="14"/>
      <c r="G977" s="13">
        <v>0</v>
      </c>
      <c r="H977" s="13">
        <v>0</v>
      </c>
      <c r="I977" s="13"/>
      <c r="J977" s="13"/>
      <c r="K977" s="13"/>
      <c r="L977" s="15">
        <v>0</v>
      </c>
    </row>
    <row r="978" spans="1:12">
      <c r="A978" s="12"/>
      <c r="E978" s="14"/>
      <c r="F978" s="14"/>
      <c r="G978" s="13">
        <v>0</v>
      </c>
      <c r="H978" s="13">
        <v>0</v>
      </c>
      <c r="I978" s="13"/>
      <c r="J978" s="13"/>
      <c r="K978" s="13"/>
      <c r="L978" s="15">
        <v>0</v>
      </c>
    </row>
    <row r="979" spans="1:12">
      <c r="A979" s="12"/>
      <c r="E979" s="14"/>
      <c r="F979" s="14"/>
      <c r="G979" s="13">
        <v>0</v>
      </c>
      <c r="H979" s="13">
        <v>0</v>
      </c>
      <c r="I979" s="13"/>
      <c r="J979" s="13"/>
      <c r="K979" s="13"/>
      <c r="L979" s="15">
        <v>0</v>
      </c>
    </row>
    <row r="980" spans="1:12">
      <c r="A980" s="12"/>
      <c r="E980" s="14"/>
      <c r="F980" s="14"/>
      <c r="G980" s="13">
        <v>0</v>
      </c>
      <c r="H980" s="13">
        <v>0</v>
      </c>
      <c r="I980" s="13"/>
      <c r="J980" s="13"/>
      <c r="K980" s="13"/>
      <c r="L980" s="15">
        <v>0</v>
      </c>
    </row>
    <row r="981" spans="1:12">
      <c r="A981" s="12"/>
      <c r="E981" s="14"/>
      <c r="F981" s="14"/>
      <c r="G981" s="13">
        <v>0</v>
      </c>
      <c r="H981" s="13">
        <v>0</v>
      </c>
      <c r="I981" s="13"/>
      <c r="J981" s="13"/>
      <c r="K981" s="13"/>
      <c r="L981" s="15">
        <v>0</v>
      </c>
    </row>
    <row r="982" spans="1:12">
      <c r="A982" s="12"/>
      <c r="E982" s="14"/>
      <c r="F982" s="14"/>
      <c r="G982" s="13">
        <v>0</v>
      </c>
      <c r="H982" s="13">
        <v>0</v>
      </c>
      <c r="I982" s="13"/>
      <c r="J982" s="13"/>
      <c r="K982" s="13"/>
      <c r="L982" s="15">
        <v>0</v>
      </c>
    </row>
    <row r="983" spans="1:12">
      <c r="A983" s="12"/>
      <c r="E983" s="14"/>
      <c r="F983" s="14"/>
      <c r="G983" s="13">
        <v>0</v>
      </c>
      <c r="H983" s="13">
        <v>0</v>
      </c>
      <c r="I983" s="13"/>
      <c r="J983" s="13"/>
      <c r="K983" s="13"/>
      <c r="L983" s="15">
        <v>0</v>
      </c>
    </row>
    <row r="984" spans="1:12">
      <c r="A984" s="12"/>
      <c r="E984" s="14"/>
      <c r="F984" s="14"/>
      <c r="G984" s="13">
        <v>0</v>
      </c>
      <c r="H984" s="13">
        <v>0</v>
      </c>
      <c r="I984" s="13"/>
      <c r="J984" s="13"/>
      <c r="K984" s="13"/>
      <c r="L984" s="15">
        <v>0</v>
      </c>
    </row>
    <row r="985" spans="1:12">
      <c r="A985" s="12"/>
      <c r="E985" s="14"/>
      <c r="F985" s="14"/>
      <c r="G985" s="13">
        <v>0</v>
      </c>
      <c r="H985" s="13">
        <v>0</v>
      </c>
      <c r="I985" s="13"/>
      <c r="J985" s="13"/>
      <c r="K985" s="13"/>
      <c r="L985" s="15">
        <v>0</v>
      </c>
    </row>
    <row r="986" spans="1:12">
      <c r="A986" s="12"/>
      <c r="E986" s="14"/>
      <c r="F986" s="14"/>
      <c r="G986" s="13">
        <v>0</v>
      </c>
      <c r="H986" s="13">
        <v>0</v>
      </c>
      <c r="I986" s="13"/>
      <c r="J986" s="13"/>
      <c r="K986" s="13"/>
      <c r="L986" s="15">
        <v>0</v>
      </c>
    </row>
    <row r="987" spans="1:12">
      <c r="A987" s="12"/>
      <c r="E987" s="14"/>
      <c r="F987" s="14"/>
      <c r="G987" s="13">
        <v>0</v>
      </c>
      <c r="H987" s="13">
        <v>0</v>
      </c>
      <c r="I987" s="13"/>
      <c r="J987" s="13"/>
      <c r="K987" s="13"/>
      <c r="L987" s="15">
        <v>0</v>
      </c>
    </row>
    <row r="988" spans="1:12">
      <c r="A988" s="12"/>
      <c r="E988" s="14"/>
      <c r="F988" s="14"/>
      <c r="G988" s="13">
        <v>0</v>
      </c>
      <c r="H988" s="13">
        <v>0</v>
      </c>
      <c r="I988" s="13"/>
      <c r="J988" s="13"/>
      <c r="K988" s="13"/>
      <c r="L988" s="15">
        <v>0</v>
      </c>
    </row>
    <row r="989" spans="1:12">
      <c r="A989" s="12"/>
      <c r="E989" s="14"/>
      <c r="F989" s="14"/>
      <c r="G989" s="13">
        <v>0</v>
      </c>
      <c r="H989" s="13">
        <v>0</v>
      </c>
      <c r="I989" s="13"/>
      <c r="J989" s="13"/>
      <c r="K989" s="13"/>
      <c r="L989" s="15">
        <v>0</v>
      </c>
    </row>
    <row r="990" spans="1:12">
      <c r="A990" s="12"/>
      <c r="E990" s="14"/>
      <c r="F990" s="14"/>
      <c r="G990" s="13">
        <v>0</v>
      </c>
      <c r="H990" s="13">
        <v>0</v>
      </c>
      <c r="I990" s="13"/>
      <c r="J990" s="13"/>
      <c r="K990" s="13"/>
      <c r="L990" s="15">
        <v>0</v>
      </c>
    </row>
    <row r="991" spans="1:12">
      <c r="A991" s="12"/>
      <c r="E991" s="14"/>
      <c r="F991" s="14"/>
      <c r="G991" s="13">
        <v>0</v>
      </c>
      <c r="H991" s="13">
        <v>0</v>
      </c>
      <c r="I991" s="13"/>
      <c r="J991" s="13"/>
      <c r="K991" s="13"/>
      <c r="L991" s="15">
        <v>0</v>
      </c>
    </row>
    <row r="992" spans="1:12">
      <c r="A992" s="12"/>
      <c r="E992" s="14"/>
      <c r="F992" s="14"/>
      <c r="G992" s="13">
        <v>0</v>
      </c>
      <c r="H992" s="13">
        <v>0</v>
      </c>
      <c r="I992" s="13"/>
      <c r="J992" s="13"/>
      <c r="K992" s="13"/>
      <c r="L992" s="15">
        <v>0</v>
      </c>
    </row>
    <row r="993" spans="1:12">
      <c r="A993" s="12"/>
      <c r="E993" s="14"/>
      <c r="F993" s="14"/>
      <c r="G993" s="13">
        <v>0</v>
      </c>
      <c r="H993" s="13">
        <v>0</v>
      </c>
      <c r="I993" s="13"/>
      <c r="J993" s="13"/>
      <c r="K993" s="13"/>
      <c r="L993" s="15">
        <v>0</v>
      </c>
    </row>
    <row r="994" spans="1:12">
      <c r="A994" s="12"/>
      <c r="E994" s="14"/>
      <c r="F994" s="14"/>
      <c r="G994" s="13">
        <v>0</v>
      </c>
      <c r="H994" s="13">
        <v>0</v>
      </c>
      <c r="I994" s="13"/>
      <c r="J994" s="13"/>
      <c r="K994" s="13"/>
      <c r="L994" s="15">
        <v>0</v>
      </c>
    </row>
    <row r="995" spans="1:12">
      <c r="A995" s="12"/>
      <c r="E995" s="14"/>
      <c r="F995" s="14"/>
      <c r="G995" s="13">
        <v>0</v>
      </c>
      <c r="H995" s="13">
        <v>0</v>
      </c>
      <c r="I995" s="13"/>
      <c r="J995" s="13"/>
      <c r="K995" s="13"/>
      <c r="L995" s="15">
        <v>0</v>
      </c>
    </row>
    <row r="996" spans="1:12">
      <c r="A996" s="12"/>
      <c r="E996" s="14"/>
      <c r="F996" s="14"/>
      <c r="G996" s="13">
        <v>0</v>
      </c>
      <c r="H996" s="13">
        <v>0</v>
      </c>
      <c r="I996" s="13"/>
      <c r="J996" s="13"/>
      <c r="K996" s="13"/>
      <c r="L996" s="15">
        <v>0</v>
      </c>
    </row>
    <row r="997" spans="1:12">
      <c r="A997" s="12"/>
      <c r="E997" s="14"/>
      <c r="F997" s="14"/>
      <c r="G997" s="13">
        <v>0</v>
      </c>
      <c r="H997" s="13">
        <v>0</v>
      </c>
      <c r="I997" s="13"/>
      <c r="J997" s="13"/>
      <c r="K997" s="13"/>
      <c r="L997" s="15">
        <v>0</v>
      </c>
    </row>
    <row r="998" spans="1:12">
      <c r="A998" s="12"/>
      <c r="E998" s="14"/>
      <c r="F998" s="14"/>
      <c r="G998" s="13">
        <v>0</v>
      </c>
      <c r="H998" s="13">
        <v>0</v>
      </c>
      <c r="I998" s="13"/>
      <c r="J998" s="13"/>
      <c r="K998" s="13"/>
      <c r="L998" s="15">
        <v>0</v>
      </c>
    </row>
    <row r="999" spans="1:12">
      <c r="A999" s="12"/>
      <c r="E999" s="14"/>
      <c r="F999" s="14"/>
      <c r="G999" s="13">
        <v>0</v>
      </c>
      <c r="H999" s="13">
        <v>0</v>
      </c>
      <c r="I999" s="13"/>
      <c r="J999" s="13"/>
      <c r="K999" s="13"/>
      <c r="L999" s="15">
        <v>0</v>
      </c>
    </row>
    <row r="1000" spans="1:12">
      <c r="A1000" s="12"/>
      <c r="E1000" s="14"/>
      <c r="F1000" s="14"/>
      <c r="G1000" s="13">
        <v>0</v>
      </c>
      <c r="H1000" s="13">
        <v>0</v>
      </c>
      <c r="I1000" s="13"/>
      <c r="J1000" s="13"/>
      <c r="K1000" s="13"/>
      <c r="L1000" s="15">
        <v>0</v>
      </c>
    </row>
    <row r="1001" spans="1:12">
      <c r="A1001" s="12"/>
      <c r="E1001" s="14"/>
      <c r="F1001" s="14"/>
      <c r="G1001" s="13">
        <v>0</v>
      </c>
      <c r="H1001" s="13">
        <v>0</v>
      </c>
      <c r="I1001" s="13"/>
      <c r="J1001" s="13"/>
      <c r="K1001" s="13"/>
      <c r="L1001" s="15">
        <v>0</v>
      </c>
    </row>
    <row r="1002" spans="1:12">
      <c r="A1002" s="12"/>
      <c r="E1002" s="14"/>
      <c r="F1002" s="14"/>
      <c r="G1002" s="13">
        <v>0</v>
      </c>
      <c r="H1002" s="13">
        <v>0</v>
      </c>
      <c r="I1002" s="13"/>
      <c r="J1002" s="13"/>
      <c r="K1002" s="13"/>
      <c r="L1002" s="15">
        <v>0</v>
      </c>
    </row>
    <row r="1003" spans="1:12">
      <c r="A1003" s="12"/>
      <c r="E1003" s="14"/>
      <c r="F1003" s="14"/>
      <c r="G1003" s="13">
        <v>0</v>
      </c>
      <c r="H1003" s="13">
        <v>0</v>
      </c>
      <c r="I1003" s="13"/>
      <c r="J1003" s="13"/>
      <c r="K1003" s="13"/>
      <c r="L1003" s="15">
        <v>0</v>
      </c>
    </row>
    <row r="1004" spans="1:12">
      <c r="A1004" s="12"/>
      <c r="E1004" s="14"/>
      <c r="F1004" s="14"/>
      <c r="G1004" s="13">
        <v>0</v>
      </c>
      <c r="H1004" s="13">
        <v>0</v>
      </c>
      <c r="I1004" s="13"/>
      <c r="J1004" s="13"/>
      <c r="K1004" s="13"/>
      <c r="L1004" s="15">
        <v>0</v>
      </c>
    </row>
    <row r="1005" spans="1:12">
      <c r="A1005" s="12"/>
      <c r="E1005" s="14"/>
      <c r="F1005" s="14"/>
      <c r="G1005" s="13">
        <v>0</v>
      </c>
      <c r="H1005" s="13">
        <v>0</v>
      </c>
      <c r="I1005" s="13"/>
      <c r="J1005" s="13"/>
      <c r="K1005" s="13"/>
      <c r="L1005" s="15">
        <v>0</v>
      </c>
    </row>
    <row r="1006" spans="1:12">
      <c r="A1006" s="12"/>
      <c r="E1006" s="14"/>
      <c r="F1006" s="14"/>
      <c r="G1006" s="13">
        <v>0</v>
      </c>
      <c r="H1006" s="13">
        <v>0</v>
      </c>
      <c r="I1006" s="13"/>
      <c r="J1006" s="13"/>
      <c r="K1006" s="13"/>
      <c r="L1006" s="15">
        <v>0</v>
      </c>
    </row>
    <row r="1007" spans="1:12">
      <c r="A1007" s="12"/>
      <c r="E1007" s="14"/>
      <c r="F1007" s="14"/>
      <c r="G1007" s="13">
        <v>0</v>
      </c>
      <c r="H1007" s="13">
        <v>0</v>
      </c>
      <c r="I1007" s="13"/>
      <c r="J1007" s="13"/>
      <c r="K1007" s="13"/>
      <c r="L1007" s="15">
        <v>0</v>
      </c>
    </row>
    <row r="1008" spans="1:12">
      <c r="A1008" s="12"/>
      <c r="E1008" s="14"/>
      <c r="F1008" s="14"/>
      <c r="G1008" s="13">
        <v>0</v>
      </c>
      <c r="H1008" s="13">
        <v>0</v>
      </c>
      <c r="I1008" s="13"/>
      <c r="J1008" s="13"/>
      <c r="K1008" s="13"/>
      <c r="L1008" s="15">
        <v>0</v>
      </c>
    </row>
    <row r="1009" spans="1:12">
      <c r="A1009" s="12"/>
      <c r="E1009" s="14"/>
      <c r="F1009" s="14"/>
      <c r="G1009" s="13">
        <v>0</v>
      </c>
      <c r="H1009" s="13">
        <v>0</v>
      </c>
      <c r="I1009" s="13"/>
      <c r="J1009" s="13"/>
      <c r="K1009" s="13"/>
      <c r="L1009" s="15">
        <v>0</v>
      </c>
    </row>
    <row r="1010" spans="1:12">
      <c r="A1010" s="12"/>
      <c r="E1010" s="14"/>
      <c r="F1010" s="14"/>
      <c r="G1010" s="13">
        <v>0</v>
      </c>
      <c r="H1010" s="13">
        <v>0</v>
      </c>
      <c r="I1010" s="13"/>
      <c r="J1010" s="13"/>
      <c r="K1010" s="13"/>
      <c r="L1010" s="15">
        <v>0</v>
      </c>
    </row>
    <row r="1011" spans="1:12">
      <c r="A1011" s="12"/>
      <c r="E1011" s="14"/>
      <c r="F1011" s="14"/>
      <c r="G1011" s="13">
        <v>0</v>
      </c>
      <c r="H1011" s="13">
        <v>0</v>
      </c>
      <c r="I1011" s="13"/>
      <c r="J1011" s="13"/>
      <c r="K1011" s="13"/>
      <c r="L1011" s="15">
        <v>0</v>
      </c>
    </row>
    <row r="1012" spans="1:12">
      <c r="A1012" s="12"/>
      <c r="E1012" s="14"/>
      <c r="F1012" s="14"/>
      <c r="G1012" s="13">
        <v>0</v>
      </c>
      <c r="H1012" s="13">
        <v>0</v>
      </c>
      <c r="I1012" s="13"/>
      <c r="J1012" s="13"/>
      <c r="K1012" s="13"/>
      <c r="L1012" s="15">
        <v>0</v>
      </c>
    </row>
    <row r="1013" spans="1:12">
      <c r="A1013" s="12"/>
      <c r="E1013" s="14"/>
      <c r="F1013" s="14"/>
      <c r="G1013" s="13">
        <v>0</v>
      </c>
      <c r="H1013" s="13">
        <v>0</v>
      </c>
      <c r="I1013" s="13"/>
      <c r="J1013" s="13"/>
      <c r="K1013" s="13"/>
      <c r="L1013" s="15">
        <v>0</v>
      </c>
    </row>
    <row r="1014" spans="1:12">
      <c r="A1014" s="12"/>
      <c r="E1014" s="14"/>
      <c r="F1014" s="14"/>
      <c r="G1014" s="13">
        <v>0</v>
      </c>
      <c r="H1014" s="13">
        <v>0</v>
      </c>
      <c r="I1014" s="13"/>
      <c r="J1014" s="13"/>
      <c r="K1014" s="13"/>
      <c r="L1014" s="15">
        <v>0</v>
      </c>
    </row>
    <row r="1015" spans="1:12">
      <c r="A1015" s="12"/>
      <c r="E1015" s="14"/>
      <c r="F1015" s="14"/>
      <c r="G1015" s="13">
        <v>0</v>
      </c>
      <c r="H1015" s="13">
        <v>0</v>
      </c>
      <c r="I1015" s="13"/>
      <c r="J1015" s="13"/>
      <c r="K1015" s="13"/>
      <c r="L1015" s="15">
        <v>0</v>
      </c>
    </row>
    <row r="1016" spans="1:12">
      <c r="A1016" s="12"/>
      <c r="E1016" s="14"/>
      <c r="F1016" s="14"/>
      <c r="G1016" s="13">
        <v>0</v>
      </c>
      <c r="H1016" s="13">
        <v>0</v>
      </c>
      <c r="I1016" s="13"/>
      <c r="J1016" s="13"/>
      <c r="K1016" s="13"/>
      <c r="L1016" s="15">
        <v>0</v>
      </c>
    </row>
    <row r="1017" spans="1:12">
      <c r="A1017" s="12"/>
      <c r="E1017" s="14"/>
      <c r="F1017" s="14"/>
      <c r="G1017" s="13">
        <v>0</v>
      </c>
      <c r="H1017" s="13">
        <v>0</v>
      </c>
      <c r="I1017" s="13"/>
      <c r="J1017" s="13"/>
      <c r="K1017" s="13"/>
      <c r="L1017" s="15">
        <v>0</v>
      </c>
    </row>
    <row r="1018" spans="1:12">
      <c r="A1018" s="12"/>
      <c r="E1018" s="14"/>
      <c r="F1018" s="14"/>
      <c r="G1018" s="13">
        <v>0</v>
      </c>
      <c r="H1018" s="13">
        <v>0</v>
      </c>
      <c r="I1018" s="13"/>
      <c r="J1018" s="13"/>
      <c r="K1018" s="13"/>
      <c r="L1018" s="15">
        <v>0</v>
      </c>
    </row>
    <row r="1019" spans="1:12">
      <c r="A1019" s="12"/>
      <c r="E1019" s="14"/>
      <c r="F1019" s="14"/>
      <c r="G1019" s="13">
        <v>0</v>
      </c>
      <c r="H1019" s="13">
        <v>0</v>
      </c>
      <c r="I1019" s="13"/>
      <c r="J1019" s="13"/>
      <c r="K1019" s="13"/>
      <c r="L1019" s="15">
        <v>0</v>
      </c>
    </row>
    <row r="1020" spans="1:12">
      <c r="A1020" s="12"/>
      <c r="E1020" s="14"/>
      <c r="F1020" s="14"/>
      <c r="G1020" s="13">
        <v>0</v>
      </c>
      <c r="H1020" s="13">
        <v>0</v>
      </c>
      <c r="I1020" s="13"/>
      <c r="J1020" s="13"/>
      <c r="K1020" s="13"/>
      <c r="L1020" s="15">
        <v>0</v>
      </c>
    </row>
    <row r="1021" spans="1:12">
      <c r="A1021" s="12"/>
      <c r="E1021" s="14"/>
      <c r="F1021" s="14"/>
      <c r="G1021" s="13">
        <v>0</v>
      </c>
      <c r="H1021" s="13">
        <v>0</v>
      </c>
      <c r="I1021" s="13"/>
      <c r="J1021" s="13"/>
      <c r="K1021" s="13"/>
      <c r="L1021" s="15">
        <v>0</v>
      </c>
    </row>
    <row r="1022" spans="1:12">
      <c r="A1022" s="12"/>
      <c r="E1022" s="14"/>
      <c r="F1022" s="14"/>
      <c r="G1022" s="13">
        <v>0</v>
      </c>
      <c r="H1022" s="13">
        <v>0</v>
      </c>
      <c r="I1022" s="13"/>
      <c r="J1022" s="13"/>
      <c r="K1022" s="13"/>
      <c r="L1022" s="15">
        <v>0</v>
      </c>
    </row>
    <row r="1023" spans="1:12">
      <c r="A1023" s="12"/>
      <c r="E1023" s="14"/>
      <c r="F1023" s="14"/>
      <c r="G1023" s="13">
        <v>0</v>
      </c>
      <c r="H1023" s="13">
        <v>0</v>
      </c>
      <c r="I1023" s="13"/>
      <c r="J1023" s="13"/>
      <c r="K1023" s="13"/>
      <c r="L1023" s="15">
        <v>0</v>
      </c>
    </row>
    <row r="1024" spans="1:12">
      <c r="A1024" s="12"/>
      <c r="E1024" s="14"/>
      <c r="F1024" s="14"/>
      <c r="G1024" s="13">
        <v>0</v>
      </c>
      <c r="H1024" s="13">
        <v>0</v>
      </c>
      <c r="I1024" s="13"/>
      <c r="J1024" s="13"/>
      <c r="K1024" s="13"/>
      <c r="L1024" s="15">
        <v>0</v>
      </c>
    </row>
    <row r="1025" spans="1:12">
      <c r="A1025" s="12"/>
      <c r="E1025" s="14"/>
      <c r="F1025" s="14"/>
      <c r="G1025" s="13">
        <v>0</v>
      </c>
      <c r="H1025" s="13">
        <v>0</v>
      </c>
      <c r="I1025" s="13"/>
      <c r="J1025" s="13"/>
      <c r="K1025" s="13"/>
      <c r="L1025" s="15">
        <v>0</v>
      </c>
    </row>
    <row r="1026" spans="1:12">
      <c r="A1026" s="12"/>
      <c r="E1026" s="14"/>
      <c r="F1026" s="14"/>
      <c r="G1026" s="13">
        <v>0</v>
      </c>
      <c r="H1026" s="13">
        <v>0</v>
      </c>
      <c r="I1026" s="13"/>
      <c r="J1026" s="13"/>
      <c r="K1026" s="13"/>
      <c r="L1026" s="15">
        <v>0</v>
      </c>
    </row>
    <row r="1027" spans="1:12">
      <c r="A1027" s="12"/>
      <c r="E1027" s="14"/>
      <c r="F1027" s="14"/>
      <c r="G1027" s="13">
        <v>0</v>
      </c>
      <c r="H1027" s="13">
        <v>0</v>
      </c>
      <c r="I1027" s="13"/>
      <c r="J1027" s="13"/>
      <c r="K1027" s="13"/>
      <c r="L1027" s="15">
        <v>0</v>
      </c>
    </row>
    <row r="1028" spans="1:12">
      <c r="A1028" s="12"/>
      <c r="E1028" s="14"/>
      <c r="F1028" s="14"/>
      <c r="G1028" s="13">
        <v>0</v>
      </c>
      <c r="H1028" s="13">
        <v>0</v>
      </c>
      <c r="I1028" s="13"/>
      <c r="J1028" s="13"/>
      <c r="K1028" s="13"/>
      <c r="L1028" s="15">
        <v>0</v>
      </c>
    </row>
    <row r="1029" spans="1:12">
      <c r="A1029" s="12"/>
      <c r="E1029" s="14"/>
      <c r="F1029" s="14"/>
      <c r="G1029" s="13">
        <v>0</v>
      </c>
      <c r="H1029" s="13">
        <v>0</v>
      </c>
      <c r="I1029" s="13"/>
      <c r="J1029" s="13"/>
      <c r="K1029" s="13"/>
      <c r="L1029" s="15">
        <v>0</v>
      </c>
    </row>
    <row r="1030" spans="1:12">
      <c r="A1030" s="12"/>
      <c r="E1030" s="14"/>
      <c r="F1030" s="14"/>
      <c r="G1030" s="13">
        <v>0</v>
      </c>
      <c r="H1030" s="13">
        <v>0</v>
      </c>
      <c r="I1030" s="13"/>
      <c r="J1030" s="13"/>
      <c r="K1030" s="13"/>
      <c r="L1030" s="15">
        <v>0</v>
      </c>
    </row>
    <row r="1031" spans="1:12">
      <c r="A1031" s="12"/>
      <c r="E1031" s="14"/>
      <c r="F1031" s="14"/>
      <c r="G1031" s="13">
        <v>0</v>
      </c>
      <c r="H1031" s="13">
        <v>0</v>
      </c>
      <c r="I1031" s="13"/>
      <c r="J1031" s="13"/>
      <c r="K1031" s="13"/>
      <c r="L1031" s="15">
        <v>0</v>
      </c>
    </row>
    <row r="1032" spans="1:12">
      <c r="A1032" s="12"/>
      <c r="E1032" s="14"/>
      <c r="F1032" s="14"/>
      <c r="G1032" s="13">
        <v>0</v>
      </c>
      <c r="H1032" s="13">
        <v>0</v>
      </c>
      <c r="I1032" s="13"/>
      <c r="J1032" s="13"/>
      <c r="K1032" s="13"/>
      <c r="L1032" s="15">
        <v>0</v>
      </c>
    </row>
    <row r="1033" spans="1:12">
      <c r="A1033" s="12"/>
      <c r="E1033" s="14"/>
      <c r="F1033" s="14"/>
      <c r="G1033" s="13">
        <v>0</v>
      </c>
      <c r="H1033" s="13">
        <v>0</v>
      </c>
      <c r="I1033" s="13"/>
      <c r="J1033" s="13"/>
      <c r="K1033" s="13"/>
      <c r="L1033" s="15">
        <v>0</v>
      </c>
    </row>
    <row r="1034" spans="1:12">
      <c r="A1034" s="12"/>
      <c r="E1034" s="14"/>
      <c r="F1034" s="14"/>
      <c r="G1034" s="13">
        <v>0</v>
      </c>
      <c r="H1034" s="13">
        <v>0</v>
      </c>
      <c r="I1034" s="13"/>
      <c r="J1034" s="13"/>
      <c r="K1034" s="13"/>
      <c r="L1034" s="15">
        <v>0</v>
      </c>
    </row>
    <row r="1035" spans="1:12">
      <c r="A1035" s="12"/>
      <c r="E1035" s="14"/>
      <c r="F1035" s="14"/>
      <c r="G1035" s="13">
        <v>0</v>
      </c>
      <c r="H1035" s="13">
        <v>0</v>
      </c>
      <c r="I1035" s="13"/>
      <c r="J1035" s="13"/>
      <c r="K1035" s="13"/>
      <c r="L1035" s="15">
        <v>0</v>
      </c>
    </row>
    <row r="1036" spans="1:12">
      <c r="A1036" s="12"/>
      <c r="E1036" s="14"/>
      <c r="F1036" s="14"/>
      <c r="G1036" s="13">
        <v>0</v>
      </c>
      <c r="H1036" s="13">
        <v>0</v>
      </c>
      <c r="I1036" s="13"/>
      <c r="J1036" s="13"/>
      <c r="K1036" s="13"/>
      <c r="L1036" s="15">
        <v>0</v>
      </c>
    </row>
    <row r="1037" spans="1:12">
      <c r="A1037" s="12"/>
      <c r="E1037" s="14"/>
      <c r="F1037" s="14"/>
      <c r="G1037" s="13">
        <v>0</v>
      </c>
      <c r="H1037" s="13">
        <v>0</v>
      </c>
      <c r="I1037" s="13"/>
      <c r="J1037" s="13"/>
      <c r="K1037" s="13"/>
      <c r="L1037" s="15">
        <v>0</v>
      </c>
    </row>
    <row r="1038" spans="1:12">
      <c r="A1038" s="12"/>
      <c r="E1038" s="14"/>
      <c r="F1038" s="14"/>
      <c r="G1038" s="13">
        <v>0</v>
      </c>
      <c r="H1038" s="13">
        <v>0</v>
      </c>
      <c r="I1038" s="13"/>
      <c r="J1038" s="13"/>
      <c r="K1038" s="13"/>
      <c r="L1038" s="15">
        <v>0</v>
      </c>
    </row>
    <row r="1039" spans="1:12">
      <c r="A1039" s="12"/>
      <c r="E1039" s="14"/>
      <c r="F1039" s="14"/>
      <c r="G1039" s="13">
        <v>0</v>
      </c>
      <c r="H1039" s="13">
        <v>0</v>
      </c>
      <c r="I1039" s="13"/>
      <c r="J1039" s="13"/>
      <c r="K1039" s="13"/>
      <c r="L1039" s="15">
        <v>0</v>
      </c>
    </row>
    <row r="1040" spans="1:12">
      <c r="A1040" s="12"/>
      <c r="E1040" s="14"/>
      <c r="F1040" s="14"/>
      <c r="G1040" s="13">
        <v>0</v>
      </c>
      <c r="H1040" s="13">
        <v>0</v>
      </c>
      <c r="I1040" s="13"/>
      <c r="J1040" s="13"/>
      <c r="K1040" s="13"/>
      <c r="L1040" s="15">
        <v>0</v>
      </c>
    </row>
    <row r="1041" spans="1:12">
      <c r="A1041" s="12"/>
      <c r="E1041" s="14"/>
      <c r="F1041" s="14"/>
      <c r="G1041" s="13">
        <v>0</v>
      </c>
      <c r="H1041" s="13">
        <v>0</v>
      </c>
      <c r="I1041" s="13"/>
      <c r="J1041" s="13"/>
      <c r="K1041" s="13"/>
      <c r="L1041" s="15">
        <v>0</v>
      </c>
    </row>
    <row r="1042" spans="1:12">
      <c r="A1042" s="12"/>
      <c r="E1042" s="14"/>
      <c r="F1042" s="14"/>
      <c r="G1042" s="13">
        <v>0</v>
      </c>
      <c r="H1042" s="13">
        <v>0</v>
      </c>
      <c r="I1042" s="13"/>
      <c r="J1042" s="13"/>
      <c r="K1042" s="13"/>
      <c r="L1042" s="15">
        <v>0</v>
      </c>
    </row>
    <row r="1043" spans="1:12">
      <c r="A1043" s="12"/>
      <c r="E1043" s="14"/>
      <c r="F1043" s="14"/>
      <c r="G1043" s="13">
        <v>0</v>
      </c>
      <c r="H1043" s="13">
        <v>0</v>
      </c>
      <c r="I1043" s="13"/>
      <c r="J1043" s="13"/>
      <c r="K1043" s="13"/>
      <c r="L1043" s="15">
        <v>0</v>
      </c>
    </row>
    <row r="1044" spans="1:12">
      <c r="A1044" s="12"/>
      <c r="E1044" s="14"/>
      <c r="F1044" s="14"/>
      <c r="G1044" s="13">
        <v>0</v>
      </c>
      <c r="H1044" s="13">
        <v>0</v>
      </c>
      <c r="I1044" s="13"/>
      <c r="J1044" s="13"/>
      <c r="K1044" s="13"/>
      <c r="L1044" s="15">
        <v>0</v>
      </c>
    </row>
    <row r="1045" spans="1:12">
      <c r="A1045" s="12"/>
      <c r="E1045" s="14"/>
      <c r="F1045" s="14"/>
      <c r="G1045" s="13">
        <v>0</v>
      </c>
      <c r="H1045" s="13">
        <v>0</v>
      </c>
      <c r="I1045" s="13"/>
      <c r="J1045" s="13"/>
      <c r="K1045" s="13"/>
      <c r="L1045" s="15">
        <v>0</v>
      </c>
    </row>
    <row r="1046" spans="1:12">
      <c r="A1046" s="12"/>
      <c r="E1046" s="14"/>
      <c r="F1046" s="14"/>
      <c r="G1046" s="13">
        <v>0</v>
      </c>
      <c r="H1046" s="13">
        <v>0</v>
      </c>
      <c r="I1046" s="13"/>
      <c r="J1046" s="13"/>
      <c r="K1046" s="13"/>
      <c r="L1046" s="15">
        <v>0</v>
      </c>
    </row>
    <row r="1047" spans="1:12">
      <c r="A1047" s="12"/>
      <c r="E1047" s="14"/>
      <c r="F1047" s="14"/>
      <c r="G1047" s="13">
        <v>0</v>
      </c>
      <c r="H1047" s="13">
        <v>0</v>
      </c>
      <c r="I1047" s="13"/>
      <c r="J1047" s="13"/>
      <c r="K1047" s="13"/>
      <c r="L1047" s="15">
        <v>0</v>
      </c>
    </row>
    <row r="1048" spans="1:12">
      <c r="A1048" s="12"/>
      <c r="E1048" s="14"/>
      <c r="F1048" s="14"/>
      <c r="G1048" s="13">
        <v>0</v>
      </c>
      <c r="H1048" s="13">
        <v>0</v>
      </c>
      <c r="I1048" s="13"/>
      <c r="J1048" s="13"/>
      <c r="K1048" s="13"/>
      <c r="L1048" s="15">
        <v>0</v>
      </c>
    </row>
    <row r="1049" spans="1:12">
      <c r="A1049" s="12"/>
      <c r="E1049" s="14"/>
      <c r="F1049" s="14"/>
      <c r="G1049" s="13">
        <v>0</v>
      </c>
      <c r="H1049" s="13">
        <v>0</v>
      </c>
      <c r="I1049" s="13"/>
      <c r="J1049" s="13"/>
      <c r="K1049" s="13"/>
      <c r="L1049" s="15">
        <v>0</v>
      </c>
    </row>
    <row r="1050" spans="1:12">
      <c r="A1050" s="12"/>
      <c r="E1050" s="14"/>
      <c r="F1050" s="14"/>
      <c r="G1050" s="13">
        <v>0</v>
      </c>
      <c r="H1050" s="13">
        <v>0</v>
      </c>
      <c r="I1050" s="13"/>
      <c r="J1050" s="13"/>
      <c r="K1050" s="13"/>
      <c r="L1050" s="15">
        <v>0</v>
      </c>
    </row>
    <row r="1051" spans="1:12">
      <c r="A1051" s="12"/>
      <c r="E1051" s="14"/>
      <c r="F1051" s="14"/>
      <c r="G1051" s="13">
        <v>0</v>
      </c>
      <c r="H1051" s="13">
        <v>0</v>
      </c>
      <c r="I1051" s="13"/>
      <c r="J1051" s="13"/>
      <c r="K1051" s="13"/>
      <c r="L1051" s="15">
        <v>0</v>
      </c>
    </row>
    <row r="1052" spans="1:12">
      <c r="A1052" s="12"/>
      <c r="E1052" s="14"/>
      <c r="F1052" s="14"/>
      <c r="G1052" s="13">
        <v>0</v>
      </c>
      <c r="H1052" s="13">
        <v>0</v>
      </c>
      <c r="I1052" s="13"/>
      <c r="J1052" s="13"/>
      <c r="K1052" s="13"/>
      <c r="L1052" s="15">
        <v>0</v>
      </c>
    </row>
    <row r="1053" spans="1:12">
      <c r="A1053" s="12"/>
      <c r="E1053" s="14"/>
      <c r="F1053" s="14"/>
      <c r="G1053" s="13">
        <v>0</v>
      </c>
      <c r="H1053" s="13">
        <v>0</v>
      </c>
      <c r="I1053" s="13"/>
      <c r="J1053" s="13"/>
      <c r="K1053" s="13"/>
      <c r="L1053" s="15">
        <v>0</v>
      </c>
    </row>
    <row r="1054" spans="1:12">
      <c r="A1054" s="12"/>
      <c r="E1054" s="14"/>
      <c r="F1054" s="14"/>
      <c r="G1054" s="13">
        <v>0</v>
      </c>
      <c r="H1054" s="13">
        <v>0</v>
      </c>
      <c r="I1054" s="13"/>
      <c r="J1054" s="13"/>
      <c r="K1054" s="13"/>
      <c r="L1054" s="15">
        <v>0</v>
      </c>
    </row>
    <row r="1055" spans="1:12">
      <c r="A1055" s="12"/>
      <c r="E1055" s="14"/>
      <c r="F1055" s="14"/>
      <c r="G1055" s="13">
        <v>0</v>
      </c>
      <c r="H1055" s="13">
        <v>0</v>
      </c>
      <c r="I1055" s="13"/>
      <c r="J1055" s="13"/>
      <c r="K1055" s="13"/>
      <c r="L1055" s="15">
        <v>0</v>
      </c>
    </row>
    <row r="1056" spans="1:12">
      <c r="A1056" s="12"/>
      <c r="E1056" s="14"/>
      <c r="F1056" s="14"/>
      <c r="G1056" s="13">
        <v>0</v>
      </c>
      <c r="H1056" s="13">
        <v>0</v>
      </c>
      <c r="I1056" s="13"/>
      <c r="J1056" s="13"/>
      <c r="K1056" s="13"/>
      <c r="L1056" s="15">
        <v>0</v>
      </c>
    </row>
    <row r="1057" spans="1:12">
      <c r="A1057" s="12"/>
      <c r="E1057" s="14"/>
      <c r="F1057" s="14"/>
      <c r="G1057" s="13">
        <v>0</v>
      </c>
      <c r="H1057" s="13">
        <v>0</v>
      </c>
      <c r="I1057" s="13"/>
      <c r="J1057" s="13"/>
      <c r="K1057" s="13"/>
      <c r="L1057" s="15">
        <v>0</v>
      </c>
    </row>
    <row r="1058" spans="1:12">
      <c r="A1058" s="12"/>
      <c r="E1058" s="14"/>
      <c r="F1058" s="14"/>
      <c r="G1058" s="13">
        <v>0</v>
      </c>
      <c r="H1058" s="13">
        <v>0</v>
      </c>
      <c r="I1058" s="13"/>
      <c r="J1058" s="13"/>
      <c r="K1058" s="13"/>
      <c r="L1058" s="15">
        <v>0</v>
      </c>
    </row>
    <row r="1059" spans="1:12">
      <c r="A1059" s="12"/>
      <c r="E1059" s="14"/>
      <c r="F1059" s="14"/>
      <c r="G1059" s="13">
        <v>0</v>
      </c>
      <c r="H1059" s="13">
        <v>0</v>
      </c>
      <c r="I1059" s="13"/>
      <c r="J1059" s="13"/>
      <c r="K1059" s="13"/>
      <c r="L1059" s="15">
        <v>0</v>
      </c>
    </row>
    <row r="1060" spans="1:12">
      <c r="A1060" s="12"/>
      <c r="E1060" s="14"/>
      <c r="F1060" s="14"/>
      <c r="G1060" s="13">
        <v>0</v>
      </c>
      <c r="H1060" s="13">
        <v>0</v>
      </c>
      <c r="I1060" s="13"/>
      <c r="J1060" s="13"/>
      <c r="K1060" s="13"/>
      <c r="L1060" s="15">
        <v>0</v>
      </c>
    </row>
    <row r="1061" spans="1:12">
      <c r="A1061" s="12"/>
      <c r="E1061" s="14"/>
      <c r="F1061" s="14"/>
      <c r="G1061" s="13">
        <v>0</v>
      </c>
      <c r="H1061" s="13">
        <v>0</v>
      </c>
      <c r="I1061" s="13"/>
      <c r="J1061" s="13"/>
      <c r="K1061" s="13"/>
      <c r="L1061" s="15">
        <v>0</v>
      </c>
    </row>
    <row r="1062" spans="1:12">
      <c r="A1062" s="12"/>
      <c r="E1062" s="14"/>
      <c r="F1062" s="14"/>
      <c r="G1062" s="13">
        <v>0</v>
      </c>
      <c r="H1062" s="13">
        <v>0</v>
      </c>
      <c r="I1062" s="13"/>
      <c r="J1062" s="13"/>
      <c r="K1062" s="13"/>
      <c r="L1062" s="15">
        <v>0</v>
      </c>
    </row>
    <row r="1063" spans="1:12">
      <c r="A1063" s="12"/>
      <c r="E1063" s="14"/>
      <c r="F1063" s="14"/>
      <c r="G1063" s="13">
        <v>0</v>
      </c>
      <c r="H1063" s="13">
        <v>0</v>
      </c>
      <c r="I1063" s="13"/>
      <c r="J1063" s="13"/>
      <c r="K1063" s="13"/>
      <c r="L1063" s="15">
        <v>0</v>
      </c>
    </row>
    <row r="1064" spans="1:12">
      <c r="A1064" s="12"/>
      <c r="E1064" s="14"/>
      <c r="F1064" s="14"/>
      <c r="G1064" s="13">
        <v>0</v>
      </c>
      <c r="H1064" s="13">
        <v>0</v>
      </c>
      <c r="I1064" s="13"/>
      <c r="J1064" s="13"/>
      <c r="K1064" s="13"/>
      <c r="L1064" s="15">
        <v>0</v>
      </c>
    </row>
    <row r="1065" spans="1:12">
      <c r="A1065" s="12"/>
      <c r="E1065" s="14"/>
      <c r="F1065" s="14"/>
      <c r="G1065" s="13">
        <v>0</v>
      </c>
      <c r="H1065" s="13">
        <v>0</v>
      </c>
      <c r="I1065" s="13"/>
      <c r="J1065" s="13"/>
      <c r="K1065" s="13"/>
      <c r="L1065" s="15">
        <v>0</v>
      </c>
    </row>
    <row r="1066" spans="1:12">
      <c r="A1066" s="12"/>
      <c r="E1066" s="14"/>
      <c r="F1066" s="14"/>
      <c r="G1066" s="13">
        <v>0</v>
      </c>
      <c r="H1066" s="13">
        <v>0</v>
      </c>
      <c r="I1066" s="13"/>
      <c r="J1066" s="13"/>
      <c r="K1066" s="13"/>
      <c r="L1066" s="15">
        <v>0</v>
      </c>
    </row>
    <row r="1067" spans="1:12">
      <c r="A1067" s="12"/>
      <c r="E1067" s="14"/>
      <c r="F1067" s="14"/>
      <c r="G1067" s="13">
        <v>0</v>
      </c>
      <c r="H1067" s="13">
        <v>0</v>
      </c>
      <c r="I1067" s="13"/>
      <c r="J1067" s="13"/>
      <c r="K1067" s="13"/>
      <c r="L1067" s="15">
        <v>0</v>
      </c>
    </row>
    <row r="1068" spans="1:12">
      <c r="A1068" s="12"/>
      <c r="E1068" s="14"/>
      <c r="F1068" s="14"/>
      <c r="G1068" s="13">
        <v>0</v>
      </c>
      <c r="H1068" s="13">
        <v>0</v>
      </c>
      <c r="I1068" s="13"/>
      <c r="J1068" s="13"/>
      <c r="K1068" s="13"/>
      <c r="L1068" s="15">
        <v>0</v>
      </c>
    </row>
    <row r="1069" spans="1:12">
      <c r="A1069" s="12"/>
      <c r="E1069" s="14"/>
      <c r="F1069" s="14"/>
      <c r="G1069" s="13">
        <v>0</v>
      </c>
      <c r="H1069" s="13">
        <v>0</v>
      </c>
      <c r="I1069" s="13"/>
      <c r="J1069" s="13"/>
      <c r="K1069" s="13"/>
      <c r="L1069" s="15">
        <v>0</v>
      </c>
    </row>
    <row r="1070" spans="1:12">
      <c r="A1070" s="12"/>
      <c r="E1070" s="14"/>
      <c r="F1070" s="14"/>
      <c r="G1070" s="13">
        <v>0</v>
      </c>
      <c r="H1070" s="13">
        <v>0</v>
      </c>
      <c r="I1070" s="13"/>
      <c r="J1070" s="13"/>
      <c r="K1070" s="13"/>
      <c r="L1070" s="15">
        <v>0</v>
      </c>
    </row>
    <row r="1071" spans="1:12">
      <c r="A1071" s="12"/>
      <c r="E1071" s="14"/>
      <c r="F1071" s="14"/>
      <c r="G1071" s="13">
        <v>0</v>
      </c>
      <c r="H1071" s="13">
        <v>0</v>
      </c>
      <c r="I1071" s="13"/>
      <c r="J1071" s="13"/>
      <c r="K1071" s="13"/>
      <c r="L1071" s="15">
        <v>0</v>
      </c>
    </row>
    <row r="1072" spans="1:12">
      <c r="A1072" s="12"/>
      <c r="E1072" s="14"/>
      <c r="F1072" s="14"/>
      <c r="G1072" s="13">
        <v>0</v>
      </c>
      <c r="H1072" s="13">
        <v>0</v>
      </c>
      <c r="I1072" s="13"/>
      <c r="J1072" s="13"/>
      <c r="K1072" s="13"/>
      <c r="L1072" s="15">
        <v>0</v>
      </c>
    </row>
    <row r="1073" spans="1:12">
      <c r="A1073" s="12"/>
      <c r="E1073" s="14"/>
      <c r="F1073" s="14"/>
      <c r="G1073" s="13">
        <v>0</v>
      </c>
      <c r="H1073" s="13">
        <v>0</v>
      </c>
      <c r="I1073" s="13"/>
      <c r="J1073" s="13"/>
      <c r="K1073" s="13"/>
      <c r="L1073" s="15">
        <v>0</v>
      </c>
    </row>
    <row r="1074" spans="1:12">
      <c r="A1074" s="12"/>
      <c r="E1074" s="14"/>
      <c r="F1074" s="14"/>
      <c r="G1074" s="13">
        <v>0</v>
      </c>
      <c r="H1074" s="13">
        <v>0</v>
      </c>
      <c r="I1074" s="13"/>
      <c r="J1074" s="13"/>
      <c r="K1074" s="13"/>
      <c r="L1074" s="15">
        <v>0</v>
      </c>
    </row>
    <row r="1075" spans="1:12">
      <c r="A1075" s="12"/>
      <c r="E1075" s="14"/>
      <c r="F1075" s="14"/>
      <c r="G1075" s="13">
        <v>0</v>
      </c>
      <c r="H1075" s="13">
        <v>0</v>
      </c>
      <c r="I1075" s="13"/>
      <c r="J1075" s="13"/>
      <c r="K1075" s="13"/>
      <c r="L1075" s="15">
        <v>0</v>
      </c>
    </row>
    <row r="1076" spans="1:12">
      <c r="A1076" s="12"/>
      <c r="E1076" s="14"/>
      <c r="F1076" s="14"/>
      <c r="G1076" s="13">
        <v>0</v>
      </c>
      <c r="H1076" s="13">
        <v>0</v>
      </c>
      <c r="I1076" s="13"/>
      <c r="J1076" s="13"/>
      <c r="K1076" s="13"/>
      <c r="L1076" s="15">
        <v>0</v>
      </c>
    </row>
    <row r="1077" spans="1:12">
      <c r="A1077" s="12"/>
      <c r="E1077" s="14"/>
      <c r="F1077" s="14"/>
      <c r="G1077" s="13">
        <v>0</v>
      </c>
      <c r="H1077" s="13">
        <v>0</v>
      </c>
      <c r="I1077" s="13"/>
      <c r="J1077" s="13"/>
      <c r="K1077" s="13"/>
      <c r="L1077" s="15">
        <v>0</v>
      </c>
    </row>
    <row r="1078" spans="1:12">
      <c r="A1078" s="12"/>
      <c r="E1078" s="14"/>
      <c r="F1078" s="14"/>
      <c r="G1078" s="13">
        <v>0</v>
      </c>
      <c r="H1078" s="13">
        <v>0</v>
      </c>
      <c r="I1078" s="13"/>
      <c r="J1078" s="13"/>
      <c r="K1078" s="13"/>
      <c r="L1078" s="15">
        <v>0</v>
      </c>
    </row>
    <row r="1079" spans="1:12">
      <c r="A1079" s="12"/>
      <c r="E1079" s="14"/>
      <c r="F1079" s="14"/>
      <c r="G1079" s="13">
        <v>0</v>
      </c>
      <c r="H1079" s="13">
        <v>0</v>
      </c>
      <c r="I1079" s="13"/>
      <c r="J1079" s="13"/>
      <c r="K1079" s="13"/>
      <c r="L1079" s="15">
        <v>0</v>
      </c>
    </row>
    <row r="1080" spans="1:12">
      <c r="A1080" s="12"/>
      <c r="E1080" s="14"/>
      <c r="F1080" s="14"/>
      <c r="G1080" s="13">
        <v>0</v>
      </c>
      <c r="H1080" s="13">
        <v>0</v>
      </c>
      <c r="I1080" s="13"/>
      <c r="J1080" s="13"/>
      <c r="K1080" s="13"/>
      <c r="L1080" s="15">
        <v>0</v>
      </c>
    </row>
    <row r="1081" spans="1:12">
      <c r="A1081" s="12"/>
      <c r="E1081" s="14"/>
      <c r="F1081" s="14"/>
      <c r="G1081" s="13">
        <v>0</v>
      </c>
      <c r="H1081" s="13">
        <v>0</v>
      </c>
      <c r="I1081" s="13"/>
      <c r="J1081" s="13"/>
      <c r="K1081" s="13"/>
      <c r="L1081" s="15">
        <v>0</v>
      </c>
    </row>
    <row r="1082" spans="1:12">
      <c r="A1082" s="12"/>
      <c r="E1082" s="14"/>
      <c r="F1082" s="14"/>
      <c r="G1082" s="13">
        <v>0</v>
      </c>
      <c r="H1082" s="13">
        <v>0</v>
      </c>
      <c r="I1082" s="13"/>
      <c r="J1082" s="13"/>
      <c r="K1082" s="13"/>
      <c r="L1082" s="15">
        <v>0</v>
      </c>
    </row>
    <row r="1083" spans="1:12">
      <c r="A1083" s="12"/>
      <c r="E1083" s="14"/>
      <c r="F1083" s="14"/>
      <c r="G1083" s="13">
        <v>0</v>
      </c>
      <c r="H1083" s="13">
        <v>0</v>
      </c>
      <c r="I1083" s="13"/>
      <c r="J1083" s="13"/>
      <c r="K1083" s="13"/>
      <c r="L1083" s="15">
        <v>0</v>
      </c>
    </row>
    <row r="1084" spans="1:12">
      <c r="A1084" s="12"/>
      <c r="E1084" s="14"/>
      <c r="F1084" s="14"/>
      <c r="G1084" s="13">
        <v>0</v>
      </c>
      <c r="H1084" s="13">
        <v>0</v>
      </c>
      <c r="I1084" s="13"/>
      <c r="J1084" s="13"/>
      <c r="K1084" s="13"/>
      <c r="L1084" s="15">
        <v>0</v>
      </c>
    </row>
    <row r="1085" spans="1:12">
      <c r="A1085" s="12"/>
      <c r="E1085" s="14"/>
      <c r="F1085" s="14"/>
      <c r="G1085" s="13">
        <v>0</v>
      </c>
      <c r="H1085" s="13">
        <v>0</v>
      </c>
      <c r="I1085" s="13"/>
      <c r="J1085" s="13"/>
      <c r="K1085" s="13"/>
      <c r="L1085" s="15">
        <v>0</v>
      </c>
    </row>
    <row r="1086" spans="1:12">
      <c r="A1086" s="12"/>
      <c r="E1086" s="14"/>
      <c r="F1086" s="14"/>
      <c r="G1086" s="13">
        <v>0</v>
      </c>
      <c r="H1086" s="13">
        <v>0</v>
      </c>
      <c r="I1086" s="13"/>
      <c r="J1086" s="13"/>
      <c r="K1086" s="13"/>
      <c r="L1086" s="15">
        <v>0</v>
      </c>
    </row>
    <row r="1087" spans="1:12">
      <c r="A1087" s="12"/>
      <c r="E1087" s="14"/>
      <c r="F1087" s="14"/>
      <c r="G1087" s="13">
        <v>0</v>
      </c>
      <c r="H1087" s="13">
        <v>0</v>
      </c>
      <c r="I1087" s="13"/>
      <c r="J1087" s="13"/>
      <c r="K1087" s="13"/>
      <c r="L1087" s="15">
        <v>0</v>
      </c>
    </row>
    <row r="1088" spans="1:12">
      <c r="A1088" s="12"/>
      <c r="E1088" s="14"/>
      <c r="F1088" s="14"/>
      <c r="G1088" s="13">
        <v>0</v>
      </c>
      <c r="H1088" s="13">
        <v>0</v>
      </c>
      <c r="I1088" s="13"/>
      <c r="J1088" s="13"/>
      <c r="K1088" s="13"/>
      <c r="L1088" s="15">
        <v>0</v>
      </c>
    </row>
    <row r="1089" spans="1:12">
      <c r="A1089" s="12"/>
      <c r="E1089" s="14"/>
      <c r="F1089" s="14"/>
      <c r="G1089" s="13">
        <v>0</v>
      </c>
      <c r="H1089" s="13">
        <v>0</v>
      </c>
      <c r="I1089" s="13"/>
      <c r="J1089" s="13"/>
      <c r="K1089" s="13"/>
      <c r="L1089" s="15">
        <v>0</v>
      </c>
    </row>
    <row r="1090" spans="1:12">
      <c r="A1090" s="12"/>
      <c r="E1090" s="14"/>
      <c r="F1090" s="14"/>
      <c r="G1090" s="13">
        <v>0</v>
      </c>
      <c r="H1090" s="13">
        <v>0</v>
      </c>
      <c r="I1090" s="13"/>
      <c r="J1090" s="13"/>
      <c r="K1090" s="13"/>
      <c r="L1090" s="15">
        <v>0</v>
      </c>
    </row>
    <row r="1091" spans="1:12">
      <c r="A1091" s="12"/>
      <c r="E1091" s="14"/>
      <c r="F1091" s="14"/>
      <c r="G1091" s="13">
        <v>0</v>
      </c>
      <c r="H1091" s="13">
        <v>0</v>
      </c>
      <c r="I1091" s="13"/>
      <c r="J1091" s="13"/>
      <c r="K1091" s="13"/>
      <c r="L1091" s="15">
        <v>0</v>
      </c>
    </row>
    <row r="1092" spans="1:12">
      <c r="A1092" s="12"/>
      <c r="E1092" s="14"/>
      <c r="F1092" s="14"/>
      <c r="G1092" s="13">
        <v>0</v>
      </c>
      <c r="H1092" s="13">
        <v>0</v>
      </c>
      <c r="I1092" s="13"/>
      <c r="J1092" s="13"/>
      <c r="K1092" s="13"/>
      <c r="L1092" s="15">
        <v>0</v>
      </c>
    </row>
    <row r="1093" spans="1:12">
      <c r="A1093" s="12"/>
      <c r="E1093" s="14"/>
      <c r="F1093" s="14"/>
      <c r="G1093" s="13">
        <v>0</v>
      </c>
      <c r="H1093" s="13">
        <v>0</v>
      </c>
      <c r="I1093" s="13"/>
      <c r="J1093" s="13"/>
      <c r="K1093" s="13"/>
      <c r="L1093" s="15">
        <v>0</v>
      </c>
    </row>
    <row r="1094" spans="1:12">
      <c r="A1094" s="12"/>
      <c r="E1094" s="14"/>
      <c r="F1094" s="14"/>
      <c r="G1094" s="13">
        <v>0</v>
      </c>
      <c r="H1094" s="13">
        <v>0</v>
      </c>
      <c r="I1094" s="13"/>
      <c r="J1094" s="13"/>
      <c r="K1094" s="13"/>
      <c r="L1094" s="15">
        <v>0</v>
      </c>
    </row>
    <row r="1095" spans="1:12">
      <c r="A1095" s="12"/>
      <c r="E1095" s="14"/>
      <c r="F1095" s="14"/>
      <c r="G1095" s="13">
        <v>0</v>
      </c>
      <c r="H1095" s="13">
        <v>0</v>
      </c>
      <c r="I1095" s="13"/>
      <c r="J1095" s="13"/>
      <c r="K1095" s="13"/>
      <c r="L1095" s="15">
        <v>0</v>
      </c>
    </row>
    <row r="1096" spans="1:12">
      <c r="A1096" s="12"/>
      <c r="E1096" s="14"/>
      <c r="F1096" s="14"/>
      <c r="G1096" s="13">
        <v>0</v>
      </c>
      <c r="H1096" s="13">
        <v>0</v>
      </c>
      <c r="I1096" s="13"/>
      <c r="J1096" s="13"/>
      <c r="K1096" s="13"/>
      <c r="L1096" s="15">
        <v>0</v>
      </c>
    </row>
    <row r="1097" spans="1:12">
      <c r="A1097" s="12"/>
      <c r="E1097" s="14"/>
      <c r="F1097" s="14"/>
      <c r="G1097" s="13">
        <v>0</v>
      </c>
      <c r="H1097" s="13">
        <v>0</v>
      </c>
      <c r="I1097" s="13"/>
      <c r="J1097" s="13"/>
      <c r="K1097" s="13"/>
      <c r="L1097" s="15">
        <v>0</v>
      </c>
    </row>
    <row r="1098" spans="1:12">
      <c r="A1098" s="12"/>
      <c r="E1098" s="14"/>
      <c r="F1098" s="14"/>
      <c r="G1098" s="13">
        <v>0</v>
      </c>
      <c r="H1098" s="13">
        <v>0</v>
      </c>
      <c r="I1098" s="13"/>
      <c r="J1098" s="13"/>
      <c r="K1098" s="13"/>
      <c r="L1098" s="15">
        <v>0</v>
      </c>
    </row>
    <row r="1099" spans="1:12">
      <c r="A1099" s="12"/>
      <c r="E1099" s="14"/>
      <c r="F1099" s="14"/>
      <c r="G1099" s="13">
        <v>0</v>
      </c>
      <c r="H1099" s="13">
        <v>0</v>
      </c>
      <c r="I1099" s="13"/>
      <c r="J1099" s="13"/>
      <c r="K1099" s="13"/>
      <c r="L1099" s="15">
        <v>0</v>
      </c>
    </row>
    <row r="1100" spans="1:12">
      <c r="A1100" s="12"/>
      <c r="E1100" s="14"/>
      <c r="F1100" s="14"/>
      <c r="G1100" s="13">
        <v>0</v>
      </c>
      <c r="H1100" s="13">
        <v>0</v>
      </c>
      <c r="I1100" s="13"/>
      <c r="J1100" s="13"/>
      <c r="K1100" s="13"/>
      <c r="L1100" s="15">
        <v>0</v>
      </c>
    </row>
    <row r="1101" spans="1:12">
      <c r="A1101" s="12"/>
      <c r="E1101" s="14"/>
      <c r="F1101" s="14"/>
      <c r="G1101" s="13">
        <v>0</v>
      </c>
      <c r="H1101" s="13">
        <v>0</v>
      </c>
      <c r="I1101" s="13"/>
      <c r="J1101" s="13"/>
      <c r="K1101" s="13"/>
      <c r="L1101" s="15">
        <v>0</v>
      </c>
    </row>
    <row r="1102" spans="1:12">
      <c r="A1102" s="12"/>
      <c r="E1102" s="14"/>
      <c r="F1102" s="14"/>
      <c r="G1102" s="13">
        <v>0</v>
      </c>
      <c r="H1102" s="13">
        <v>0</v>
      </c>
      <c r="I1102" s="13"/>
      <c r="J1102" s="13"/>
      <c r="K1102" s="13"/>
      <c r="L1102" s="15">
        <v>0</v>
      </c>
    </row>
    <row r="1103" spans="1:12">
      <c r="A1103" s="12"/>
      <c r="E1103" s="14"/>
      <c r="F1103" s="14"/>
      <c r="G1103" s="13">
        <v>0</v>
      </c>
      <c r="H1103" s="13">
        <v>0</v>
      </c>
      <c r="I1103" s="13"/>
      <c r="J1103" s="13"/>
      <c r="K1103" s="13"/>
      <c r="L1103" s="15">
        <v>0</v>
      </c>
    </row>
    <row r="1104" spans="1:12">
      <c r="A1104" s="12"/>
      <c r="E1104" s="14"/>
      <c r="F1104" s="14"/>
      <c r="G1104" s="13">
        <v>0</v>
      </c>
      <c r="H1104" s="13">
        <v>0</v>
      </c>
      <c r="I1104" s="13"/>
      <c r="J1104" s="13"/>
      <c r="K1104" s="13"/>
      <c r="L1104" s="15">
        <v>0</v>
      </c>
    </row>
    <row r="1105" spans="1:12">
      <c r="A1105" s="12"/>
      <c r="E1105" s="14"/>
      <c r="F1105" s="14"/>
      <c r="G1105" s="13">
        <v>0</v>
      </c>
      <c r="H1105" s="13">
        <v>0</v>
      </c>
      <c r="I1105" s="13"/>
      <c r="J1105" s="13"/>
      <c r="K1105" s="13"/>
      <c r="L1105" s="15">
        <v>0</v>
      </c>
    </row>
    <row r="1106" spans="1:12">
      <c r="A1106" s="12"/>
      <c r="E1106" s="14"/>
      <c r="F1106" s="14"/>
      <c r="G1106" s="13">
        <v>0</v>
      </c>
      <c r="H1106" s="13">
        <v>0</v>
      </c>
      <c r="I1106" s="13"/>
      <c r="J1106" s="13"/>
      <c r="K1106" s="13"/>
      <c r="L1106" s="15">
        <v>0</v>
      </c>
    </row>
    <row r="1107" spans="1:12">
      <c r="A1107" s="12"/>
      <c r="E1107" s="14"/>
      <c r="F1107" s="14"/>
      <c r="G1107" s="13">
        <v>0</v>
      </c>
      <c r="H1107" s="13">
        <v>0</v>
      </c>
      <c r="I1107" s="13"/>
      <c r="J1107" s="13"/>
      <c r="K1107" s="13"/>
      <c r="L1107" s="15">
        <v>0</v>
      </c>
    </row>
    <row r="1108" spans="1:12">
      <c r="A1108" s="12"/>
      <c r="E1108" s="14"/>
      <c r="F1108" s="14"/>
      <c r="G1108" s="13">
        <v>0</v>
      </c>
      <c r="H1108" s="13">
        <v>0</v>
      </c>
      <c r="I1108" s="13"/>
      <c r="J1108" s="13"/>
      <c r="K1108" s="13"/>
      <c r="L1108" s="15">
        <v>0</v>
      </c>
    </row>
    <row r="1109" spans="1:12">
      <c r="A1109" s="12"/>
      <c r="E1109" s="14"/>
      <c r="F1109" s="14"/>
      <c r="G1109" s="13">
        <v>0</v>
      </c>
      <c r="H1109" s="13">
        <v>0</v>
      </c>
      <c r="I1109" s="13"/>
      <c r="J1109" s="13"/>
      <c r="K1109" s="13"/>
      <c r="L1109" s="15">
        <v>0</v>
      </c>
    </row>
    <row r="1110" spans="1:12">
      <c r="A1110" s="12"/>
      <c r="E1110" s="14"/>
      <c r="F1110" s="14"/>
      <c r="G1110" s="13">
        <v>0</v>
      </c>
      <c r="H1110" s="13">
        <v>0</v>
      </c>
      <c r="I1110" s="13"/>
      <c r="J1110" s="13"/>
      <c r="K1110" s="13"/>
      <c r="L1110" s="15">
        <v>0</v>
      </c>
    </row>
    <row r="1111" spans="1:12">
      <c r="A1111" s="12"/>
      <c r="E1111" s="14"/>
      <c r="F1111" s="14"/>
      <c r="G1111" s="13">
        <v>0</v>
      </c>
      <c r="H1111" s="13">
        <v>0</v>
      </c>
      <c r="I1111" s="13"/>
      <c r="J1111" s="13"/>
      <c r="K1111" s="13"/>
      <c r="L1111" s="15">
        <v>0</v>
      </c>
    </row>
    <row r="1112" spans="1:12">
      <c r="A1112" s="12"/>
      <c r="E1112" s="14"/>
      <c r="F1112" s="14"/>
      <c r="G1112" s="13">
        <v>0</v>
      </c>
      <c r="H1112" s="13">
        <v>0</v>
      </c>
      <c r="I1112" s="13"/>
      <c r="J1112" s="13"/>
      <c r="K1112" s="13"/>
      <c r="L1112" s="15">
        <v>0</v>
      </c>
    </row>
    <row r="1113" spans="1:12">
      <c r="A1113" s="12"/>
      <c r="E1113" s="14"/>
      <c r="F1113" s="14"/>
      <c r="G1113" s="13">
        <v>0</v>
      </c>
      <c r="H1113" s="13">
        <v>0</v>
      </c>
      <c r="I1113" s="13"/>
      <c r="J1113" s="13"/>
      <c r="K1113" s="13"/>
      <c r="L1113" s="15">
        <v>0</v>
      </c>
    </row>
    <row r="1114" spans="1:12">
      <c r="A1114" s="12"/>
      <c r="E1114" s="14"/>
      <c r="F1114" s="14"/>
      <c r="G1114" s="13">
        <v>0</v>
      </c>
      <c r="H1114" s="13">
        <v>0</v>
      </c>
      <c r="I1114" s="13"/>
      <c r="J1114" s="13"/>
      <c r="K1114" s="13"/>
      <c r="L1114" s="15">
        <v>0</v>
      </c>
    </row>
    <row r="1115" spans="1:12">
      <c r="A1115" s="12"/>
      <c r="E1115" s="14"/>
      <c r="F1115" s="14"/>
      <c r="G1115" s="13">
        <v>0</v>
      </c>
      <c r="H1115" s="13">
        <v>0</v>
      </c>
      <c r="I1115" s="13"/>
      <c r="J1115" s="13"/>
      <c r="K1115" s="13"/>
      <c r="L1115" s="15">
        <v>0</v>
      </c>
    </row>
    <row r="1116" spans="1:12">
      <c r="A1116" s="12"/>
      <c r="E1116" s="14"/>
      <c r="F1116" s="14"/>
      <c r="G1116" s="13">
        <v>0</v>
      </c>
      <c r="H1116" s="13">
        <v>0</v>
      </c>
      <c r="I1116" s="13"/>
      <c r="J1116" s="13"/>
      <c r="K1116" s="13"/>
      <c r="L1116" s="15">
        <v>0</v>
      </c>
    </row>
    <row r="1117" spans="1:12">
      <c r="A1117" s="12"/>
      <c r="E1117" s="14"/>
      <c r="F1117" s="14"/>
      <c r="G1117" s="13">
        <v>0</v>
      </c>
      <c r="H1117" s="13">
        <v>0</v>
      </c>
      <c r="I1117" s="13"/>
      <c r="J1117" s="13"/>
      <c r="K1117" s="13"/>
      <c r="L1117" s="15">
        <v>0</v>
      </c>
    </row>
    <row r="1118" spans="1:12">
      <c r="A1118" s="12"/>
      <c r="E1118" s="14"/>
      <c r="F1118" s="14"/>
      <c r="G1118" s="13">
        <v>0</v>
      </c>
      <c r="H1118" s="13">
        <v>0</v>
      </c>
      <c r="I1118" s="13"/>
      <c r="J1118" s="13"/>
      <c r="K1118" s="13"/>
      <c r="L1118" s="15">
        <v>0</v>
      </c>
    </row>
    <row r="1119" spans="1:12">
      <c r="A1119" s="12"/>
      <c r="E1119" s="14"/>
      <c r="F1119" s="14"/>
      <c r="G1119" s="13">
        <v>0</v>
      </c>
      <c r="H1119" s="13">
        <v>0</v>
      </c>
      <c r="I1119" s="13"/>
      <c r="J1119" s="13"/>
      <c r="K1119" s="13"/>
      <c r="L1119" s="15">
        <v>0</v>
      </c>
    </row>
    <row r="1120" spans="1:12">
      <c r="A1120" s="12"/>
      <c r="E1120" s="14"/>
      <c r="F1120" s="14"/>
      <c r="G1120" s="13">
        <v>0</v>
      </c>
      <c r="H1120" s="13">
        <v>0</v>
      </c>
      <c r="I1120" s="13"/>
      <c r="J1120" s="13"/>
      <c r="K1120" s="13"/>
      <c r="L1120" s="15">
        <v>0</v>
      </c>
    </row>
    <row r="1121" spans="1:12">
      <c r="A1121" s="12"/>
      <c r="E1121" s="14"/>
      <c r="F1121" s="14"/>
      <c r="G1121" s="13">
        <v>0</v>
      </c>
      <c r="H1121" s="13">
        <v>0</v>
      </c>
      <c r="I1121" s="13"/>
      <c r="J1121" s="13"/>
      <c r="K1121" s="13"/>
      <c r="L1121" s="15">
        <v>0</v>
      </c>
    </row>
    <row r="1122" spans="1:12">
      <c r="A1122" s="12"/>
      <c r="E1122" s="14"/>
      <c r="F1122" s="14"/>
      <c r="G1122" s="13">
        <v>0</v>
      </c>
      <c r="H1122" s="13">
        <v>0</v>
      </c>
      <c r="I1122" s="13"/>
      <c r="J1122" s="13"/>
      <c r="K1122" s="13"/>
      <c r="L1122" s="15">
        <v>0</v>
      </c>
    </row>
    <row r="1123" spans="1:12">
      <c r="A1123" s="12"/>
      <c r="E1123" s="14"/>
      <c r="F1123" s="14"/>
      <c r="G1123" s="13">
        <v>0</v>
      </c>
      <c r="H1123" s="13">
        <v>0</v>
      </c>
      <c r="I1123" s="13"/>
      <c r="J1123" s="13"/>
      <c r="K1123" s="13"/>
      <c r="L1123" s="15">
        <v>0</v>
      </c>
    </row>
    <row r="1124" spans="1:12">
      <c r="A1124" s="12"/>
      <c r="E1124" s="14"/>
      <c r="F1124" s="14"/>
      <c r="G1124" s="13">
        <v>0</v>
      </c>
      <c r="H1124" s="13">
        <v>0</v>
      </c>
      <c r="I1124" s="13"/>
      <c r="J1124" s="13"/>
      <c r="K1124" s="13"/>
      <c r="L1124" s="15">
        <v>0</v>
      </c>
    </row>
    <row r="1125" spans="1:12">
      <c r="A1125" s="12"/>
      <c r="E1125" s="14"/>
      <c r="F1125" s="14"/>
      <c r="G1125" s="13">
        <v>0</v>
      </c>
      <c r="H1125" s="13">
        <v>0</v>
      </c>
      <c r="I1125" s="13"/>
      <c r="J1125" s="13"/>
      <c r="K1125" s="13"/>
      <c r="L1125" s="15">
        <v>0</v>
      </c>
    </row>
    <row r="1126" spans="1:12">
      <c r="A1126" s="12"/>
      <c r="E1126" s="14"/>
      <c r="F1126" s="14"/>
      <c r="G1126" s="13">
        <v>0</v>
      </c>
      <c r="H1126" s="13">
        <v>0</v>
      </c>
      <c r="I1126" s="13"/>
      <c r="J1126" s="13"/>
      <c r="K1126" s="13"/>
      <c r="L1126" s="15">
        <v>0</v>
      </c>
    </row>
    <row r="1127" spans="1:12">
      <c r="A1127" s="12"/>
      <c r="E1127" s="14"/>
      <c r="F1127" s="14"/>
      <c r="G1127" s="13">
        <v>0</v>
      </c>
      <c r="H1127" s="13">
        <v>0</v>
      </c>
      <c r="I1127" s="13"/>
      <c r="J1127" s="13"/>
      <c r="K1127" s="13"/>
      <c r="L1127" s="15">
        <v>0</v>
      </c>
    </row>
    <row r="1128" spans="1:12">
      <c r="A1128" s="12"/>
      <c r="E1128" s="14"/>
      <c r="F1128" s="14"/>
      <c r="G1128" s="13">
        <v>0</v>
      </c>
      <c r="H1128" s="13">
        <v>0</v>
      </c>
      <c r="I1128" s="13"/>
      <c r="J1128" s="13"/>
      <c r="K1128" s="13"/>
      <c r="L1128" s="15">
        <v>0</v>
      </c>
    </row>
    <row r="1129" spans="1:12">
      <c r="A1129" s="12"/>
      <c r="E1129" s="14"/>
      <c r="F1129" s="14"/>
      <c r="G1129" s="13">
        <v>0</v>
      </c>
      <c r="H1129" s="13">
        <v>0</v>
      </c>
      <c r="I1129" s="13"/>
      <c r="J1129" s="13"/>
      <c r="K1129" s="13"/>
      <c r="L1129" s="15">
        <v>0</v>
      </c>
    </row>
    <row r="1130" spans="1:12">
      <c r="A1130" s="12"/>
      <c r="E1130" s="14"/>
      <c r="F1130" s="14"/>
      <c r="G1130" s="13">
        <v>0</v>
      </c>
      <c r="H1130" s="13">
        <v>0</v>
      </c>
      <c r="I1130" s="13"/>
      <c r="J1130" s="13"/>
      <c r="K1130" s="13"/>
      <c r="L1130" s="15">
        <v>0</v>
      </c>
    </row>
    <row r="1131" spans="1:12">
      <c r="A1131" s="12"/>
      <c r="E1131" s="14"/>
      <c r="F1131" s="14"/>
      <c r="G1131" s="13">
        <v>0</v>
      </c>
      <c r="H1131" s="13">
        <v>0</v>
      </c>
      <c r="I1131" s="13"/>
      <c r="J1131" s="13"/>
      <c r="K1131" s="13"/>
      <c r="L1131" s="15">
        <v>0</v>
      </c>
    </row>
    <row r="1132" spans="1:12">
      <c r="A1132" s="12"/>
      <c r="E1132" s="14"/>
      <c r="F1132" s="14"/>
      <c r="G1132" s="13">
        <v>0</v>
      </c>
      <c r="H1132" s="13">
        <v>0</v>
      </c>
      <c r="I1132" s="13"/>
      <c r="J1132" s="13"/>
      <c r="K1132" s="13"/>
      <c r="L1132" s="15">
        <v>0</v>
      </c>
    </row>
    <row r="1133" spans="1:12">
      <c r="A1133" s="12"/>
      <c r="E1133" s="14"/>
      <c r="F1133" s="14"/>
      <c r="G1133" s="13">
        <v>0</v>
      </c>
      <c r="H1133" s="13">
        <v>0</v>
      </c>
      <c r="I1133" s="13"/>
      <c r="J1133" s="13"/>
      <c r="K1133" s="13"/>
      <c r="L1133" s="15">
        <v>0</v>
      </c>
    </row>
    <row r="1134" spans="1:12">
      <c r="A1134" s="12"/>
      <c r="E1134" s="14"/>
      <c r="F1134" s="14"/>
      <c r="G1134" s="13">
        <v>0</v>
      </c>
      <c r="H1134" s="13">
        <v>0</v>
      </c>
      <c r="I1134" s="13"/>
      <c r="J1134" s="13"/>
      <c r="K1134" s="13"/>
      <c r="L1134" s="15">
        <v>0</v>
      </c>
    </row>
    <row r="1135" spans="1:12">
      <c r="A1135" s="12"/>
      <c r="E1135" s="14"/>
      <c r="F1135" s="14"/>
      <c r="G1135" s="13">
        <v>0</v>
      </c>
      <c r="H1135" s="13">
        <v>0</v>
      </c>
      <c r="I1135" s="13"/>
      <c r="J1135" s="13"/>
      <c r="K1135" s="13"/>
      <c r="L1135" s="15">
        <v>0</v>
      </c>
    </row>
    <row r="1136" spans="1:12">
      <c r="A1136" s="12"/>
      <c r="E1136" s="14"/>
      <c r="F1136" s="14"/>
      <c r="G1136" s="13">
        <v>0</v>
      </c>
      <c r="H1136" s="13">
        <v>0</v>
      </c>
      <c r="I1136" s="13"/>
      <c r="J1136" s="13"/>
      <c r="K1136" s="13"/>
      <c r="L1136" s="15">
        <v>0</v>
      </c>
    </row>
    <row r="1137" spans="1:12">
      <c r="A1137" s="12"/>
      <c r="E1137" s="14"/>
      <c r="F1137" s="14"/>
      <c r="G1137" s="13">
        <v>0</v>
      </c>
      <c r="H1137" s="13">
        <v>0</v>
      </c>
      <c r="I1137" s="13"/>
      <c r="J1137" s="13"/>
      <c r="K1137" s="13"/>
      <c r="L1137" s="15">
        <v>0</v>
      </c>
    </row>
    <row r="1138" spans="1:12">
      <c r="A1138" s="12"/>
      <c r="E1138" s="14"/>
      <c r="F1138" s="14"/>
      <c r="G1138" s="13">
        <v>0</v>
      </c>
      <c r="H1138" s="13">
        <v>0</v>
      </c>
      <c r="I1138" s="13"/>
      <c r="J1138" s="13"/>
      <c r="K1138" s="13"/>
      <c r="L1138" s="15">
        <v>0</v>
      </c>
    </row>
    <row r="1139" spans="1:12">
      <c r="A1139" s="12"/>
      <c r="E1139" s="14"/>
      <c r="F1139" s="14"/>
      <c r="G1139" s="13">
        <v>0</v>
      </c>
      <c r="H1139" s="13">
        <v>0</v>
      </c>
      <c r="I1139" s="13"/>
      <c r="J1139" s="13"/>
      <c r="K1139" s="13"/>
      <c r="L1139" s="15">
        <v>0</v>
      </c>
    </row>
    <row r="1140" spans="1:12">
      <c r="A1140" s="12"/>
      <c r="E1140" s="14"/>
      <c r="F1140" s="14"/>
      <c r="G1140" s="13">
        <v>0</v>
      </c>
      <c r="H1140" s="13">
        <v>0</v>
      </c>
      <c r="I1140" s="13"/>
      <c r="J1140" s="13"/>
      <c r="K1140" s="13"/>
      <c r="L1140" s="15">
        <v>0</v>
      </c>
    </row>
    <row r="1141" spans="1:12">
      <c r="A1141" s="12"/>
      <c r="E1141" s="14"/>
      <c r="F1141" s="14"/>
      <c r="G1141" s="13">
        <v>0</v>
      </c>
      <c r="H1141" s="13">
        <v>0</v>
      </c>
      <c r="I1141" s="13"/>
      <c r="J1141" s="13"/>
      <c r="K1141" s="13"/>
      <c r="L1141" s="15">
        <v>0</v>
      </c>
    </row>
    <row r="1142" spans="1:12">
      <c r="A1142" s="12"/>
      <c r="E1142" s="14"/>
      <c r="F1142" s="14"/>
      <c r="G1142" s="13">
        <v>0</v>
      </c>
      <c r="H1142" s="13">
        <v>0</v>
      </c>
      <c r="I1142" s="13"/>
      <c r="J1142" s="13"/>
      <c r="K1142" s="13"/>
      <c r="L1142" s="15">
        <v>0</v>
      </c>
    </row>
    <row r="1143" spans="1:12">
      <c r="A1143" s="12"/>
      <c r="E1143" s="14"/>
      <c r="F1143" s="14"/>
      <c r="G1143" s="13">
        <v>0</v>
      </c>
      <c r="H1143" s="13">
        <v>0</v>
      </c>
      <c r="I1143" s="13"/>
      <c r="J1143" s="13"/>
      <c r="K1143" s="13"/>
      <c r="L1143" s="15">
        <v>0</v>
      </c>
    </row>
    <row r="1144" spans="1:12">
      <c r="A1144" s="12"/>
      <c r="E1144" s="14"/>
      <c r="F1144" s="14"/>
      <c r="G1144" s="13">
        <v>0</v>
      </c>
      <c r="H1144" s="13">
        <v>0</v>
      </c>
      <c r="I1144" s="13"/>
      <c r="J1144" s="13"/>
      <c r="K1144" s="13"/>
      <c r="L1144" s="15">
        <v>0</v>
      </c>
    </row>
    <row r="1145" spans="1:12">
      <c r="A1145" s="12"/>
      <c r="E1145" s="14"/>
      <c r="F1145" s="14"/>
      <c r="G1145" s="13">
        <v>0</v>
      </c>
      <c r="H1145" s="13">
        <v>0</v>
      </c>
      <c r="I1145" s="13"/>
      <c r="J1145" s="13"/>
      <c r="K1145" s="13"/>
      <c r="L1145" s="15">
        <v>0</v>
      </c>
    </row>
    <row r="1146" spans="1:12">
      <c r="A1146" s="12"/>
      <c r="E1146" s="14"/>
      <c r="F1146" s="14"/>
      <c r="G1146" s="13">
        <v>0</v>
      </c>
      <c r="H1146" s="13">
        <v>0</v>
      </c>
      <c r="I1146" s="13"/>
      <c r="J1146" s="13"/>
      <c r="K1146" s="13"/>
      <c r="L1146" s="15">
        <v>0</v>
      </c>
    </row>
    <row r="1147" spans="1:12">
      <c r="A1147" s="12"/>
      <c r="E1147" s="14"/>
      <c r="F1147" s="14"/>
      <c r="G1147" s="13">
        <v>0</v>
      </c>
      <c r="H1147" s="13">
        <v>0</v>
      </c>
      <c r="I1147" s="13"/>
      <c r="J1147" s="13"/>
      <c r="K1147" s="13"/>
      <c r="L1147" s="15">
        <v>0</v>
      </c>
    </row>
    <row r="1148" spans="1:12">
      <c r="A1148" s="12"/>
      <c r="E1148" s="14"/>
      <c r="F1148" s="14"/>
      <c r="G1148" s="13">
        <v>0</v>
      </c>
      <c r="H1148" s="13">
        <v>0</v>
      </c>
      <c r="I1148" s="13"/>
      <c r="J1148" s="13"/>
      <c r="K1148" s="13"/>
      <c r="L1148" s="15">
        <v>0</v>
      </c>
    </row>
    <row r="1149" spans="1:12">
      <c r="A1149" s="12"/>
      <c r="E1149" s="14"/>
      <c r="F1149" s="14"/>
      <c r="G1149" s="13">
        <v>0</v>
      </c>
      <c r="H1149" s="13">
        <v>0</v>
      </c>
      <c r="I1149" s="13"/>
      <c r="J1149" s="13"/>
      <c r="K1149" s="13"/>
      <c r="L1149" s="15">
        <v>0</v>
      </c>
    </row>
    <row r="1150" spans="1:12">
      <c r="A1150" s="12"/>
      <c r="E1150" s="14"/>
      <c r="F1150" s="14"/>
      <c r="G1150" s="13">
        <v>0</v>
      </c>
      <c r="H1150" s="13">
        <v>0</v>
      </c>
      <c r="I1150" s="13"/>
      <c r="J1150" s="13"/>
      <c r="K1150" s="13"/>
      <c r="L1150" s="15">
        <v>0</v>
      </c>
    </row>
    <row r="1151" spans="1:12">
      <c r="A1151" s="12"/>
      <c r="E1151" s="14"/>
      <c r="F1151" s="14"/>
      <c r="G1151" s="13">
        <v>0</v>
      </c>
      <c r="H1151" s="13">
        <v>0</v>
      </c>
      <c r="I1151" s="13"/>
      <c r="J1151" s="13"/>
      <c r="K1151" s="13"/>
      <c r="L1151" s="15">
        <v>0</v>
      </c>
    </row>
    <row r="1152" spans="1:12">
      <c r="A1152" s="12"/>
      <c r="E1152" s="14"/>
      <c r="F1152" s="14"/>
      <c r="G1152" s="13">
        <v>0</v>
      </c>
      <c r="H1152" s="13">
        <v>0</v>
      </c>
      <c r="I1152" s="13"/>
      <c r="J1152" s="13"/>
      <c r="K1152" s="13"/>
      <c r="L1152" s="15">
        <v>0</v>
      </c>
    </row>
    <row r="1153" spans="1:12">
      <c r="A1153" s="12"/>
      <c r="E1153" s="14"/>
      <c r="F1153" s="14"/>
      <c r="G1153" s="13">
        <v>0</v>
      </c>
      <c r="H1153" s="13">
        <v>0</v>
      </c>
      <c r="I1153" s="13"/>
      <c r="J1153" s="13"/>
      <c r="K1153" s="13"/>
      <c r="L1153" s="15">
        <v>0</v>
      </c>
    </row>
    <row r="1154" spans="1:12">
      <c r="A1154" s="12"/>
      <c r="E1154" s="14"/>
      <c r="F1154" s="14"/>
      <c r="G1154" s="13">
        <v>0</v>
      </c>
      <c r="H1154" s="13">
        <v>0</v>
      </c>
      <c r="I1154" s="13"/>
      <c r="J1154" s="13"/>
      <c r="K1154" s="13"/>
      <c r="L1154" s="15">
        <v>0</v>
      </c>
    </row>
    <row r="1155" spans="1:12">
      <c r="A1155" s="12"/>
      <c r="E1155" s="14"/>
      <c r="F1155" s="14"/>
      <c r="G1155" s="13">
        <v>0</v>
      </c>
      <c r="H1155" s="13">
        <v>0</v>
      </c>
      <c r="I1155" s="13"/>
      <c r="J1155" s="13"/>
      <c r="K1155" s="13"/>
      <c r="L1155" s="15">
        <v>0</v>
      </c>
    </row>
    <row r="1156" spans="1:12">
      <c r="A1156" s="12"/>
      <c r="E1156" s="14"/>
      <c r="F1156" s="14"/>
      <c r="G1156" s="13">
        <v>0</v>
      </c>
      <c r="H1156" s="13">
        <v>0</v>
      </c>
      <c r="I1156" s="13"/>
      <c r="J1156" s="13"/>
      <c r="K1156" s="13"/>
      <c r="L1156" s="15">
        <v>0</v>
      </c>
    </row>
    <row r="1157" spans="1:12">
      <c r="A1157" s="12"/>
      <c r="E1157" s="14"/>
      <c r="F1157" s="14"/>
      <c r="G1157" s="13">
        <v>0</v>
      </c>
      <c r="H1157" s="13">
        <v>0</v>
      </c>
      <c r="I1157" s="13"/>
      <c r="J1157" s="13"/>
      <c r="K1157" s="13"/>
      <c r="L1157" s="15">
        <v>0</v>
      </c>
    </row>
    <row r="1158" spans="1:12">
      <c r="A1158" s="12"/>
      <c r="E1158" s="14"/>
      <c r="F1158" s="14"/>
      <c r="G1158" s="13">
        <v>0</v>
      </c>
      <c r="H1158" s="13">
        <v>0</v>
      </c>
      <c r="I1158" s="13"/>
      <c r="J1158" s="13"/>
      <c r="K1158" s="13"/>
      <c r="L1158" s="15">
        <v>0</v>
      </c>
    </row>
    <row r="1159" spans="1:12">
      <c r="A1159" s="12"/>
      <c r="E1159" s="14"/>
      <c r="F1159" s="14"/>
      <c r="G1159" s="13">
        <v>0</v>
      </c>
      <c r="H1159" s="13">
        <v>0</v>
      </c>
      <c r="I1159" s="13"/>
      <c r="J1159" s="13"/>
      <c r="K1159" s="13"/>
      <c r="L1159" s="15">
        <v>0</v>
      </c>
    </row>
    <row r="1160" spans="1:12">
      <c r="A1160" s="12"/>
      <c r="E1160" s="14"/>
      <c r="F1160" s="14"/>
      <c r="G1160" s="13">
        <v>0</v>
      </c>
      <c r="H1160" s="13">
        <v>0</v>
      </c>
      <c r="I1160" s="13"/>
      <c r="J1160" s="13"/>
      <c r="K1160" s="13"/>
      <c r="L1160" s="15">
        <v>0</v>
      </c>
    </row>
    <row r="1161" spans="1:12">
      <c r="A1161" s="12"/>
      <c r="E1161" s="14"/>
      <c r="F1161" s="14"/>
      <c r="G1161" s="13">
        <v>0</v>
      </c>
      <c r="H1161" s="13">
        <v>0</v>
      </c>
      <c r="I1161" s="13"/>
      <c r="J1161" s="13"/>
      <c r="K1161" s="13"/>
      <c r="L1161" s="15">
        <v>0</v>
      </c>
    </row>
    <row r="1162" spans="1:12">
      <c r="A1162" s="12"/>
      <c r="E1162" s="14"/>
      <c r="F1162" s="14"/>
      <c r="G1162" s="13">
        <v>0</v>
      </c>
      <c r="H1162" s="13">
        <v>0</v>
      </c>
      <c r="I1162" s="13"/>
      <c r="J1162" s="13"/>
      <c r="K1162" s="13"/>
      <c r="L1162" s="15">
        <v>0</v>
      </c>
    </row>
    <row r="1163" spans="1:12">
      <c r="A1163" s="12"/>
      <c r="E1163" s="14"/>
      <c r="F1163" s="14"/>
      <c r="G1163" s="13">
        <v>0</v>
      </c>
      <c r="H1163" s="13">
        <v>0</v>
      </c>
      <c r="I1163" s="13"/>
      <c r="J1163" s="13"/>
      <c r="K1163" s="13"/>
      <c r="L1163" s="15">
        <v>0</v>
      </c>
    </row>
    <row r="1164" spans="1:12">
      <c r="A1164" s="12"/>
      <c r="E1164" s="14"/>
      <c r="F1164" s="14"/>
      <c r="G1164" s="13">
        <v>0</v>
      </c>
      <c r="H1164" s="13">
        <v>0</v>
      </c>
      <c r="I1164" s="13"/>
      <c r="J1164" s="13"/>
      <c r="K1164" s="13"/>
      <c r="L1164" s="15">
        <v>0</v>
      </c>
    </row>
    <row r="1165" spans="1:12">
      <c r="A1165" s="12"/>
      <c r="E1165" s="14"/>
      <c r="F1165" s="14"/>
      <c r="G1165" s="13">
        <v>0</v>
      </c>
      <c r="H1165" s="13">
        <v>0</v>
      </c>
      <c r="I1165" s="13"/>
      <c r="J1165" s="13"/>
      <c r="K1165" s="13"/>
      <c r="L1165" s="15">
        <v>0</v>
      </c>
    </row>
    <row r="1166" spans="1:12">
      <c r="A1166" s="12"/>
      <c r="E1166" s="14"/>
      <c r="F1166" s="14"/>
      <c r="G1166" s="13">
        <v>0</v>
      </c>
      <c r="H1166" s="13">
        <v>0</v>
      </c>
      <c r="I1166" s="13"/>
      <c r="J1166" s="13"/>
      <c r="K1166" s="13"/>
      <c r="L1166" s="15">
        <v>0</v>
      </c>
    </row>
    <row r="1167" spans="1:12">
      <c r="A1167" s="12"/>
      <c r="E1167" s="14"/>
      <c r="F1167" s="14"/>
      <c r="G1167" s="13">
        <v>0</v>
      </c>
      <c r="H1167" s="13">
        <v>0</v>
      </c>
      <c r="I1167" s="13"/>
      <c r="J1167" s="13"/>
      <c r="K1167" s="13"/>
      <c r="L1167" s="15">
        <v>0</v>
      </c>
    </row>
    <row r="1168" spans="1:12">
      <c r="A1168" s="12"/>
      <c r="E1168" s="14"/>
      <c r="F1168" s="14"/>
      <c r="G1168" s="13">
        <v>0</v>
      </c>
      <c r="H1168" s="13">
        <v>0</v>
      </c>
      <c r="I1168" s="13"/>
      <c r="J1168" s="13"/>
      <c r="K1168" s="13"/>
      <c r="L1168" s="15">
        <v>0</v>
      </c>
    </row>
    <row r="1169" spans="1:12">
      <c r="A1169" s="12"/>
      <c r="E1169" s="14"/>
      <c r="F1169" s="14"/>
      <c r="G1169" s="13">
        <v>0</v>
      </c>
      <c r="H1169" s="13">
        <v>0</v>
      </c>
      <c r="I1169" s="13"/>
      <c r="J1169" s="13"/>
      <c r="K1169" s="13"/>
      <c r="L1169" s="15">
        <v>0</v>
      </c>
    </row>
    <row r="1170" spans="1:12">
      <c r="A1170" s="12"/>
      <c r="E1170" s="14"/>
      <c r="F1170" s="14"/>
      <c r="G1170" s="13">
        <v>0</v>
      </c>
      <c r="H1170" s="13">
        <v>0</v>
      </c>
      <c r="I1170" s="13"/>
      <c r="J1170" s="13"/>
      <c r="K1170" s="13"/>
      <c r="L1170" s="15">
        <v>0</v>
      </c>
    </row>
    <row r="1171" spans="1:12">
      <c r="A1171" s="12"/>
      <c r="E1171" s="14"/>
      <c r="F1171" s="14"/>
      <c r="G1171" s="13">
        <v>0</v>
      </c>
      <c r="H1171" s="13">
        <v>0</v>
      </c>
      <c r="I1171" s="13"/>
      <c r="J1171" s="13"/>
      <c r="K1171" s="13"/>
      <c r="L1171" s="15">
        <v>0</v>
      </c>
    </row>
    <row r="1172" spans="1:12">
      <c r="A1172" s="12"/>
      <c r="E1172" s="14"/>
      <c r="F1172" s="14"/>
      <c r="G1172" s="13">
        <v>0</v>
      </c>
      <c r="H1172" s="13">
        <v>0</v>
      </c>
      <c r="I1172" s="13"/>
      <c r="J1172" s="13"/>
      <c r="K1172" s="13"/>
      <c r="L1172" s="15">
        <v>0</v>
      </c>
    </row>
    <row r="1173" spans="1:12">
      <c r="A1173" s="12"/>
      <c r="E1173" s="14"/>
      <c r="F1173" s="14"/>
      <c r="G1173" s="13">
        <v>0</v>
      </c>
      <c r="H1173" s="13">
        <v>0</v>
      </c>
      <c r="I1173" s="13"/>
      <c r="J1173" s="13"/>
      <c r="K1173" s="13"/>
      <c r="L1173" s="15">
        <v>0</v>
      </c>
    </row>
    <row r="1174" spans="1:12">
      <c r="A1174" s="12"/>
      <c r="E1174" s="14"/>
      <c r="F1174" s="14"/>
      <c r="G1174" s="13">
        <v>0</v>
      </c>
      <c r="H1174" s="13">
        <v>0</v>
      </c>
      <c r="I1174" s="13"/>
      <c r="J1174" s="13"/>
      <c r="K1174" s="13"/>
      <c r="L1174" s="15">
        <v>0</v>
      </c>
    </row>
    <row r="1175" spans="1:12">
      <c r="A1175" s="12"/>
      <c r="E1175" s="14"/>
      <c r="F1175" s="14"/>
      <c r="G1175" s="13">
        <v>0</v>
      </c>
      <c r="H1175" s="13">
        <v>0</v>
      </c>
      <c r="I1175" s="13"/>
      <c r="J1175" s="13"/>
      <c r="K1175" s="13"/>
      <c r="L1175" s="15">
        <v>0</v>
      </c>
    </row>
    <row r="1176" spans="1:12">
      <c r="A1176" s="12"/>
      <c r="E1176" s="14"/>
      <c r="F1176" s="14"/>
      <c r="G1176" s="13">
        <v>0</v>
      </c>
      <c r="H1176" s="13">
        <v>0</v>
      </c>
      <c r="I1176" s="13"/>
      <c r="J1176" s="13"/>
      <c r="K1176" s="13"/>
      <c r="L1176" s="15">
        <v>0</v>
      </c>
    </row>
    <row r="1177" spans="1:12">
      <c r="A1177" s="12"/>
      <c r="E1177" s="14"/>
      <c r="F1177" s="14"/>
      <c r="G1177" s="13">
        <v>0</v>
      </c>
      <c r="H1177" s="13">
        <v>0</v>
      </c>
      <c r="I1177" s="13"/>
      <c r="J1177" s="13"/>
      <c r="K1177" s="13"/>
      <c r="L1177" s="15">
        <v>0</v>
      </c>
    </row>
    <row r="1178" spans="1:12">
      <c r="A1178" s="12"/>
      <c r="E1178" s="14"/>
      <c r="F1178" s="14"/>
      <c r="G1178" s="13">
        <v>0</v>
      </c>
      <c r="H1178" s="13">
        <v>0</v>
      </c>
      <c r="I1178" s="13"/>
      <c r="J1178" s="13"/>
      <c r="K1178" s="13"/>
      <c r="L1178" s="15">
        <v>0</v>
      </c>
    </row>
    <row r="1179" spans="1:12">
      <c r="A1179" s="12"/>
      <c r="E1179" s="14"/>
      <c r="F1179" s="14"/>
      <c r="G1179" s="13">
        <v>0</v>
      </c>
      <c r="H1179" s="13">
        <v>0</v>
      </c>
      <c r="I1179" s="13"/>
      <c r="J1179" s="13"/>
      <c r="K1179" s="13"/>
      <c r="L1179" s="15">
        <v>0</v>
      </c>
    </row>
    <row r="1180" spans="1:12">
      <c r="A1180" s="12"/>
      <c r="E1180" s="14"/>
      <c r="F1180" s="14"/>
      <c r="G1180" s="13">
        <v>0</v>
      </c>
      <c r="H1180" s="13">
        <v>0</v>
      </c>
      <c r="I1180" s="13"/>
      <c r="J1180" s="13"/>
      <c r="K1180" s="13"/>
      <c r="L1180" s="15">
        <v>0</v>
      </c>
    </row>
    <row r="1181" spans="1:12">
      <c r="A1181" s="12"/>
      <c r="E1181" s="14"/>
      <c r="F1181" s="14"/>
      <c r="G1181" s="13">
        <v>0</v>
      </c>
      <c r="H1181" s="13">
        <v>0</v>
      </c>
      <c r="I1181" s="13"/>
      <c r="J1181" s="13"/>
      <c r="K1181" s="13"/>
      <c r="L1181" s="15">
        <v>0</v>
      </c>
    </row>
    <row r="1182" spans="1:12">
      <c r="A1182" s="12"/>
      <c r="E1182" s="14"/>
      <c r="F1182" s="14"/>
      <c r="G1182" s="13">
        <v>0</v>
      </c>
      <c r="H1182" s="13">
        <v>0</v>
      </c>
      <c r="I1182" s="13"/>
      <c r="J1182" s="13"/>
      <c r="K1182" s="13"/>
      <c r="L1182" s="15">
        <v>0</v>
      </c>
    </row>
    <row r="1183" spans="1:12">
      <c r="A1183" s="12"/>
      <c r="E1183" s="14"/>
      <c r="F1183" s="14"/>
      <c r="G1183" s="13">
        <v>0</v>
      </c>
      <c r="H1183" s="13">
        <v>0</v>
      </c>
      <c r="I1183" s="13"/>
      <c r="J1183" s="13"/>
      <c r="K1183" s="13"/>
      <c r="L1183" s="15">
        <v>0</v>
      </c>
    </row>
    <row r="1184" spans="1:12">
      <c r="A1184" s="12"/>
      <c r="E1184" s="14"/>
      <c r="F1184" s="14"/>
      <c r="G1184" s="13">
        <v>0</v>
      </c>
      <c r="H1184" s="13">
        <v>0</v>
      </c>
      <c r="I1184" s="13"/>
      <c r="J1184" s="13"/>
      <c r="K1184" s="13"/>
      <c r="L1184" s="15">
        <v>0</v>
      </c>
    </row>
    <row r="1185" spans="1:12">
      <c r="A1185" s="12"/>
      <c r="E1185" s="14"/>
      <c r="F1185" s="14"/>
      <c r="G1185" s="13">
        <v>0</v>
      </c>
      <c r="H1185" s="13">
        <v>0</v>
      </c>
      <c r="I1185" s="13"/>
      <c r="J1185" s="13"/>
      <c r="K1185" s="13"/>
      <c r="L1185" s="15">
        <v>0</v>
      </c>
    </row>
    <row r="1186" spans="1:12">
      <c r="A1186" s="12"/>
      <c r="E1186" s="14"/>
      <c r="F1186" s="14"/>
      <c r="G1186" s="13">
        <v>0</v>
      </c>
      <c r="H1186" s="13">
        <v>0</v>
      </c>
      <c r="I1186" s="13"/>
      <c r="J1186" s="13"/>
      <c r="K1186" s="13"/>
      <c r="L1186" s="15">
        <v>0</v>
      </c>
    </row>
    <row r="1187" spans="1:12">
      <c r="A1187" s="12"/>
      <c r="E1187" s="14"/>
      <c r="F1187" s="14"/>
      <c r="G1187" s="13">
        <v>0</v>
      </c>
      <c r="H1187" s="13">
        <v>0</v>
      </c>
      <c r="I1187" s="13"/>
      <c r="J1187" s="13"/>
      <c r="K1187" s="13"/>
      <c r="L1187" s="15">
        <v>0</v>
      </c>
    </row>
    <row r="1188" spans="1:12">
      <c r="A1188" s="12"/>
      <c r="E1188" s="14"/>
      <c r="F1188" s="14"/>
      <c r="G1188" s="13">
        <v>0</v>
      </c>
      <c r="H1188" s="13">
        <v>0</v>
      </c>
      <c r="I1188" s="13"/>
      <c r="J1188" s="13"/>
      <c r="K1188" s="13"/>
      <c r="L1188" s="15">
        <v>0</v>
      </c>
    </row>
    <row r="1189" spans="1:12">
      <c r="A1189" s="12"/>
      <c r="E1189" s="14"/>
      <c r="F1189" s="14"/>
      <c r="G1189" s="13">
        <v>0</v>
      </c>
      <c r="H1189" s="13">
        <v>0</v>
      </c>
      <c r="I1189" s="13"/>
      <c r="J1189" s="13"/>
      <c r="K1189" s="13"/>
      <c r="L1189" s="15">
        <v>0</v>
      </c>
    </row>
    <row r="1190" spans="1:12">
      <c r="A1190" s="12"/>
      <c r="E1190" s="14"/>
      <c r="F1190" s="14"/>
      <c r="G1190" s="13">
        <v>0</v>
      </c>
      <c r="H1190" s="13">
        <v>0</v>
      </c>
      <c r="I1190" s="13"/>
      <c r="J1190" s="13"/>
      <c r="K1190" s="13"/>
      <c r="L1190" s="15">
        <v>0</v>
      </c>
    </row>
    <row r="1191" spans="1:12">
      <c r="A1191" s="12"/>
      <c r="E1191" s="14"/>
      <c r="F1191" s="14"/>
      <c r="G1191" s="13">
        <v>0</v>
      </c>
      <c r="H1191" s="13">
        <v>0</v>
      </c>
      <c r="I1191" s="13"/>
      <c r="J1191" s="13"/>
      <c r="K1191" s="13"/>
      <c r="L1191" s="15">
        <v>0</v>
      </c>
    </row>
    <row r="1192" spans="1:12">
      <c r="A1192" s="12"/>
      <c r="E1192" s="14"/>
      <c r="F1192" s="14"/>
      <c r="G1192" s="13">
        <v>0</v>
      </c>
      <c r="H1192" s="13">
        <v>0</v>
      </c>
      <c r="I1192" s="13"/>
      <c r="J1192" s="13"/>
      <c r="K1192" s="13"/>
      <c r="L1192" s="15">
        <v>0</v>
      </c>
    </row>
    <row r="1193" spans="1:12">
      <c r="A1193" s="12"/>
      <c r="E1193" s="14"/>
      <c r="F1193" s="14"/>
      <c r="G1193" s="13">
        <v>0</v>
      </c>
      <c r="H1193" s="13">
        <v>0</v>
      </c>
      <c r="I1193" s="13"/>
      <c r="J1193" s="13"/>
      <c r="K1193" s="13"/>
      <c r="L1193" s="15">
        <v>0</v>
      </c>
    </row>
    <row r="1194" spans="1:12">
      <c r="A1194" s="12"/>
      <c r="E1194" s="14"/>
      <c r="F1194" s="14"/>
      <c r="G1194" s="13">
        <v>0</v>
      </c>
      <c r="H1194" s="13">
        <v>0</v>
      </c>
      <c r="I1194" s="13"/>
      <c r="J1194" s="13"/>
      <c r="K1194" s="13"/>
      <c r="L1194" s="15">
        <v>0</v>
      </c>
    </row>
    <row r="1195" spans="1:12">
      <c r="A1195" s="12"/>
      <c r="E1195" s="14"/>
      <c r="F1195" s="14"/>
      <c r="G1195" s="13">
        <v>0</v>
      </c>
      <c r="H1195" s="13">
        <v>0</v>
      </c>
      <c r="I1195" s="13"/>
      <c r="J1195" s="13"/>
      <c r="K1195" s="13"/>
      <c r="L1195" s="15">
        <v>0</v>
      </c>
    </row>
    <row r="1196" spans="1:12">
      <c r="A1196" s="12"/>
      <c r="E1196" s="14"/>
      <c r="F1196" s="14"/>
      <c r="G1196" s="13">
        <v>0</v>
      </c>
      <c r="H1196" s="13">
        <v>0</v>
      </c>
      <c r="I1196" s="13"/>
      <c r="J1196" s="13"/>
      <c r="K1196" s="13"/>
      <c r="L1196" s="15">
        <v>0</v>
      </c>
    </row>
    <row r="1197" spans="1:12">
      <c r="A1197" s="12"/>
      <c r="E1197" s="14"/>
      <c r="F1197" s="14"/>
      <c r="G1197" s="13">
        <v>0</v>
      </c>
      <c r="H1197" s="13">
        <v>0</v>
      </c>
      <c r="I1197" s="13"/>
      <c r="J1197" s="13"/>
      <c r="K1197" s="13"/>
      <c r="L1197" s="15">
        <v>0</v>
      </c>
    </row>
    <row r="1198" spans="1:12">
      <c r="A1198" s="12"/>
      <c r="E1198" s="14"/>
      <c r="F1198" s="14"/>
      <c r="G1198" s="13">
        <v>0</v>
      </c>
      <c r="H1198" s="13">
        <v>0</v>
      </c>
      <c r="I1198" s="13"/>
      <c r="J1198" s="13"/>
      <c r="K1198" s="13"/>
      <c r="L1198" s="15">
        <v>0</v>
      </c>
    </row>
    <row r="1199" spans="1:12">
      <c r="A1199" s="12"/>
      <c r="E1199" s="14"/>
      <c r="F1199" s="14"/>
      <c r="G1199" s="13">
        <v>0</v>
      </c>
      <c r="H1199" s="13">
        <v>0</v>
      </c>
      <c r="I1199" s="13"/>
      <c r="J1199" s="13"/>
      <c r="K1199" s="13"/>
      <c r="L1199" s="15">
        <v>0</v>
      </c>
    </row>
    <row r="1200" spans="1:12">
      <c r="A1200" s="12"/>
      <c r="E1200" s="14"/>
      <c r="F1200" s="14"/>
      <c r="G1200" s="13">
        <v>0</v>
      </c>
      <c r="H1200" s="13">
        <v>0</v>
      </c>
      <c r="I1200" s="13"/>
      <c r="J1200" s="13"/>
      <c r="K1200" s="13"/>
      <c r="L1200" s="15">
        <v>0</v>
      </c>
    </row>
    <row r="1201" spans="1:12">
      <c r="A1201" s="12"/>
      <c r="E1201" s="14"/>
      <c r="F1201" s="14"/>
      <c r="G1201" s="13">
        <v>0</v>
      </c>
      <c r="H1201" s="13">
        <v>0</v>
      </c>
      <c r="I1201" s="13"/>
      <c r="J1201" s="13"/>
      <c r="K1201" s="13"/>
      <c r="L1201" s="15">
        <v>0</v>
      </c>
    </row>
    <row r="1202" spans="1:12">
      <c r="A1202" s="12"/>
      <c r="E1202" s="14"/>
      <c r="F1202" s="14"/>
      <c r="G1202" s="13">
        <v>0</v>
      </c>
      <c r="H1202" s="13">
        <v>0</v>
      </c>
      <c r="I1202" s="13"/>
      <c r="J1202" s="13"/>
      <c r="K1202" s="13"/>
      <c r="L1202" s="15">
        <v>0</v>
      </c>
    </row>
    <row r="1203" spans="1:12">
      <c r="A1203" s="12"/>
      <c r="E1203" s="14"/>
      <c r="F1203" s="14"/>
      <c r="G1203" s="13">
        <v>0</v>
      </c>
      <c r="H1203" s="13">
        <v>0</v>
      </c>
      <c r="I1203" s="13"/>
      <c r="J1203" s="13"/>
      <c r="K1203" s="13"/>
      <c r="L1203" s="15">
        <v>0</v>
      </c>
    </row>
    <row r="1204" spans="1:12">
      <c r="A1204" s="12"/>
      <c r="E1204" s="14"/>
      <c r="F1204" s="14"/>
      <c r="G1204" s="13">
        <v>0</v>
      </c>
      <c r="H1204" s="13">
        <v>0</v>
      </c>
      <c r="I1204" s="13"/>
      <c r="J1204" s="13"/>
      <c r="K1204" s="13"/>
      <c r="L1204" s="15">
        <v>0</v>
      </c>
    </row>
    <row r="1205" spans="1:12">
      <c r="A1205" s="12"/>
      <c r="E1205" s="14"/>
      <c r="F1205" s="14"/>
      <c r="G1205" s="13">
        <v>0</v>
      </c>
      <c r="H1205" s="13">
        <v>0</v>
      </c>
      <c r="I1205" s="13"/>
      <c r="J1205" s="13"/>
      <c r="K1205" s="13"/>
      <c r="L1205" s="15">
        <v>0</v>
      </c>
    </row>
    <row r="1206" spans="1:12">
      <c r="A1206" s="12"/>
      <c r="E1206" s="14"/>
      <c r="F1206" s="14"/>
      <c r="G1206" s="13">
        <v>0</v>
      </c>
      <c r="H1206" s="13">
        <v>0</v>
      </c>
      <c r="I1206" s="13"/>
      <c r="J1206" s="13"/>
      <c r="K1206" s="13"/>
      <c r="L1206" s="15">
        <v>0</v>
      </c>
    </row>
    <row r="1207" spans="1:12">
      <c r="A1207" s="12"/>
      <c r="E1207" s="14"/>
      <c r="F1207" s="14"/>
      <c r="G1207" s="13">
        <v>0</v>
      </c>
      <c r="H1207" s="13">
        <v>0</v>
      </c>
      <c r="I1207" s="13"/>
      <c r="J1207" s="13"/>
      <c r="K1207" s="13"/>
      <c r="L1207" s="15">
        <v>0</v>
      </c>
    </row>
    <row r="1208" spans="1:12">
      <c r="A1208" s="12"/>
      <c r="E1208" s="14"/>
      <c r="F1208" s="14"/>
      <c r="G1208" s="13">
        <v>0</v>
      </c>
      <c r="H1208" s="13">
        <v>0</v>
      </c>
      <c r="I1208" s="13"/>
      <c r="J1208" s="13"/>
      <c r="K1208" s="13"/>
      <c r="L1208" s="15">
        <v>0</v>
      </c>
    </row>
    <row r="1209" spans="1:12">
      <c r="A1209" s="12"/>
      <c r="E1209" s="14"/>
      <c r="F1209" s="14"/>
      <c r="G1209" s="13">
        <v>0</v>
      </c>
      <c r="H1209" s="13">
        <v>0</v>
      </c>
      <c r="I1209" s="13"/>
      <c r="J1209" s="13"/>
      <c r="K1209" s="13"/>
      <c r="L1209" s="15">
        <v>0</v>
      </c>
    </row>
    <row r="1210" spans="1:12">
      <c r="A1210" s="12"/>
      <c r="E1210" s="14"/>
      <c r="F1210" s="14"/>
      <c r="G1210" s="13">
        <v>0</v>
      </c>
      <c r="H1210" s="13">
        <v>0</v>
      </c>
      <c r="I1210" s="13"/>
      <c r="J1210" s="13"/>
      <c r="K1210" s="13"/>
      <c r="L1210" s="15">
        <v>0</v>
      </c>
    </row>
    <row r="1211" spans="1:12">
      <c r="A1211" s="12"/>
      <c r="E1211" s="14"/>
      <c r="F1211" s="14"/>
      <c r="G1211" s="13">
        <v>0</v>
      </c>
      <c r="H1211" s="13">
        <v>0</v>
      </c>
      <c r="I1211" s="13"/>
      <c r="J1211" s="13"/>
      <c r="K1211" s="13"/>
      <c r="L1211" s="15">
        <v>0</v>
      </c>
    </row>
    <row r="1212" spans="1:12">
      <c r="A1212" s="12"/>
      <c r="E1212" s="14"/>
      <c r="F1212" s="14"/>
      <c r="G1212" s="13">
        <v>0</v>
      </c>
      <c r="H1212" s="13">
        <v>0</v>
      </c>
      <c r="I1212" s="13"/>
      <c r="J1212" s="13"/>
      <c r="K1212" s="13"/>
      <c r="L1212" s="15">
        <v>0</v>
      </c>
    </row>
    <row r="1213" spans="1:12">
      <c r="A1213" s="12"/>
      <c r="E1213" s="14"/>
      <c r="F1213" s="14"/>
      <c r="G1213" s="13">
        <v>0</v>
      </c>
      <c r="H1213" s="13">
        <v>0</v>
      </c>
      <c r="I1213" s="13"/>
      <c r="J1213" s="13"/>
      <c r="K1213" s="13"/>
      <c r="L1213" s="15">
        <v>0</v>
      </c>
    </row>
    <row r="1214" spans="1:12">
      <c r="A1214" s="12"/>
      <c r="E1214" s="14"/>
      <c r="F1214" s="14"/>
      <c r="G1214" s="13">
        <v>0</v>
      </c>
      <c r="H1214" s="13">
        <v>0</v>
      </c>
      <c r="I1214" s="13"/>
      <c r="J1214" s="13"/>
      <c r="K1214" s="13"/>
      <c r="L1214" s="15">
        <v>0</v>
      </c>
    </row>
    <row r="1215" spans="1:12">
      <c r="A1215" s="12"/>
      <c r="E1215" s="14"/>
      <c r="F1215" s="14"/>
      <c r="G1215" s="13">
        <v>0</v>
      </c>
      <c r="H1215" s="13">
        <v>0</v>
      </c>
      <c r="I1215" s="13"/>
      <c r="J1215" s="13"/>
      <c r="K1215" s="13"/>
      <c r="L1215" s="15">
        <v>0</v>
      </c>
    </row>
    <row r="1216" spans="1:12">
      <c r="A1216" s="12"/>
      <c r="E1216" s="14"/>
      <c r="F1216" s="14"/>
      <c r="G1216" s="13">
        <v>0</v>
      </c>
      <c r="H1216" s="13">
        <v>0</v>
      </c>
      <c r="I1216" s="13"/>
      <c r="J1216" s="13"/>
      <c r="K1216" s="13"/>
      <c r="L1216" s="15">
        <v>0</v>
      </c>
    </row>
    <row r="1217" spans="1:12">
      <c r="A1217" s="12"/>
      <c r="E1217" s="14"/>
      <c r="F1217" s="14"/>
      <c r="G1217" s="13">
        <v>0</v>
      </c>
      <c r="H1217" s="13">
        <v>0</v>
      </c>
      <c r="I1217" s="13"/>
      <c r="J1217" s="13"/>
      <c r="K1217" s="13"/>
      <c r="L1217" s="15">
        <v>0</v>
      </c>
    </row>
    <row r="1218" spans="1:12">
      <c r="A1218" s="12"/>
      <c r="E1218" s="14"/>
      <c r="F1218" s="14"/>
      <c r="G1218" s="13">
        <v>0</v>
      </c>
      <c r="H1218" s="13">
        <v>0</v>
      </c>
      <c r="I1218" s="13"/>
      <c r="J1218" s="13"/>
      <c r="K1218" s="13"/>
      <c r="L1218" s="15">
        <v>0</v>
      </c>
    </row>
    <row r="1219" spans="1:12">
      <c r="A1219" s="12"/>
      <c r="E1219" s="14"/>
      <c r="F1219" s="14"/>
      <c r="G1219" s="13">
        <v>0</v>
      </c>
      <c r="H1219" s="13">
        <v>0</v>
      </c>
      <c r="I1219" s="13"/>
      <c r="J1219" s="13"/>
      <c r="K1219" s="13"/>
      <c r="L1219" s="15">
        <v>0</v>
      </c>
    </row>
    <row r="1220" spans="1:12">
      <c r="A1220" s="12"/>
      <c r="E1220" s="14"/>
      <c r="F1220" s="14"/>
      <c r="G1220" s="13">
        <v>0</v>
      </c>
      <c r="H1220" s="13">
        <v>0</v>
      </c>
      <c r="I1220" s="13"/>
      <c r="J1220" s="13"/>
      <c r="K1220" s="13"/>
      <c r="L1220" s="15">
        <v>0</v>
      </c>
    </row>
    <row r="1221" spans="1:12">
      <c r="A1221" s="12"/>
      <c r="E1221" s="14"/>
      <c r="F1221" s="14"/>
      <c r="G1221" s="13">
        <v>0</v>
      </c>
      <c r="H1221" s="13">
        <v>0</v>
      </c>
      <c r="I1221" s="13"/>
      <c r="J1221" s="13"/>
      <c r="K1221" s="13"/>
      <c r="L1221" s="15">
        <v>0</v>
      </c>
    </row>
    <row r="1222" spans="1:12">
      <c r="A1222" s="12"/>
      <c r="E1222" s="14"/>
      <c r="F1222" s="14"/>
      <c r="G1222" s="13">
        <v>0</v>
      </c>
      <c r="H1222" s="13">
        <v>0</v>
      </c>
      <c r="I1222" s="13"/>
      <c r="J1222" s="13"/>
      <c r="K1222" s="13"/>
      <c r="L1222" s="15">
        <v>0</v>
      </c>
    </row>
    <row r="1223" spans="1:12">
      <c r="A1223" s="12"/>
      <c r="E1223" s="14"/>
      <c r="F1223" s="14"/>
      <c r="G1223" s="13">
        <v>0</v>
      </c>
      <c r="H1223" s="13">
        <v>0</v>
      </c>
      <c r="I1223" s="13"/>
      <c r="J1223" s="13"/>
      <c r="K1223" s="13"/>
      <c r="L1223" s="15">
        <v>0</v>
      </c>
    </row>
    <row r="1224" spans="1:12">
      <c r="A1224" s="12"/>
      <c r="E1224" s="14"/>
      <c r="F1224" s="14"/>
      <c r="G1224" s="13">
        <v>0</v>
      </c>
      <c r="H1224" s="13">
        <v>0</v>
      </c>
      <c r="I1224" s="13"/>
      <c r="J1224" s="13"/>
      <c r="K1224" s="13"/>
      <c r="L1224" s="15">
        <v>0</v>
      </c>
    </row>
    <row r="1225" spans="1:12">
      <c r="A1225" s="12"/>
      <c r="E1225" s="14"/>
      <c r="F1225" s="14"/>
      <c r="G1225" s="13">
        <v>0</v>
      </c>
      <c r="H1225" s="13">
        <v>0</v>
      </c>
      <c r="I1225" s="13"/>
      <c r="J1225" s="13"/>
      <c r="K1225" s="13"/>
      <c r="L1225" s="15">
        <v>0</v>
      </c>
    </row>
    <row r="1226" spans="1:12">
      <c r="A1226" s="12"/>
      <c r="E1226" s="14"/>
      <c r="F1226" s="14"/>
      <c r="G1226" s="13">
        <v>0</v>
      </c>
      <c r="H1226" s="13">
        <v>0</v>
      </c>
      <c r="I1226" s="13"/>
      <c r="J1226" s="13"/>
      <c r="K1226" s="13"/>
      <c r="L1226" s="15">
        <v>0</v>
      </c>
    </row>
    <row r="1227" spans="1:12">
      <c r="A1227" s="12"/>
      <c r="E1227" s="14"/>
      <c r="F1227" s="14"/>
      <c r="G1227" s="13">
        <v>0</v>
      </c>
      <c r="H1227" s="13">
        <v>0</v>
      </c>
      <c r="I1227" s="13"/>
      <c r="J1227" s="13"/>
      <c r="K1227" s="13"/>
      <c r="L1227" s="15">
        <v>0</v>
      </c>
    </row>
    <row r="1228" spans="1:12">
      <c r="A1228" s="12"/>
      <c r="E1228" s="14"/>
      <c r="F1228" s="14"/>
      <c r="G1228" s="13">
        <v>0</v>
      </c>
      <c r="H1228" s="13">
        <v>0</v>
      </c>
      <c r="I1228" s="13"/>
      <c r="J1228" s="13"/>
      <c r="K1228" s="13"/>
      <c r="L1228" s="15">
        <v>0</v>
      </c>
    </row>
    <row r="1229" spans="1:12">
      <c r="A1229" s="12"/>
      <c r="E1229" s="14"/>
      <c r="F1229" s="14"/>
      <c r="G1229" s="13">
        <v>0</v>
      </c>
      <c r="H1229" s="13">
        <v>0</v>
      </c>
      <c r="I1229" s="13"/>
      <c r="J1229" s="13"/>
      <c r="K1229" s="13"/>
      <c r="L1229" s="15">
        <v>0</v>
      </c>
    </row>
    <row r="1230" spans="1:12">
      <c r="A1230" s="12"/>
      <c r="E1230" s="14"/>
      <c r="F1230" s="14"/>
      <c r="G1230" s="13">
        <v>0</v>
      </c>
      <c r="H1230" s="13">
        <v>0</v>
      </c>
      <c r="I1230" s="13"/>
      <c r="J1230" s="13"/>
      <c r="K1230" s="13"/>
      <c r="L1230" s="15">
        <v>0</v>
      </c>
    </row>
    <row r="1231" spans="1:12">
      <c r="A1231" s="12"/>
      <c r="E1231" s="14"/>
      <c r="F1231" s="14"/>
      <c r="G1231" s="13">
        <v>0</v>
      </c>
      <c r="H1231" s="13">
        <v>0</v>
      </c>
      <c r="I1231" s="13"/>
      <c r="J1231" s="13"/>
      <c r="K1231" s="13"/>
      <c r="L1231" s="15">
        <v>0</v>
      </c>
    </row>
    <row r="1232" spans="1:12">
      <c r="A1232" s="12"/>
      <c r="E1232" s="14"/>
      <c r="F1232" s="14"/>
      <c r="G1232" s="13">
        <v>0</v>
      </c>
      <c r="H1232" s="13">
        <v>0</v>
      </c>
      <c r="I1232" s="13"/>
      <c r="J1232" s="13"/>
      <c r="K1232" s="13"/>
      <c r="L1232" s="15">
        <v>0</v>
      </c>
    </row>
    <row r="1233" spans="1:12">
      <c r="A1233" s="12"/>
      <c r="E1233" s="14"/>
      <c r="F1233" s="14"/>
      <c r="G1233" s="13">
        <v>0</v>
      </c>
      <c r="H1233" s="13">
        <v>0</v>
      </c>
      <c r="I1233" s="13"/>
      <c r="J1233" s="13"/>
      <c r="K1233" s="13"/>
      <c r="L1233" s="15">
        <v>0</v>
      </c>
    </row>
    <row r="1234" spans="1:12">
      <c r="A1234" s="12"/>
      <c r="E1234" s="14"/>
      <c r="F1234" s="14"/>
      <c r="G1234" s="13">
        <v>0</v>
      </c>
      <c r="H1234" s="13">
        <v>0</v>
      </c>
      <c r="I1234" s="13"/>
      <c r="J1234" s="13"/>
      <c r="K1234" s="13"/>
      <c r="L1234" s="15">
        <v>0</v>
      </c>
    </row>
    <row r="1235" spans="1:12">
      <c r="A1235" s="12"/>
      <c r="E1235" s="14"/>
      <c r="F1235" s="14"/>
      <c r="G1235" s="13">
        <v>0</v>
      </c>
      <c r="H1235" s="13">
        <v>0</v>
      </c>
      <c r="I1235" s="13"/>
      <c r="J1235" s="13"/>
      <c r="K1235" s="13"/>
      <c r="L1235" s="15">
        <v>0</v>
      </c>
    </row>
    <row r="1236" spans="1:12">
      <c r="A1236" s="12"/>
      <c r="E1236" s="14"/>
      <c r="F1236" s="14"/>
      <c r="G1236" s="13">
        <v>0</v>
      </c>
      <c r="H1236" s="13">
        <v>0</v>
      </c>
      <c r="I1236" s="13"/>
      <c r="J1236" s="13"/>
      <c r="K1236" s="13"/>
      <c r="L1236" s="15">
        <v>0</v>
      </c>
    </row>
    <row r="1237" spans="1:12">
      <c r="A1237" s="12"/>
      <c r="E1237" s="14"/>
      <c r="F1237" s="14"/>
      <c r="G1237" s="13">
        <v>0</v>
      </c>
      <c r="H1237" s="13">
        <v>0</v>
      </c>
      <c r="I1237" s="13"/>
      <c r="J1237" s="13"/>
      <c r="K1237" s="13"/>
      <c r="L1237" s="15">
        <v>0</v>
      </c>
    </row>
    <row r="1238" spans="1:12">
      <c r="A1238" s="12"/>
      <c r="E1238" s="14"/>
      <c r="F1238" s="14"/>
      <c r="G1238" s="13">
        <v>0</v>
      </c>
      <c r="H1238" s="13">
        <v>0</v>
      </c>
      <c r="I1238" s="13"/>
      <c r="J1238" s="13"/>
      <c r="K1238" s="13"/>
      <c r="L1238" s="15">
        <v>0</v>
      </c>
    </row>
    <row r="1239" spans="1:12">
      <c r="A1239" s="12"/>
      <c r="E1239" s="14"/>
      <c r="F1239" s="14"/>
      <c r="G1239" s="13">
        <v>0</v>
      </c>
      <c r="H1239" s="13">
        <v>0</v>
      </c>
      <c r="I1239" s="13"/>
      <c r="J1239" s="13"/>
      <c r="K1239" s="13"/>
      <c r="L1239" s="15">
        <v>0</v>
      </c>
    </row>
    <row r="1240" spans="1:12">
      <c r="A1240" s="12"/>
      <c r="E1240" s="14"/>
      <c r="F1240" s="14"/>
      <c r="G1240" s="13">
        <v>0</v>
      </c>
      <c r="H1240" s="13">
        <v>0</v>
      </c>
      <c r="I1240" s="13"/>
      <c r="J1240" s="13"/>
      <c r="K1240" s="13"/>
      <c r="L1240" s="15">
        <v>0</v>
      </c>
    </row>
    <row r="1241" spans="1:12">
      <c r="A1241" s="12"/>
      <c r="E1241" s="14"/>
      <c r="F1241" s="14"/>
      <c r="G1241" s="13">
        <v>0</v>
      </c>
      <c r="H1241" s="13">
        <v>0</v>
      </c>
      <c r="I1241" s="13"/>
      <c r="J1241" s="13"/>
      <c r="K1241" s="13"/>
      <c r="L1241" s="15">
        <v>0</v>
      </c>
    </row>
    <row r="1242" spans="1:12">
      <c r="A1242" s="12"/>
      <c r="E1242" s="14"/>
      <c r="F1242" s="14"/>
      <c r="G1242" s="13">
        <v>0</v>
      </c>
      <c r="H1242" s="13">
        <v>0</v>
      </c>
      <c r="I1242" s="13"/>
      <c r="J1242" s="13"/>
      <c r="K1242" s="13"/>
      <c r="L1242" s="15">
        <v>0</v>
      </c>
    </row>
    <row r="1243" spans="1:12">
      <c r="A1243" s="12"/>
      <c r="E1243" s="14"/>
      <c r="F1243" s="14"/>
      <c r="G1243" s="13">
        <v>0</v>
      </c>
      <c r="H1243" s="13">
        <v>0</v>
      </c>
      <c r="I1243" s="13"/>
      <c r="J1243" s="13"/>
      <c r="K1243" s="13"/>
      <c r="L1243" s="15">
        <v>0</v>
      </c>
    </row>
    <row r="1244" spans="1:12">
      <c r="A1244" s="12"/>
      <c r="E1244" s="14"/>
      <c r="F1244" s="14"/>
      <c r="G1244" s="13">
        <v>0</v>
      </c>
      <c r="H1244" s="13">
        <v>0</v>
      </c>
      <c r="I1244" s="13"/>
      <c r="J1244" s="13"/>
      <c r="K1244" s="13"/>
      <c r="L1244" s="15">
        <v>0</v>
      </c>
    </row>
    <row r="1245" spans="1:12">
      <c r="A1245" s="12"/>
      <c r="E1245" s="14"/>
      <c r="F1245" s="14"/>
      <c r="G1245" s="13">
        <v>0</v>
      </c>
      <c r="H1245" s="13">
        <v>0</v>
      </c>
      <c r="I1245" s="13"/>
      <c r="J1245" s="13"/>
      <c r="K1245" s="13"/>
      <c r="L1245" s="15">
        <v>0</v>
      </c>
    </row>
    <row r="1246" spans="1:12">
      <c r="A1246" s="12"/>
      <c r="E1246" s="14"/>
      <c r="F1246" s="14"/>
      <c r="G1246" s="13">
        <v>0</v>
      </c>
      <c r="H1246" s="13">
        <v>0</v>
      </c>
      <c r="I1246" s="13"/>
      <c r="J1246" s="13"/>
      <c r="K1246" s="13"/>
      <c r="L1246" s="15">
        <v>0</v>
      </c>
    </row>
    <row r="1247" spans="1:12">
      <c r="A1247" s="12"/>
      <c r="E1247" s="14"/>
      <c r="F1247" s="14"/>
      <c r="G1247" s="13">
        <v>0</v>
      </c>
      <c r="H1247" s="13">
        <v>0</v>
      </c>
      <c r="I1247" s="13"/>
      <c r="J1247" s="13"/>
      <c r="K1247" s="13"/>
      <c r="L1247" s="15">
        <v>0</v>
      </c>
    </row>
    <row r="1248" spans="1:12">
      <c r="A1248" s="12"/>
      <c r="E1248" s="14"/>
      <c r="F1248" s="14"/>
      <c r="G1248" s="13">
        <v>0</v>
      </c>
      <c r="H1248" s="13">
        <v>0</v>
      </c>
      <c r="I1248" s="13"/>
      <c r="J1248" s="13"/>
      <c r="K1248" s="13"/>
      <c r="L1248" s="15">
        <v>0</v>
      </c>
    </row>
    <row r="1249" spans="1:12">
      <c r="A1249" s="12"/>
      <c r="E1249" s="14"/>
      <c r="F1249" s="14"/>
      <c r="G1249" s="13">
        <v>0</v>
      </c>
      <c r="H1249" s="13">
        <v>0</v>
      </c>
      <c r="I1249" s="13"/>
      <c r="J1249" s="13"/>
      <c r="K1249" s="13"/>
      <c r="L1249" s="15">
        <v>0</v>
      </c>
    </row>
    <row r="1250" spans="1:12">
      <c r="A1250" s="12"/>
      <c r="E1250" s="14"/>
      <c r="F1250" s="14"/>
      <c r="G1250" s="13">
        <v>0</v>
      </c>
      <c r="H1250" s="13">
        <v>0</v>
      </c>
      <c r="I1250" s="13"/>
      <c r="J1250" s="13"/>
      <c r="K1250" s="13"/>
      <c r="L1250" s="15">
        <v>0</v>
      </c>
    </row>
    <row r="1251" spans="1:12">
      <c r="A1251" s="12"/>
      <c r="E1251" s="14"/>
      <c r="F1251" s="14"/>
      <c r="G1251" s="13">
        <v>0</v>
      </c>
      <c r="H1251" s="13">
        <v>0</v>
      </c>
      <c r="I1251" s="13"/>
      <c r="J1251" s="13"/>
      <c r="K1251" s="13"/>
      <c r="L1251" s="15">
        <v>0</v>
      </c>
    </row>
    <row r="1252" spans="1:12">
      <c r="A1252" s="12"/>
      <c r="E1252" s="14"/>
      <c r="F1252" s="14"/>
      <c r="G1252" s="13">
        <v>0</v>
      </c>
      <c r="H1252" s="13">
        <v>0</v>
      </c>
      <c r="I1252" s="13"/>
      <c r="J1252" s="13"/>
      <c r="K1252" s="13"/>
      <c r="L1252" s="15">
        <v>0</v>
      </c>
    </row>
    <row r="1253" spans="1:12">
      <c r="A1253" s="12"/>
      <c r="E1253" s="14"/>
      <c r="F1253" s="14"/>
      <c r="G1253" s="13">
        <v>0</v>
      </c>
      <c r="H1253" s="13">
        <v>0</v>
      </c>
      <c r="I1253" s="13"/>
      <c r="J1253" s="13"/>
      <c r="K1253" s="13"/>
      <c r="L1253" s="15">
        <v>0</v>
      </c>
    </row>
    <row r="1254" spans="1:12">
      <c r="A1254" s="12"/>
      <c r="E1254" s="14"/>
      <c r="F1254" s="14"/>
      <c r="G1254" s="13">
        <v>0</v>
      </c>
      <c r="H1254" s="13">
        <v>0</v>
      </c>
      <c r="I1254" s="13"/>
      <c r="J1254" s="13"/>
      <c r="K1254" s="13"/>
      <c r="L1254" s="15">
        <v>0</v>
      </c>
    </row>
    <row r="1255" spans="1:12">
      <c r="A1255" s="12"/>
      <c r="E1255" s="14"/>
      <c r="F1255" s="14"/>
      <c r="G1255" s="13">
        <v>0</v>
      </c>
      <c r="H1255" s="13">
        <v>0</v>
      </c>
      <c r="I1255" s="13"/>
      <c r="J1255" s="13"/>
      <c r="K1255" s="13"/>
      <c r="L1255" s="15">
        <v>0</v>
      </c>
    </row>
    <row r="1256" spans="1:12">
      <c r="A1256" s="12"/>
      <c r="E1256" s="14"/>
      <c r="F1256" s="14"/>
      <c r="G1256" s="13">
        <v>0</v>
      </c>
      <c r="H1256" s="13">
        <v>0</v>
      </c>
      <c r="I1256" s="13"/>
      <c r="J1256" s="13"/>
      <c r="K1256" s="13"/>
      <c r="L1256" s="15">
        <v>0</v>
      </c>
    </row>
    <row r="1257" spans="1:12">
      <c r="A1257" s="12"/>
      <c r="E1257" s="14"/>
      <c r="F1257" s="14"/>
      <c r="G1257" s="13">
        <v>0</v>
      </c>
      <c r="H1257" s="13">
        <v>0</v>
      </c>
      <c r="I1257" s="13"/>
      <c r="J1257" s="13"/>
      <c r="K1257" s="13"/>
      <c r="L1257" s="15">
        <v>0</v>
      </c>
    </row>
    <row r="1258" spans="1:12">
      <c r="A1258" s="12"/>
      <c r="E1258" s="14"/>
      <c r="F1258" s="14"/>
      <c r="G1258" s="13">
        <v>0</v>
      </c>
      <c r="H1258" s="13">
        <v>0</v>
      </c>
      <c r="I1258" s="13"/>
      <c r="J1258" s="13"/>
      <c r="K1258" s="13"/>
      <c r="L1258" s="15">
        <v>0</v>
      </c>
    </row>
    <row r="1259" spans="1:12">
      <c r="A1259" s="12"/>
      <c r="E1259" s="14"/>
      <c r="F1259" s="14"/>
      <c r="G1259" s="13">
        <v>0</v>
      </c>
      <c r="H1259" s="13">
        <v>0</v>
      </c>
      <c r="I1259" s="13"/>
      <c r="J1259" s="13"/>
      <c r="K1259" s="13"/>
      <c r="L1259" s="15">
        <v>0</v>
      </c>
    </row>
    <row r="1260" spans="1:12">
      <c r="A1260" s="12"/>
      <c r="E1260" s="14"/>
      <c r="F1260" s="14"/>
      <c r="G1260" s="13">
        <v>0</v>
      </c>
      <c r="H1260" s="13">
        <v>0</v>
      </c>
      <c r="I1260" s="13"/>
      <c r="J1260" s="13"/>
      <c r="K1260" s="13"/>
      <c r="L1260" s="15">
        <v>0</v>
      </c>
    </row>
    <row r="1261" spans="1:12">
      <c r="A1261" s="12"/>
      <c r="E1261" s="14"/>
      <c r="F1261" s="14"/>
      <c r="G1261" s="13">
        <v>0</v>
      </c>
      <c r="H1261" s="13">
        <v>0</v>
      </c>
      <c r="I1261" s="13"/>
      <c r="J1261" s="13"/>
      <c r="K1261" s="13"/>
      <c r="L1261" s="15">
        <v>0</v>
      </c>
    </row>
    <row r="1262" spans="1:12">
      <c r="A1262" s="12"/>
      <c r="E1262" s="14"/>
      <c r="F1262" s="14"/>
      <c r="G1262" s="13">
        <v>0</v>
      </c>
      <c r="H1262" s="13">
        <v>0</v>
      </c>
      <c r="I1262" s="13"/>
      <c r="J1262" s="13"/>
      <c r="K1262" s="13"/>
      <c r="L1262" s="15">
        <v>0</v>
      </c>
    </row>
    <row r="1263" spans="1:12">
      <c r="A1263" s="12"/>
      <c r="E1263" s="14"/>
      <c r="F1263" s="14"/>
      <c r="G1263" s="13">
        <v>0</v>
      </c>
      <c r="H1263" s="13">
        <v>0</v>
      </c>
      <c r="I1263" s="13"/>
      <c r="J1263" s="13"/>
      <c r="K1263" s="13"/>
      <c r="L1263" s="15">
        <v>0</v>
      </c>
    </row>
    <row r="1264" spans="1:12">
      <c r="A1264" s="12"/>
      <c r="E1264" s="14"/>
      <c r="F1264" s="14"/>
      <c r="G1264" s="13">
        <v>0</v>
      </c>
      <c r="H1264" s="13">
        <v>0</v>
      </c>
      <c r="I1264" s="13"/>
      <c r="J1264" s="13"/>
      <c r="K1264" s="13"/>
      <c r="L1264" s="15">
        <v>0</v>
      </c>
    </row>
    <row r="1265" spans="1:12">
      <c r="A1265" s="12"/>
      <c r="E1265" s="14"/>
      <c r="F1265" s="14"/>
      <c r="G1265" s="13">
        <v>0</v>
      </c>
      <c r="H1265" s="13">
        <v>0</v>
      </c>
      <c r="I1265" s="13"/>
      <c r="J1265" s="13"/>
      <c r="K1265" s="13"/>
      <c r="L1265" s="15">
        <v>0</v>
      </c>
    </row>
    <row r="1266" spans="1:12">
      <c r="A1266" s="12"/>
      <c r="E1266" s="14"/>
      <c r="F1266" s="14"/>
      <c r="G1266" s="13">
        <v>0</v>
      </c>
      <c r="H1266" s="13">
        <v>0</v>
      </c>
      <c r="I1266" s="13"/>
      <c r="J1266" s="13"/>
      <c r="K1266" s="13"/>
      <c r="L1266" s="15">
        <v>0</v>
      </c>
    </row>
    <row r="1267" spans="1:12">
      <c r="A1267" s="12"/>
      <c r="E1267" s="14"/>
      <c r="F1267" s="14"/>
      <c r="G1267" s="13">
        <v>0</v>
      </c>
      <c r="H1267" s="13">
        <v>0</v>
      </c>
      <c r="I1267" s="13"/>
      <c r="J1267" s="13"/>
      <c r="K1267" s="13"/>
      <c r="L1267" s="15">
        <v>0</v>
      </c>
    </row>
    <row r="1268" spans="1:12">
      <c r="A1268" s="12"/>
      <c r="E1268" s="14"/>
      <c r="F1268" s="14"/>
      <c r="G1268" s="13">
        <v>0</v>
      </c>
      <c r="H1268" s="13">
        <v>0</v>
      </c>
      <c r="I1268" s="13"/>
      <c r="J1268" s="13"/>
      <c r="K1268" s="13"/>
      <c r="L1268" s="15">
        <v>0</v>
      </c>
    </row>
    <row r="1269" spans="1:12">
      <c r="A1269" s="12"/>
      <c r="E1269" s="14"/>
      <c r="F1269" s="14"/>
      <c r="G1269" s="13">
        <v>0</v>
      </c>
      <c r="H1269" s="13">
        <v>0</v>
      </c>
      <c r="I1269" s="13"/>
      <c r="J1269" s="13"/>
      <c r="K1269" s="13"/>
      <c r="L1269" s="15">
        <v>0</v>
      </c>
    </row>
    <row r="1270" spans="1:12">
      <c r="A1270" s="12"/>
      <c r="E1270" s="14"/>
      <c r="F1270" s="14"/>
      <c r="G1270" s="13">
        <v>0</v>
      </c>
      <c r="H1270" s="13">
        <v>0</v>
      </c>
      <c r="I1270" s="13"/>
      <c r="J1270" s="13"/>
      <c r="K1270" s="13"/>
      <c r="L1270" s="15">
        <v>0</v>
      </c>
    </row>
    <row r="1271" spans="1:12">
      <c r="A1271" s="12"/>
      <c r="E1271" s="14"/>
      <c r="F1271" s="14"/>
      <c r="G1271" s="13">
        <v>0</v>
      </c>
      <c r="H1271" s="13">
        <v>0</v>
      </c>
      <c r="I1271" s="13"/>
      <c r="J1271" s="13"/>
      <c r="K1271" s="13"/>
      <c r="L1271" s="15">
        <v>0</v>
      </c>
    </row>
    <row r="1272" spans="1:12">
      <c r="A1272" s="12"/>
      <c r="E1272" s="14"/>
      <c r="F1272" s="14"/>
      <c r="G1272" s="13">
        <v>0</v>
      </c>
      <c r="H1272" s="13">
        <v>0</v>
      </c>
      <c r="I1272" s="13"/>
      <c r="J1272" s="13"/>
      <c r="K1272" s="13"/>
      <c r="L1272" s="15">
        <v>0</v>
      </c>
    </row>
    <row r="1273" spans="1:12">
      <c r="A1273" s="12"/>
      <c r="E1273" s="14"/>
      <c r="F1273" s="14"/>
      <c r="G1273" s="13">
        <v>0</v>
      </c>
      <c r="H1273" s="13">
        <v>0</v>
      </c>
      <c r="I1273" s="13"/>
      <c r="J1273" s="13"/>
      <c r="K1273" s="13"/>
      <c r="L1273" s="15">
        <v>0</v>
      </c>
    </row>
    <row r="1274" spans="1:12">
      <c r="A1274" s="12"/>
      <c r="E1274" s="14"/>
      <c r="F1274" s="14"/>
      <c r="G1274" s="13">
        <v>0</v>
      </c>
      <c r="H1274" s="13">
        <v>0</v>
      </c>
      <c r="I1274" s="13"/>
      <c r="J1274" s="13"/>
      <c r="K1274" s="13"/>
      <c r="L1274" s="15">
        <v>0</v>
      </c>
    </row>
    <row r="1275" spans="1:12">
      <c r="A1275" s="12"/>
      <c r="E1275" s="14"/>
      <c r="F1275" s="14"/>
      <c r="G1275" s="13">
        <v>0</v>
      </c>
      <c r="H1275" s="13">
        <v>0</v>
      </c>
      <c r="I1275" s="13"/>
      <c r="J1275" s="13"/>
      <c r="K1275" s="13"/>
      <c r="L1275" s="15">
        <v>0</v>
      </c>
    </row>
    <row r="1276" spans="1:12">
      <c r="A1276" s="12"/>
      <c r="E1276" s="14"/>
      <c r="F1276" s="14"/>
      <c r="G1276" s="13">
        <v>0</v>
      </c>
      <c r="H1276" s="13">
        <v>0</v>
      </c>
      <c r="I1276" s="13"/>
      <c r="J1276" s="13"/>
      <c r="K1276" s="13"/>
      <c r="L1276" s="15">
        <v>0</v>
      </c>
    </row>
    <row r="1277" spans="1:12">
      <c r="A1277" s="12"/>
      <c r="E1277" s="14"/>
      <c r="F1277" s="14"/>
      <c r="G1277" s="13">
        <v>0</v>
      </c>
      <c r="H1277" s="13">
        <v>0</v>
      </c>
      <c r="I1277" s="13"/>
      <c r="J1277" s="13"/>
      <c r="K1277" s="13"/>
      <c r="L1277" s="15">
        <v>0</v>
      </c>
    </row>
    <row r="1278" spans="1:12">
      <c r="A1278" s="12"/>
      <c r="E1278" s="14"/>
      <c r="F1278" s="14"/>
      <c r="G1278" s="13">
        <v>0</v>
      </c>
      <c r="H1278" s="13">
        <v>0</v>
      </c>
      <c r="I1278" s="13"/>
      <c r="J1278" s="13"/>
      <c r="K1278" s="13"/>
      <c r="L1278" s="15">
        <v>0</v>
      </c>
    </row>
    <row r="1279" spans="1:12">
      <c r="A1279" s="12"/>
      <c r="E1279" s="14"/>
      <c r="F1279" s="14"/>
      <c r="G1279" s="13">
        <v>0</v>
      </c>
      <c r="H1279" s="13">
        <v>0</v>
      </c>
      <c r="I1279" s="13"/>
      <c r="J1279" s="13"/>
      <c r="K1279" s="13"/>
      <c r="L1279" s="15">
        <v>0</v>
      </c>
    </row>
    <row r="1280" spans="1:12">
      <c r="A1280" s="12"/>
      <c r="E1280" s="14"/>
      <c r="F1280" s="14"/>
      <c r="G1280" s="13">
        <v>0</v>
      </c>
      <c r="H1280" s="13">
        <v>0</v>
      </c>
      <c r="I1280" s="13"/>
      <c r="J1280" s="13"/>
      <c r="K1280" s="13"/>
      <c r="L1280" s="15">
        <v>0</v>
      </c>
    </row>
    <row r="1281" spans="1:12">
      <c r="A1281" s="12"/>
      <c r="E1281" s="14"/>
      <c r="F1281" s="14"/>
      <c r="G1281" s="13">
        <v>0</v>
      </c>
      <c r="H1281" s="13">
        <v>0</v>
      </c>
      <c r="I1281" s="13"/>
      <c r="J1281" s="13"/>
      <c r="K1281" s="13"/>
      <c r="L1281" s="15">
        <v>0</v>
      </c>
    </row>
    <row r="1282" spans="1:12">
      <c r="A1282" s="12"/>
      <c r="E1282" s="14"/>
      <c r="F1282" s="14"/>
      <c r="G1282" s="13">
        <v>0</v>
      </c>
      <c r="H1282" s="13">
        <v>0</v>
      </c>
      <c r="I1282" s="13"/>
      <c r="J1282" s="13"/>
      <c r="K1282" s="13"/>
      <c r="L1282" s="15">
        <v>0</v>
      </c>
    </row>
    <row r="1283" spans="1:12">
      <c r="A1283" s="12"/>
      <c r="E1283" s="14"/>
      <c r="F1283" s="14"/>
      <c r="G1283" s="13">
        <v>0</v>
      </c>
      <c r="H1283" s="13">
        <v>0</v>
      </c>
      <c r="I1283" s="13"/>
      <c r="J1283" s="13"/>
      <c r="K1283" s="13"/>
      <c r="L1283" s="15">
        <v>0</v>
      </c>
    </row>
    <row r="1284" spans="1:12">
      <c r="A1284" s="12"/>
      <c r="E1284" s="14"/>
      <c r="F1284" s="14"/>
      <c r="G1284" s="13">
        <v>0</v>
      </c>
      <c r="H1284" s="13">
        <v>0</v>
      </c>
      <c r="I1284" s="13"/>
      <c r="J1284" s="13"/>
      <c r="K1284" s="13"/>
      <c r="L1284" s="15">
        <v>0</v>
      </c>
    </row>
    <row r="1285" spans="1:12">
      <c r="A1285" s="12"/>
      <c r="E1285" s="14"/>
      <c r="F1285" s="14"/>
      <c r="G1285" s="13">
        <v>0</v>
      </c>
      <c r="H1285" s="13">
        <v>0</v>
      </c>
      <c r="I1285" s="13"/>
      <c r="J1285" s="13"/>
      <c r="K1285" s="13"/>
      <c r="L1285" s="15">
        <v>0</v>
      </c>
    </row>
    <row r="1286" spans="1:12">
      <c r="A1286" s="12"/>
      <c r="E1286" s="14"/>
      <c r="F1286" s="14"/>
      <c r="G1286" s="13">
        <v>0</v>
      </c>
      <c r="H1286" s="13">
        <v>0</v>
      </c>
      <c r="I1286" s="13"/>
      <c r="J1286" s="13"/>
      <c r="K1286" s="13"/>
      <c r="L1286" s="15">
        <v>0</v>
      </c>
    </row>
    <row r="1287" spans="1:12">
      <c r="A1287" s="12"/>
      <c r="E1287" s="14"/>
      <c r="F1287" s="14"/>
      <c r="G1287" s="13">
        <v>0</v>
      </c>
      <c r="H1287" s="13">
        <v>0</v>
      </c>
      <c r="I1287" s="13"/>
      <c r="J1287" s="13"/>
      <c r="K1287" s="13"/>
      <c r="L1287" s="15">
        <v>0</v>
      </c>
    </row>
    <row r="1288" spans="1:12">
      <c r="A1288" s="12"/>
      <c r="E1288" s="14"/>
      <c r="F1288" s="14"/>
      <c r="G1288" s="13">
        <v>0</v>
      </c>
      <c r="H1288" s="13">
        <v>0</v>
      </c>
      <c r="I1288" s="13"/>
      <c r="J1288" s="13"/>
      <c r="K1288" s="13"/>
      <c r="L1288" s="15">
        <v>0</v>
      </c>
    </row>
    <row r="1289" spans="1:12">
      <c r="A1289" s="12"/>
      <c r="E1289" s="14"/>
      <c r="F1289" s="14"/>
      <c r="G1289" s="13">
        <v>0</v>
      </c>
      <c r="H1289" s="13">
        <v>0</v>
      </c>
      <c r="I1289" s="13"/>
      <c r="J1289" s="13"/>
      <c r="K1289" s="13"/>
      <c r="L1289" s="15">
        <v>0</v>
      </c>
    </row>
    <row r="1290" spans="1:12">
      <c r="A1290" s="12"/>
      <c r="E1290" s="14"/>
      <c r="F1290" s="14"/>
      <c r="G1290" s="13">
        <v>0</v>
      </c>
      <c r="H1290" s="13">
        <v>0</v>
      </c>
      <c r="I1290" s="13"/>
      <c r="J1290" s="13"/>
      <c r="K1290" s="13"/>
      <c r="L1290" s="15">
        <v>0</v>
      </c>
    </row>
    <row r="1291" spans="1:12">
      <c r="A1291" s="12"/>
      <c r="E1291" s="14"/>
      <c r="F1291" s="14"/>
      <c r="G1291" s="13">
        <v>0</v>
      </c>
      <c r="H1291" s="13">
        <v>0</v>
      </c>
      <c r="I1291" s="13"/>
      <c r="J1291" s="13"/>
      <c r="K1291" s="13"/>
      <c r="L1291" s="15">
        <v>0</v>
      </c>
    </row>
    <row r="1292" spans="1:12">
      <c r="A1292" s="12"/>
      <c r="E1292" s="14"/>
      <c r="F1292" s="14"/>
      <c r="G1292" s="13">
        <v>0</v>
      </c>
      <c r="H1292" s="13">
        <v>0</v>
      </c>
      <c r="I1292" s="13"/>
      <c r="J1292" s="13"/>
      <c r="K1292" s="13"/>
      <c r="L1292" s="15">
        <v>0</v>
      </c>
    </row>
    <row r="1293" spans="1:12">
      <c r="A1293" s="12"/>
      <c r="E1293" s="14"/>
      <c r="F1293" s="14"/>
      <c r="G1293" s="13">
        <v>0</v>
      </c>
      <c r="H1293" s="13">
        <v>0</v>
      </c>
      <c r="I1293" s="13"/>
      <c r="J1293" s="13"/>
      <c r="K1293" s="13"/>
      <c r="L1293" s="15">
        <v>0</v>
      </c>
    </row>
    <row r="1294" spans="1:12">
      <c r="A1294" s="12"/>
      <c r="E1294" s="14"/>
      <c r="F1294" s="14"/>
      <c r="G1294" s="13">
        <v>0</v>
      </c>
      <c r="H1294" s="13">
        <v>0</v>
      </c>
      <c r="I1294" s="13"/>
      <c r="J1294" s="13"/>
      <c r="K1294" s="13"/>
      <c r="L1294" s="15">
        <v>0</v>
      </c>
    </row>
    <row r="1295" spans="1:12">
      <c r="A1295" s="12"/>
      <c r="E1295" s="14"/>
      <c r="F1295" s="14"/>
      <c r="G1295" s="13">
        <v>0</v>
      </c>
      <c r="H1295" s="13">
        <v>0</v>
      </c>
      <c r="I1295" s="13"/>
      <c r="J1295" s="13"/>
      <c r="K1295" s="13"/>
      <c r="L1295" s="15">
        <v>0</v>
      </c>
    </row>
    <row r="1296" spans="1:12">
      <c r="A1296" s="12"/>
      <c r="E1296" s="14"/>
      <c r="F1296" s="14"/>
      <c r="G1296" s="13">
        <v>0</v>
      </c>
      <c r="H1296" s="13">
        <v>0</v>
      </c>
      <c r="I1296" s="13"/>
      <c r="J1296" s="13"/>
      <c r="K1296" s="13"/>
      <c r="L1296" s="15">
        <v>0</v>
      </c>
    </row>
    <row r="1297" spans="1:12">
      <c r="A1297" s="12"/>
      <c r="E1297" s="14"/>
      <c r="F1297" s="14"/>
      <c r="G1297" s="13">
        <v>0</v>
      </c>
      <c r="H1297" s="13">
        <v>0</v>
      </c>
      <c r="I1297" s="13"/>
      <c r="J1297" s="13"/>
      <c r="K1297" s="13"/>
      <c r="L1297" s="15">
        <v>0</v>
      </c>
    </row>
    <row r="1298" spans="1:12">
      <c r="A1298" s="12"/>
      <c r="E1298" s="14"/>
      <c r="F1298" s="14"/>
      <c r="G1298" s="13">
        <v>0</v>
      </c>
      <c r="H1298" s="13">
        <v>0</v>
      </c>
      <c r="I1298" s="13"/>
      <c r="J1298" s="13"/>
      <c r="K1298" s="13"/>
      <c r="L1298" s="15">
        <v>0</v>
      </c>
    </row>
    <row r="1299" spans="1:12">
      <c r="A1299" s="12"/>
      <c r="E1299" s="14"/>
      <c r="F1299" s="14"/>
      <c r="G1299" s="13">
        <v>0</v>
      </c>
      <c r="H1299" s="13">
        <v>0</v>
      </c>
      <c r="I1299" s="13"/>
      <c r="J1299" s="13"/>
      <c r="K1299" s="13"/>
      <c r="L1299" s="15">
        <v>0</v>
      </c>
    </row>
    <row r="1300" spans="1:12">
      <c r="A1300" s="12"/>
      <c r="E1300" s="14"/>
      <c r="F1300" s="14"/>
      <c r="G1300" s="13">
        <v>0</v>
      </c>
      <c r="H1300" s="13">
        <v>0</v>
      </c>
      <c r="I1300" s="13"/>
      <c r="J1300" s="13"/>
      <c r="K1300" s="13"/>
      <c r="L1300" s="15">
        <v>0</v>
      </c>
    </row>
    <row r="1301" spans="1:12">
      <c r="A1301" s="12"/>
      <c r="E1301" s="14"/>
      <c r="F1301" s="14"/>
      <c r="G1301" s="13">
        <v>0</v>
      </c>
      <c r="H1301" s="13">
        <v>0</v>
      </c>
      <c r="I1301" s="13"/>
      <c r="J1301" s="13"/>
      <c r="K1301" s="13"/>
      <c r="L1301" s="15">
        <v>0</v>
      </c>
    </row>
    <row r="1302" spans="1:12">
      <c r="A1302" s="12"/>
      <c r="E1302" s="14"/>
      <c r="F1302" s="14"/>
      <c r="G1302" s="13">
        <v>0</v>
      </c>
      <c r="H1302" s="13">
        <v>0</v>
      </c>
      <c r="I1302" s="13"/>
      <c r="J1302" s="13"/>
      <c r="K1302" s="13"/>
      <c r="L1302" s="15">
        <v>0</v>
      </c>
    </row>
    <row r="1303" spans="1:12">
      <c r="A1303" s="12"/>
      <c r="E1303" s="14"/>
      <c r="F1303" s="14"/>
      <c r="G1303" s="13">
        <v>0</v>
      </c>
      <c r="H1303" s="13">
        <v>0</v>
      </c>
      <c r="I1303" s="13"/>
      <c r="J1303" s="13"/>
      <c r="K1303" s="13"/>
      <c r="L1303" s="15">
        <v>0</v>
      </c>
    </row>
    <row r="1304" spans="1:12">
      <c r="A1304" s="12"/>
      <c r="E1304" s="14"/>
      <c r="F1304" s="14"/>
      <c r="G1304" s="13">
        <v>0</v>
      </c>
      <c r="H1304" s="13">
        <v>0</v>
      </c>
      <c r="I1304" s="13"/>
      <c r="J1304" s="13"/>
      <c r="K1304" s="13"/>
      <c r="L1304" s="15">
        <v>0</v>
      </c>
    </row>
    <row r="1305" spans="1:12">
      <c r="A1305" s="12"/>
      <c r="E1305" s="14"/>
      <c r="F1305" s="14"/>
      <c r="G1305" s="13">
        <v>0</v>
      </c>
      <c r="H1305" s="13">
        <v>0</v>
      </c>
      <c r="I1305" s="13"/>
      <c r="J1305" s="13"/>
      <c r="K1305" s="13"/>
      <c r="L1305" s="15">
        <v>0</v>
      </c>
    </row>
    <row r="1306" spans="1:12">
      <c r="A1306" s="12"/>
      <c r="E1306" s="14"/>
      <c r="F1306" s="14"/>
      <c r="G1306" s="13">
        <v>0</v>
      </c>
      <c r="H1306" s="13">
        <v>0</v>
      </c>
      <c r="I1306" s="13"/>
      <c r="J1306" s="13"/>
      <c r="K1306" s="13"/>
      <c r="L1306" s="15">
        <v>0</v>
      </c>
    </row>
    <row r="1307" spans="1:12">
      <c r="A1307" s="12"/>
      <c r="E1307" s="14"/>
      <c r="F1307" s="14"/>
      <c r="G1307" s="13">
        <v>0</v>
      </c>
      <c r="H1307" s="13">
        <v>0</v>
      </c>
      <c r="I1307" s="13"/>
      <c r="J1307" s="13"/>
      <c r="K1307" s="13"/>
      <c r="L1307" s="15">
        <v>0</v>
      </c>
    </row>
    <row r="1308" spans="1:12">
      <c r="A1308" s="12"/>
      <c r="E1308" s="14"/>
      <c r="F1308" s="14"/>
      <c r="G1308" s="13">
        <v>0</v>
      </c>
      <c r="H1308" s="13">
        <v>0</v>
      </c>
      <c r="I1308" s="13"/>
      <c r="J1308" s="13"/>
      <c r="K1308" s="13"/>
      <c r="L1308" s="15">
        <v>0</v>
      </c>
    </row>
    <row r="1309" spans="1:12">
      <c r="A1309" s="12"/>
      <c r="E1309" s="14"/>
      <c r="F1309" s="14"/>
      <c r="G1309" s="13">
        <v>0</v>
      </c>
      <c r="H1309" s="13">
        <v>0</v>
      </c>
      <c r="I1309" s="13"/>
      <c r="J1309" s="13"/>
      <c r="K1309" s="13"/>
      <c r="L1309" s="15">
        <v>0</v>
      </c>
    </row>
    <row r="1310" spans="1:12">
      <c r="A1310" s="12"/>
      <c r="E1310" s="14"/>
      <c r="F1310" s="14"/>
      <c r="G1310" s="13">
        <v>0</v>
      </c>
      <c r="H1310" s="13">
        <v>0</v>
      </c>
      <c r="I1310" s="13"/>
      <c r="J1310" s="13"/>
      <c r="K1310" s="13"/>
      <c r="L1310" s="15">
        <v>0</v>
      </c>
    </row>
    <row r="1311" spans="1:12">
      <c r="A1311" s="12"/>
      <c r="E1311" s="14"/>
      <c r="F1311" s="14"/>
      <c r="G1311" s="13">
        <v>0</v>
      </c>
      <c r="H1311" s="13">
        <v>0</v>
      </c>
      <c r="I1311" s="13"/>
      <c r="J1311" s="13"/>
      <c r="K1311" s="13"/>
      <c r="L1311" s="15">
        <v>0</v>
      </c>
    </row>
    <row r="1312" spans="1:12">
      <c r="A1312" s="12"/>
      <c r="E1312" s="14"/>
      <c r="F1312" s="14"/>
      <c r="G1312" s="13">
        <v>0</v>
      </c>
      <c r="H1312" s="13">
        <v>0</v>
      </c>
      <c r="I1312" s="13"/>
      <c r="J1312" s="13"/>
      <c r="K1312" s="13"/>
      <c r="L1312" s="15">
        <v>0</v>
      </c>
    </row>
    <row r="1313" spans="1:12">
      <c r="A1313" s="12"/>
      <c r="E1313" s="14"/>
      <c r="F1313" s="14"/>
      <c r="G1313" s="13">
        <v>0</v>
      </c>
      <c r="H1313" s="13">
        <v>0</v>
      </c>
      <c r="I1313" s="13"/>
      <c r="J1313" s="13"/>
      <c r="K1313" s="13"/>
      <c r="L1313" s="15">
        <v>0</v>
      </c>
    </row>
    <row r="1314" spans="1:12">
      <c r="A1314" s="12"/>
      <c r="E1314" s="14"/>
      <c r="F1314" s="14"/>
      <c r="G1314" s="13">
        <v>0</v>
      </c>
      <c r="H1314" s="13">
        <v>0</v>
      </c>
      <c r="I1314" s="13"/>
      <c r="J1314" s="13"/>
      <c r="K1314" s="13"/>
      <c r="L1314" s="15">
        <v>0</v>
      </c>
    </row>
    <row r="1315" spans="1:12">
      <c r="A1315" s="12"/>
      <c r="E1315" s="14"/>
      <c r="F1315" s="14"/>
      <c r="G1315" s="13">
        <v>0</v>
      </c>
      <c r="H1315" s="13">
        <v>0</v>
      </c>
      <c r="I1315" s="13"/>
      <c r="J1315" s="13"/>
      <c r="K1315" s="13"/>
      <c r="L1315" s="15">
        <v>0</v>
      </c>
    </row>
    <row r="1316" spans="1:12">
      <c r="A1316" s="12"/>
      <c r="E1316" s="14"/>
      <c r="F1316" s="14"/>
      <c r="G1316" s="13">
        <v>0</v>
      </c>
      <c r="H1316" s="13">
        <v>0</v>
      </c>
      <c r="I1316" s="13"/>
      <c r="J1316" s="13"/>
      <c r="K1316" s="13"/>
      <c r="L1316" s="15">
        <v>0</v>
      </c>
    </row>
    <row r="1317" spans="1:12">
      <c r="A1317" s="12"/>
      <c r="E1317" s="14"/>
      <c r="F1317" s="14"/>
      <c r="G1317" s="13">
        <v>0</v>
      </c>
      <c r="H1317" s="13">
        <v>0</v>
      </c>
      <c r="I1317" s="13"/>
      <c r="J1317" s="13"/>
      <c r="K1317" s="13"/>
      <c r="L1317" s="15">
        <v>0</v>
      </c>
    </row>
    <row r="1318" spans="1:12">
      <c r="A1318" s="12"/>
      <c r="E1318" s="14"/>
      <c r="F1318" s="14"/>
      <c r="G1318" s="13">
        <v>0</v>
      </c>
      <c r="H1318" s="13">
        <v>0</v>
      </c>
      <c r="I1318" s="13"/>
      <c r="J1318" s="13"/>
      <c r="K1318" s="13"/>
      <c r="L1318" s="15">
        <v>0</v>
      </c>
    </row>
    <row r="1319" spans="1:12">
      <c r="A1319" s="12"/>
      <c r="E1319" s="14"/>
      <c r="F1319" s="14"/>
      <c r="G1319" s="13">
        <v>0</v>
      </c>
      <c r="H1319" s="13">
        <v>0</v>
      </c>
      <c r="I1319" s="13"/>
      <c r="J1319" s="13"/>
      <c r="K1319" s="13"/>
      <c r="L1319" s="15">
        <v>0</v>
      </c>
    </row>
    <row r="1320" spans="1:12">
      <c r="A1320" s="12"/>
      <c r="E1320" s="14"/>
      <c r="F1320" s="14"/>
      <c r="G1320" s="13">
        <v>0</v>
      </c>
      <c r="H1320" s="13">
        <v>0</v>
      </c>
      <c r="I1320" s="13"/>
      <c r="J1320" s="13"/>
      <c r="K1320" s="13"/>
      <c r="L1320" s="15">
        <v>0</v>
      </c>
    </row>
    <row r="1321" spans="1:12">
      <c r="A1321" s="12"/>
      <c r="E1321" s="14"/>
      <c r="F1321" s="14"/>
      <c r="G1321" s="13">
        <v>0</v>
      </c>
      <c r="H1321" s="13">
        <v>0</v>
      </c>
      <c r="I1321" s="13"/>
      <c r="J1321" s="13"/>
      <c r="K1321" s="13"/>
      <c r="L1321" s="15">
        <v>0</v>
      </c>
    </row>
    <row r="1322" spans="1:12">
      <c r="A1322" s="12"/>
      <c r="E1322" s="14"/>
      <c r="F1322" s="14"/>
      <c r="G1322" s="13">
        <v>0</v>
      </c>
      <c r="H1322" s="13">
        <v>0</v>
      </c>
      <c r="I1322" s="13"/>
      <c r="J1322" s="13"/>
      <c r="K1322" s="13"/>
      <c r="L1322" s="15">
        <v>0</v>
      </c>
    </row>
    <row r="1323" spans="1:12">
      <c r="A1323" s="12"/>
      <c r="E1323" s="14"/>
      <c r="F1323" s="14"/>
      <c r="G1323" s="13">
        <v>0</v>
      </c>
      <c r="H1323" s="13">
        <v>0</v>
      </c>
      <c r="I1323" s="13"/>
      <c r="J1323" s="13"/>
      <c r="K1323" s="13"/>
      <c r="L1323" s="15">
        <v>0</v>
      </c>
    </row>
    <row r="1324" spans="1:12">
      <c r="A1324" s="12"/>
      <c r="E1324" s="14"/>
      <c r="F1324" s="14"/>
      <c r="G1324" s="13">
        <v>0</v>
      </c>
      <c r="H1324" s="13">
        <v>0</v>
      </c>
      <c r="I1324" s="13"/>
      <c r="J1324" s="13"/>
      <c r="K1324" s="13"/>
      <c r="L1324" s="15">
        <v>0</v>
      </c>
    </row>
    <row r="1325" spans="1:12">
      <c r="A1325" s="12"/>
      <c r="E1325" s="14"/>
      <c r="F1325" s="14"/>
      <c r="G1325" s="13">
        <v>0</v>
      </c>
      <c r="H1325" s="13">
        <v>0</v>
      </c>
      <c r="I1325" s="13"/>
      <c r="J1325" s="13"/>
      <c r="K1325" s="13"/>
      <c r="L1325" s="15">
        <v>0</v>
      </c>
    </row>
    <row r="1326" spans="1:12">
      <c r="A1326" s="12"/>
      <c r="E1326" s="14"/>
      <c r="F1326" s="14"/>
      <c r="G1326" s="13">
        <v>0</v>
      </c>
      <c r="H1326" s="13">
        <v>0</v>
      </c>
      <c r="I1326" s="13"/>
      <c r="J1326" s="13"/>
      <c r="K1326" s="13"/>
      <c r="L1326" s="15">
        <v>0</v>
      </c>
    </row>
    <row r="1327" spans="1:12">
      <c r="A1327" s="12"/>
      <c r="E1327" s="14"/>
      <c r="F1327" s="14"/>
      <c r="G1327" s="13">
        <v>0</v>
      </c>
      <c r="H1327" s="13">
        <v>0</v>
      </c>
      <c r="I1327" s="13"/>
      <c r="J1327" s="13"/>
      <c r="K1327" s="13"/>
      <c r="L1327" s="15">
        <v>0</v>
      </c>
    </row>
    <row r="1328" spans="1:12">
      <c r="A1328" s="12"/>
      <c r="E1328" s="14"/>
      <c r="F1328" s="14"/>
      <c r="G1328" s="13">
        <v>0</v>
      </c>
      <c r="H1328" s="13">
        <v>0</v>
      </c>
      <c r="I1328" s="13"/>
      <c r="J1328" s="13"/>
      <c r="K1328" s="13"/>
      <c r="L1328" s="15">
        <v>0</v>
      </c>
    </row>
    <row r="1329" spans="1:12">
      <c r="A1329" s="12"/>
      <c r="E1329" s="14"/>
      <c r="F1329" s="14"/>
      <c r="G1329" s="13">
        <v>0</v>
      </c>
      <c r="H1329" s="13">
        <v>0</v>
      </c>
      <c r="I1329" s="13"/>
      <c r="J1329" s="13"/>
      <c r="K1329" s="13"/>
      <c r="L1329" s="15">
        <v>0</v>
      </c>
    </row>
    <row r="1330" spans="1:12">
      <c r="A1330" s="12"/>
      <c r="E1330" s="14"/>
      <c r="F1330" s="14"/>
      <c r="G1330" s="13">
        <v>0</v>
      </c>
      <c r="H1330" s="13">
        <v>0</v>
      </c>
      <c r="I1330" s="13"/>
      <c r="J1330" s="13"/>
      <c r="K1330" s="13"/>
      <c r="L1330" s="15">
        <v>0</v>
      </c>
    </row>
    <row r="1331" spans="1:12">
      <c r="A1331" s="12"/>
      <c r="E1331" s="14"/>
      <c r="F1331" s="14"/>
      <c r="G1331" s="13">
        <v>0</v>
      </c>
      <c r="H1331" s="13">
        <v>0</v>
      </c>
      <c r="I1331" s="13"/>
      <c r="J1331" s="13"/>
      <c r="K1331" s="13"/>
      <c r="L1331" s="15">
        <v>0</v>
      </c>
    </row>
    <row r="1332" spans="1:12">
      <c r="A1332" s="12"/>
      <c r="E1332" s="14"/>
      <c r="F1332" s="14"/>
      <c r="G1332" s="13">
        <v>0</v>
      </c>
      <c r="H1332" s="13">
        <v>0</v>
      </c>
      <c r="I1332" s="13"/>
      <c r="J1332" s="13"/>
      <c r="K1332" s="13"/>
      <c r="L1332" s="15">
        <v>0</v>
      </c>
    </row>
    <row r="1333" spans="1:12">
      <c r="A1333" s="12"/>
      <c r="E1333" s="14"/>
      <c r="F1333" s="14"/>
      <c r="G1333" s="13">
        <v>0</v>
      </c>
      <c r="H1333" s="13">
        <v>0</v>
      </c>
      <c r="I1333" s="13"/>
      <c r="J1333" s="13"/>
      <c r="K1333" s="13"/>
      <c r="L1333" s="15">
        <v>0</v>
      </c>
    </row>
    <row r="1334" spans="1:12">
      <c r="A1334" s="12"/>
      <c r="E1334" s="14"/>
      <c r="F1334" s="14"/>
      <c r="G1334" s="13">
        <v>0</v>
      </c>
      <c r="H1334" s="13">
        <v>0</v>
      </c>
      <c r="I1334" s="13"/>
      <c r="J1334" s="13"/>
      <c r="K1334" s="13"/>
      <c r="L1334" s="15">
        <v>0</v>
      </c>
    </row>
    <row r="1335" spans="1:12">
      <c r="A1335" s="12"/>
      <c r="E1335" s="14"/>
      <c r="F1335" s="14"/>
      <c r="G1335" s="13">
        <v>0</v>
      </c>
      <c r="H1335" s="13">
        <v>0</v>
      </c>
      <c r="I1335" s="13"/>
      <c r="J1335" s="13"/>
      <c r="K1335" s="13"/>
      <c r="L1335" s="15">
        <v>0</v>
      </c>
    </row>
    <row r="1336" spans="1:12">
      <c r="A1336" s="12"/>
      <c r="E1336" s="14"/>
      <c r="F1336" s="14"/>
      <c r="G1336" s="13">
        <v>0</v>
      </c>
      <c r="H1336" s="13">
        <v>0</v>
      </c>
      <c r="I1336" s="13"/>
      <c r="J1336" s="13"/>
      <c r="K1336" s="13"/>
      <c r="L1336" s="15">
        <v>0</v>
      </c>
    </row>
    <row r="1337" spans="1:12">
      <c r="A1337" s="12"/>
      <c r="E1337" s="14"/>
      <c r="F1337" s="14"/>
      <c r="G1337" s="13">
        <v>0</v>
      </c>
      <c r="H1337" s="13">
        <v>0</v>
      </c>
      <c r="I1337" s="13"/>
      <c r="J1337" s="13"/>
      <c r="K1337" s="13"/>
      <c r="L1337" s="15">
        <v>0</v>
      </c>
    </row>
    <row r="1338" spans="1:12">
      <c r="A1338" s="12"/>
      <c r="E1338" s="14"/>
      <c r="F1338" s="14"/>
      <c r="G1338" s="13">
        <v>0</v>
      </c>
      <c r="H1338" s="13">
        <v>0</v>
      </c>
      <c r="I1338" s="13"/>
      <c r="J1338" s="13"/>
      <c r="K1338" s="13"/>
      <c r="L1338" s="15">
        <v>0</v>
      </c>
    </row>
    <row r="1339" spans="1:12">
      <c r="A1339" s="12"/>
      <c r="E1339" s="14"/>
      <c r="F1339" s="14"/>
      <c r="G1339" s="13">
        <v>0</v>
      </c>
      <c r="H1339" s="13">
        <v>0</v>
      </c>
      <c r="I1339" s="13"/>
      <c r="J1339" s="13"/>
      <c r="K1339" s="13"/>
      <c r="L1339" s="15">
        <v>0</v>
      </c>
    </row>
    <row r="1340" spans="1:12">
      <c r="A1340" s="12"/>
      <c r="E1340" s="14"/>
      <c r="F1340" s="14"/>
      <c r="G1340" s="13">
        <v>0</v>
      </c>
      <c r="H1340" s="13">
        <v>0</v>
      </c>
      <c r="I1340" s="13"/>
      <c r="J1340" s="13"/>
      <c r="K1340" s="13"/>
      <c r="L1340" s="15">
        <v>0</v>
      </c>
    </row>
    <row r="1341" spans="1:12">
      <c r="A1341" s="12"/>
      <c r="E1341" s="14"/>
      <c r="F1341" s="14"/>
      <c r="G1341" s="13">
        <v>0</v>
      </c>
      <c r="H1341" s="13">
        <v>0</v>
      </c>
      <c r="I1341" s="13"/>
      <c r="J1341" s="13"/>
      <c r="K1341" s="13"/>
      <c r="L1341" s="15">
        <v>0</v>
      </c>
    </row>
    <row r="1342" spans="1:12">
      <c r="A1342" s="12"/>
      <c r="E1342" s="14"/>
      <c r="F1342" s="14"/>
      <c r="G1342" s="13">
        <v>0</v>
      </c>
      <c r="H1342" s="13">
        <v>0</v>
      </c>
      <c r="I1342" s="13"/>
      <c r="J1342" s="13"/>
      <c r="K1342" s="13"/>
      <c r="L1342" s="15">
        <v>0</v>
      </c>
    </row>
    <row r="1343" spans="1:12">
      <c r="A1343" s="12"/>
      <c r="E1343" s="14"/>
      <c r="F1343" s="14"/>
      <c r="G1343" s="13">
        <v>0</v>
      </c>
      <c r="H1343" s="13">
        <v>0</v>
      </c>
      <c r="I1343" s="13"/>
      <c r="J1343" s="13"/>
      <c r="K1343" s="13"/>
      <c r="L1343" s="15">
        <v>0</v>
      </c>
    </row>
    <row r="1344" spans="1:12">
      <c r="A1344" s="12"/>
      <c r="E1344" s="14"/>
      <c r="F1344" s="14"/>
      <c r="G1344" s="13">
        <v>0</v>
      </c>
      <c r="H1344" s="13">
        <v>0</v>
      </c>
      <c r="I1344" s="13"/>
      <c r="J1344" s="13"/>
      <c r="K1344" s="13"/>
      <c r="L1344" s="15">
        <v>0</v>
      </c>
    </row>
    <row r="1345" spans="1:12">
      <c r="A1345" s="12"/>
      <c r="E1345" s="14"/>
      <c r="F1345" s="14"/>
      <c r="G1345" s="13">
        <v>0</v>
      </c>
      <c r="H1345" s="13">
        <v>0</v>
      </c>
      <c r="I1345" s="13"/>
      <c r="J1345" s="13"/>
      <c r="K1345" s="13"/>
      <c r="L1345" s="15">
        <v>0</v>
      </c>
    </row>
    <row r="1346" spans="1:12">
      <c r="A1346" s="12"/>
      <c r="E1346" s="14"/>
      <c r="F1346" s="14"/>
      <c r="G1346" s="13">
        <v>0</v>
      </c>
      <c r="H1346" s="13">
        <v>0</v>
      </c>
      <c r="I1346" s="13"/>
      <c r="J1346" s="13"/>
      <c r="K1346" s="13"/>
      <c r="L1346" s="15">
        <v>0</v>
      </c>
    </row>
    <row r="1347" spans="1:12">
      <c r="A1347" s="12"/>
      <c r="E1347" s="14"/>
      <c r="F1347" s="14"/>
      <c r="G1347" s="13">
        <v>0</v>
      </c>
      <c r="H1347" s="13">
        <v>0</v>
      </c>
      <c r="I1347" s="13"/>
      <c r="J1347" s="13"/>
      <c r="K1347" s="13"/>
      <c r="L1347" s="15">
        <v>0</v>
      </c>
    </row>
    <row r="1348" spans="1:12">
      <c r="A1348" s="12"/>
      <c r="E1348" s="14"/>
      <c r="F1348" s="14"/>
      <c r="G1348" s="13">
        <v>0</v>
      </c>
      <c r="H1348" s="13">
        <v>0</v>
      </c>
      <c r="I1348" s="13"/>
      <c r="J1348" s="13"/>
      <c r="K1348" s="13"/>
      <c r="L1348" s="15">
        <v>0</v>
      </c>
    </row>
    <row r="1349" spans="1:12">
      <c r="A1349" s="12"/>
      <c r="E1349" s="14"/>
      <c r="F1349" s="14"/>
      <c r="G1349" s="13">
        <v>0</v>
      </c>
      <c r="H1349" s="13">
        <v>0</v>
      </c>
      <c r="I1349" s="13"/>
      <c r="J1349" s="13"/>
      <c r="K1349" s="13"/>
      <c r="L1349" s="15">
        <v>0</v>
      </c>
    </row>
    <row r="1350" spans="1:12">
      <c r="A1350" s="12"/>
      <c r="E1350" s="14"/>
      <c r="F1350" s="14"/>
      <c r="G1350" s="13">
        <v>0</v>
      </c>
      <c r="H1350" s="13">
        <v>0</v>
      </c>
      <c r="I1350" s="13"/>
      <c r="J1350" s="13"/>
      <c r="K1350" s="13"/>
      <c r="L1350" s="15">
        <v>0</v>
      </c>
    </row>
    <row r="1351" spans="1:12">
      <c r="A1351" s="12"/>
      <c r="E1351" s="14"/>
      <c r="F1351" s="14"/>
      <c r="G1351" s="13">
        <v>0</v>
      </c>
      <c r="H1351" s="13">
        <v>0</v>
      </c>
      <c r="I1351" s="13"/>
      <c r="J1351" s="13"/>
      <c r="K1351" s="13"/>
      <c r="L1351" s="15">
        <v>0</v>
      </c>
    </row>
    <row r="1352" spans="1:12">
      <c r="A1352" s="12"/>
      <c r="E1352" s="14"/>
      <c r="F1352" s="14"/>
      <c r="G1352" s="13">
        <v>0</v>
      </c>
      <c r="H1352" s="13">
        <v>0</v>
      </c>
      <c r="I1352" s="13"/>
      <c r="J1352" s="13"/>
      <c r="K1352" s="13"/>
      <c r="L1352" s="15">
        <v>0</v>
      </c>
    </row>
    <row r="1353" spans="1:12">
      <c r="A1353" s="12"/>
      <c r="E1353" s="14"/>
      <c r="F1353" s="14"/>
      <c r="G1353" s="13">
        <v>0</v>
      </c>
      <c r="H1353" s="13">
        <v>0</v>
      </c>
      <c r="I1353" s="13"/>
      <c r="J1353" s="13"/>
      <c r="K1353" s="13"/>
      <c r="L1353" s="15">
        <v>0</v>
      </c>
    </row>
    <row r="1354" spans="1:12">
      <c r="A1354" s="12"/>
      <c r="E1354" s="14"/>
      <c r="F1354" s="14"/>
      <c r="G1354" s="13">
        <v>0</v>
      </c>
      <c r="H1354" s="13">
        <v>0</v>
      </c>
      <c r="I1354" s="13"/>
      <c r="J1354" s="13"/>
      <c r="K1354" s="13"/>
      <c r="L1354" s="15">
        <v>0</v>
      </c>
    </row>
    <row r="1355" spans="1:12">
      <c r="A1355" s="12"/>
      <c r="E1355" s="14"/>
      <c r="F1355" s="14"/>
      <c r="G1355" s="13">
        <v>0</v>
      </c>
      <c r="H1355" s="13">
        <v>0</v>
      </c>
      <c r="I1355" s="13"/>
      <c r="J1355" s="13"/>
      <c r="K1355" s="13"/>
      <c r="L1355" s="15">
        <v>0</v>
      </c>
    </row>
    <row r="1356" spans="1:12">
      <c r="A1356" s="12"/>
      <c r="E1356" s="14"/>
      <c r="F1356" s="14"/>
      <c r="G1356" s="13">
        <v>0</v>
      </c>
      <c r="H1356" s="13">
        <v>0</v>
      </c>
      <c r="I1356" s="13"/>
      <c r="J1356" s="13"/>
      <c r="K1356" s="13"/>
      <c r="L1356" s="15">
        <v>0</v>
      </c>
    </row>
    <row r="1357" spans="1:12">
      <c r="A1357" s="12"/>
      <c r="E1357" s="14"/>
      <c r="F1357" s="14"/>
      <c r="G1357" s="13">
        <v>0</v>
      </c>
      <c r="H1357" s="13">
        <v>0</v>
      </c>
      <c r="I1357" s="13"/>
      <c r="J1357" s="13"/>
      <c r="K1357" s="13"/>
      <c r="L1357" s="15">
        <v>0</v>
      </c>
    </row>
    <row r="1358" spans="1:12">
      <c r="A1358" s="12"/>
      <c r="E1358" s="14"/>
      <c r="F1358" s="14"/>
      <c r="G1358" s="13">
        <v>0</v>
      </c>
      <c r="H1358" s="13">
        <v>0</v>
      </c>
      <c r="I1358" s="13"/>
      <c r="J1358" s="13"/>
      <c r="K1358" s="13"/>
      <c r="L1358" s="15">
        <v>0</v>
      </c>
    </row>
    <row r="1359" spans="1:12">
      <c r="A1359" s="12"/>
      <c r="E1359" s="14"/>
      <c r="F1359" s="14"/>
      <c r="G1359" s="13">
        <v>0</v>
      </c>
      <c r="H1359" s="13">
        <v>0</v>
      </c>
      <c r="I1359" s="13"/>
      <c r="J1359" s="13"/>
      <c r="K1359" s="13"/>
      <c r="L1359" s="15">
        <v>0</v>
      </c>
    </row>
    <row r="1360" spans="1:12">
      <c r="A1360" s="12"/>
      <c r="E1360" s="14"/>
      <c r="F1360" s="14"/>
      <c r="G1360" s="13">
        <v>0</v>
      </c>
      <c r="H1360" s="13">
        <v>0</v>
      </c>
      <c r="I1360" s="13"/>
      <c r="J1360" s="13"/>
      <c r="K1360" s="13"/>
      <c r="L1360" s="15">
        <v>0</v>
      </c>
    </row>
    <row r="1361" spans="1:12">
      <c r="A1361" s="12"/>
      <c r="E1361" s="14"/>
      <c r="F1361" s="14"/>
      <c r="G1361" s="13">
        <v>0</v>
      </c>
      <c r="H1361" s="13">
        <v>0</v>
      </c>
      <c r="I1361" s="13"/>
      <c r="J1361" s="13"/>
      <c r="K1361" s="13"/>
      <c r="L1361" s="15">
        <v>0</v>
      </c>
    </row>
    <row r="1362" spans="1:12">
      <c r="A1362" s="12"/>
      <c r="E1362" s="14"/>
      <c r="F1362" s="14"/>
      <c r="G1362" s="13">
        <v>0</v>
      </c>
      <c r="H1362" s="13">
        <v>0</v>
      </c>
      <c r="I1362" s="13"/>
      <c r="J1362" s="13"/>
      <c r="K1362" s="13"/>
      <c r="L1362" s="15">
        <v>0</v>
      </c>
    </row>
    <row r="1363" spans="1:12">
      <c r="A1363" s="12"/>
      <c r="E1363" s="14"/>
      <c r="F1363" s="14"/>
      <c r="G1363" s="13">
        <v>0</v>
      </c>
      <c r="H1363" s="13">
        <v>0</v>
      </c>
      <c r="I1363" s="13"/>
      <c r="J1363" s="13"/>
      <c r="K1363" s="13"/>
      <c r="L1363" s="15">
        <v>0</v>
      </c>
    </row>
    <row r="1364" spans="1:12">
      <c r="A1364" s="12"/>
      <c r="E1364" s="14"/>
      <c r="F1364" s="14"/>
      <c r="G1364" s="13">
        <v>0</v>
      </c>
      <c r="H1364" s="13">
        <v>0</v>
      </c>
      <c r="I1364" s="13"/>
      <c r="J1364" s="13"/>
      <c r="K1364" s="13"/>
      <c r="L1364" s="15">
        <v>0</v>
      </c>
    </row>
    <row r="1365" spans="1:12">
      <c r="A1365" s="12"/>
      <c r="E1365" s="14"/>
      <c r="F1365" s="14"/>
      <c r="G1365" s="13">
        <v>0</v>
      </c>
      <c r="H1365" s="13">
        <v>0</v>
      </c>
      <c r="I1365" s="13"/>
      <c r="J1365" s="13"/>
      <c r="K1365" s="13"/>
      <c r="L1365" s="15">
        <v>0</v>
      </c>
    </row>
    <row r="1366" spans="1:12">
      <c r="A1366" s="12"/>
      <c r="E1366" s="14"/>
      <c r="F1366" s="14"/>
      <c r="G1366" s="13">
        <v>0</v>
      </c>
      <c r="H1366" s="13">
        <v>0</v>
      </c>
      <c r="I1366" s="13"/>
      <c r="J1366" s="13"/>
      <c r="K1366" s="13"/>
      <c r="L1366" s="15">
        <v>0</v>
      </c>
    </row>
    <row r="1367" spans="1:12">
      <c r="A1367" s="12"/>
      <c r="E1367" s="14"/>
      <c r="F1367" s="14"/>
      <c r="G1367" s="13">
        <v>0</v>
      </c>
      <c r="H1367" s="13">
        <v>0</v>
      </c>
      <c r="I1367" s="13"/>
      <c r="J1367" s="13"/>
      <c r="K1367" s="13"/>
      <c r="L1367" s="15">
        <v>0</v>
      </c>
    </row>
    <row r="1368" spans="1:12">
      <c r="A1368" s="12"/>
      <c r="E1368" s="14"/>
      <c r="F1368" s="14"/>
      <c r="G1368" s="13">
        <v>0</v>
      </c>
      <c r="H1368" s="13">
        <v>0</v>
      </c>
      <c r="I1368" s="13"/>
      <c r="J1368" s="13"/>
      <c r="K1368" s="13"/>
      <c r="L1368" s="15">
        <v>0</v>
      </c>
    </row>
    <row r="1369" spans="1:12">
      <c r="A1369" s="12"/>
      <c r="E1369" s="14"/>
      <c r="F1369" s="14"/>
      <c r="G1369" s="13">
        <v>0</v>
      </c>
      <c r="H1369" s="13">
        <v>0</v>
      </c>
      <c r="I1369" s="13"/>
      <c r="J1369" s="13"/>
      <c r="K1369" s="13"/>
      <c r="L1369" s="15">
        <v>0</v>
      </c>
    </row>
    <row r="1370" spans="1:12">
      <c r="A1370" s="12"/>
      <c r="E1370" s="14"/>
      <c r="F1370" s="14"/>
      <c r="G1370" s="13">
        <v>0</v>
      </c>
      <c r="H1370" s="13">
        <v>0</v>
      </c>
      <c r="I1370" s="13"/>
      <c r="J1370" s="13"/>
      <c r="K1370" s="13"/>
      <c r="L1370" s="15">
        <v>0</v>
      </c>
    </row>
    <row r="1371" spans="1:12">
      <c r="A1371" s="12"/>
      <c r="E1371" s="14"/>
      <c r="F1371" s="14"/>
      <c r="G1371" s="13">
        <v>0</v>
      </c>
      <c r="H1371" s="13">
        <v>0</v>
      </c>
      <c r="I1371" s="13"/>
      <c r="J1371" s="13"/>
      <c r="K1371" s="13"/>
      <c r="L1371" s="15">
        <v>0</v>
      </c>
    </row>
    <row r="1372" spans="1:12">
      <c r="A1372" s="12"/>
      <c r="E1372" s="14"/>
      <c r="F1372" s="14"/>
      <c r="G1372" s="13">
        <v>0</v>
      </c>
      <c r="H1372" s="13">
        <v>0</v>
      </c>
      <c r="I1372" s="13"/>
      <c r="J1372" s="13"/>
      <c r="K1372" s="13"/>
      <c r="L1372" s="15">
        <v>0</v>
      </c>
    </row>
    <row r="1373" spans="1:12">
      <c r="A1373" s="12"/>
      <c r="E1373" s="14"/>
      <c r="F1373" s="14"/>
      <c r="G1373" s="13">
        <v>0</v>
      </c>
      <c r="H1373" s="13">
        <v>0</v>
      </c>
      <c r="I1373" s="13"/>
      <c r="J1373" s="13"/>
      <c r="K1373" s="13"/>
      <c r="L1373" s="15">
        <v>0</v>
      </c>
    </row>
    <row r="1374" spans="1:12">
      <c r="A1374" s="12"/>
      <c r="E1374" s="14"/>
      <c r="F1374" s="14"/>
      <c r="G1374" s="13">
        <v>0</v>
      </c>
      <c r="H1374" s="13">
        <v>0</v>
      </c>
      <c r="I1374" s="13"/>
      <c r="J1374" s="13"/>
      <c r="K1374" s="13"/>
      <c r="L1374" s="15">
        <v>0</v>
      </c>
    </row>
    <row r="1375" spans="1:12">
      <c r="A1375" s="12"/>
      <c r="E1375" s="14"/>
      <c r="F1375" s="14"/>
      <c r="G1375" s="13">
        <v>0</v>
      </c>
      <c r="H1375" s="13">
        <v>0</v>
      </c>
      <c r="I1375" s="13"/>
      <c r="J1375" s="13"/>
      <c r="K1375" s="13"/>
      <c r="L1375" s="15">
        <v>0</v>
      </c>
    </row>
    <row r="1376" spans="1:12">
      <c r="A1376" s="12"/>
      <c r="E1376" s="14"/>
      <c r="F1376" s="14"/>
      <c r="G1376" s="13">
        <v>0</v>
      </c>
      <c r="H1376" s="13">
        <v>0</v>
      </c>
      <c r="I1376" s="13"/>
      <c r="J1376" s="13"/>
      <c r="K1376" s="13"/>
      <c r="L1376" s="15">
        <v>0</v>
      </c>
    </row>
    <row r="1377" spans="1:12">
      <c r="A1377" s="12"/>
      <c r="E1377" s="14"/>
      <c r="F1377" s="14"/>
      <c r="G1377" s="13">
        <v>0</v>
      </c>
      <c r="H1377" s="13">
        <v>0</v>
      </c>
      <c r="I1377" s="13"/>
      <c r="J1377" s="13"/>
      <c r="K1377" s="13"/>
      <c r="L1377" s="15">
        <v>0</v>
      </c>
    </row>
    <row r="1378" spans="1:12">
      <c r="A1378" s="12"/>
      <c r="E1378" s="14"/>
      <c r="F1378" s="14"/>
      <c r="G1378" s="13">
        <v>0</v>
      </c>
      <c r="H1378" s="13">
        <v>0</v>
      </c>
      <c r="I1378" s="13"/>
      <c r="J1378" s="13"/>
      <c r="K1378" s="13"/>
      <c r="L1378" s="15">
        <v>0</v>
      </c>
    </row>
    <row r="1379" spans="1:12">
      <c r="A1379" s="12"/>
      <c r="E1379" s="14"/>
      <c r="F1379" s="14"/>
      <c r="G1379" s="13">
        <v>0</v>
      </c>
      <c r="H1379" s="13">
        <v>0</v>
      </c>
      <c r="I1379" s="13"/>
      <c r="J1379" s="13"/>
      <c r="K1379" s="13"/>
      <c r="L1379" s="15">
        <v>0</v>
      </c>
    </row>
    <row r="1380" spans="1:12">
      <c r="A1380" s="12"/>
      <c r="E1380" s="14"/>
      <c r="F1380" s="14"/>
      <c r="G1380" s="13">
        <v>0</v>
      </c>
      <c r="H1380" s="13">
        <v>0</v>
      </c>
      <c r="I1380" s="13"/>
      <c r="J1380" s="13"/>
      <c r="K1380" s="13"/>
      <c r="L1380" s="15">
        <v>0</v>
      </c>
    </row>
    <row r="1381" spans="1:12">
      <c r="A1381" s="12"/>
      <c r="E1381" s="14"/>
      <c r="F1381" s="14"/>
      <c r="G1381" s="13">
        <v>0</v>
      </c>
      <c r="H1381" s="13">
        <v>0</v>
      </c>
      <c r="I1381" s="13"/>
      <c r="J1381" s="13"/>
      <c r="K1381" s="13"/>
      <c r="L1381" s="15">
        <v>0</v>
      </c>
    </row>
    <row r="1382" spans="1:12">
      <c r="A1382" s="12"/>
      <c r="E1382" s="14"/>
      <c r="F1382" s="14"/>
      <c r="G1382" s="13">
        <v>0</v>
      </c>
      <c r="H1382" s="13">
        <v>0</v>
      </c>
      <c r="I1382" s="13"/>
      <c r="J1382" s="13"/>
      <c r="K1382" s="13"/>
      <c r="L1382" s="15">
        <v>0</v>
      </c>
    </row>
    <row r="1383" spans="1:12">
      <c r="A1383" s="12"/>
      <c r="E1383" s="14"/>
      <c r="F1383" s="14"/>
      <c r="G1383" s="13">
        <v>0</v>
      </c>
      <c r="H1383" s="13">
        <v>0</v>
      </c>
      <c r="I1383" s="13"/>
      <c r="J1383" s="13"/>
      <c r="K1383" s="13"/>
      <c r="L1383" s="15">
        <v>0</v>
      </c>
    </row>
    <row r="1384" spans="1:12">
      <c r="A1384" s="12"/>
      <c r="E1384" s="14"/>
      <c r="F1384" s="14"/>
      <c r="G1384" s="13">
        <v>0</v>
      </c>
      <c r="H1384" s="13">
        <v>0</v>
      </c>
      <c r="I1384" s="13"/>
      <c r="J1384" s="13"/>
      <c r="K1384" s="13"/>
      <c r="L1384" s="15">
        <v>0</v>
      </c>
    </row>
    <row r="1385" spans="1:12">
      <c r="A1385" s="12"/>
      <c r="E1385" s="14"/>
      <c r="F1385" s="14"/>
      <c r="G1385" s="13">
        <v>0</v>
      </c>
      <c r="H1385" s="13">
        <v>0</v>
      </c>
      <c r="I1385" s="13"/>
      <c r="J1385" s="13"/>
      <c r="K1385" s="13"/>
      <c r="L1385" s="15">
        <v>0</v>
      </c>
    </row>
    <row r="1386" spans="1:12">
      <c r="A1386" s="12"/>
      <c r="E1386" s="14"/>
      <c r="F1386" s="14"/>
      <c r="G1386" s="13">
        <v>0</v>
      </c>
      <c r="H1386" s="13">
        <v>0</v>
      </c>
      <c r="I1386" s="13"/>
      <c r="J1386" s="13"/>
      <c r="K1386" s="13"/>
      <c r="L1386" s="15">
        <v>0</v>
      </c>
    </row>
    <row r="1387" spans="1:12">
      <c r="A1387" s="12"/>
      <c r="E1387" s="14"/>
      <c r="F1387" s="14"/>
      <c r="G1387" s="13">
        <v>0</v>
      </c>
      <c r="H1387" s="13">
        <v>0</v>
      </c>
      <c r="I1387" s="13"/>
      <c r="J1387" s="13"/>
      <c r="K1387" s="13"/>
      <c r="L1387" s="15">
        <v>0</v>
      </c>
    </row>
    <row r="1388" spans="1:12">
      <c r="A1388" s="12"/>
      <c r="E1388" s="14"/>
      <c r="F1388" s="14"/>
      <c r="G1388" s="13">
        <v>0</v>
      </c>
      <c r="H1388" s="13">
        <v>0</v>
      </c>
      <c r="I1388" s="13"/>
      <c r="J1388" s="13"/>
      <c r="K1388" s="13"/>
      <c r="L1388" s="15">
        <v>0</v>
      </c>
    </row>
    <row r="1389" spans="1:12">
      <c r="A1389" s="12"/>
      <c r="E1389" s="14"/>
      <c r="F1389" s="14"/>
      <c r="G1389" s="13">
        <v>0</v>
      </c>
      <c r="H1389" s="13">
        <v>0</v>
      </c>
      <c r="I1389" s="13"/>
      <c r="J1389" s="13"/>
      <c r="K1389" s="13"/>
      <c r="L1389" s="15">
        <v>0</v>
      </c>
    </row>
    <row r="1390" spans="1:12">
      <c r="A1390" s="12"/>
      <c r="E1390" s="14"/>
      <c r="F1390" s="14"/>
      <c r="G1390" s="13">
        <v>0</v>
      </c>
      <c r="H1390" s="13">
        <v>0</v>
      </c>
      <c r="I1390" s="13"/>
      <c r="J1390" s="13"/>
      <c r="K1390" s="13"/>
      <c r="L1390" s="15">
        <v>0</v>
      </c>
    </row>
    <row r="1391" spans="1:12">
      <c r="A1391" s="12"/>
      <c r="E1391" s="14"/>
      <c r="F1391" s="14"/>
      <c r="G1391" s="13">
        <v>0</v>
      </c>
      <c r="H1391" s="13">
        <v>0</v>
      </c>
      <c r="I1391" s="13"/>
      <c r="J1391" s="13"/>
      <c r="K1391" s="13"/>
      <c r="L1391" s="15">
        <v>0</v>
      </c>
    </row>
    <row r="1392" spans="1:12">
      <c r="A1392" s="12"/>
      <c r="E1392" s="14"/>
      <c r="F1392" s="14"/>
      <c r="G1392" s="13">
        <v>0</v>
      </c>
      <c r="H1392" s="13">
        <v>0</v>
      </c>
      <c r="I1392" s="13"/>
      <c r="J1392" s="13"/>
      <c r="K1392" s="13"/>
      <c r="L1392" s="15">
        <v>0</v>
      </c>
    </row>
    <row r="1393" spans="1:12">
      <c r="A1393" s="12"/>
      <c r="E1393" s="14"/>
      <c r="F1393" s="14"/>
      <c r="G1393" s="13">
        <v>0</v>
      </c>
      <c r="H1393" s="13">
        <v>0</v>
      </c>
      <c r="I1393" s="13"/>
      <c r="J1393" s="13"/>
      <c r="K1393" s="13"/>
      <c r="L1393" s="15">
        <v>0</v>
      </c>
    </row>
    <row r="1394" spans="1:12">
      <c r="A1394" s="12"/>
      <c r="E1394" s="14"/>
      <c r="F1394" s="14"/>
      <c r="G1394" s="13">
        <v>0</v>
      </c>
      <c r="H1394" s="13">
        <v>0</v>
      </c>
      <c r="I1394" s="13"/>
      <c r="J1394" s="13"/>
      <c r="K1394" s="13"/>
      <c r="L1394" s="15">
        <v>0</v>
      </c>
    </row>
    <row r="1395" spans="1:12">
      <c r="A1395" s="12"/>
      <c r="E1395" s="14"/>
      <c r="F1395" s="14"/>
      <c r="G1395" s="13">
        <v>0</v>
      </c>
      <c r="H1395" s="13">
        <v>0</v>
      </c>
      <c r="I1395" s="13"/>
      <c r="J1395" s="13"/>
      <c r="K1395" s="13"/>
      <c r="L1395" s="15">
        <v>0</v>
      </c>
    </row>
    <row r="1396" spans="1:12">
      <c r="A1396" s="12"/>
      <c r="E1396" s="14"/>
      <c r="F1396" s="14"/>
      <c r="G1396" s="13">
        <v>0</v>
      </c>
      <c r="H1396" s="13">
        <v>0</v>
      </c>
      <c r="I1396" s="13"/>
      <c r="J1396" s="13"/>
      <c r="K1396" s="13"/>
      <c r="L1396" s="15">
        <v>0</v>
      </c>
    </row>
    <row r="1397" spans="1:12">
      <c r="A1397" s="12"/>
      <c r="E1397" s="14"/>
      <c r="F1397" s="14"/>
      <c r="G1397" s="13">
        <v>0</v>
      </c>
      <c r="H1397" s="13">
        <v>0</v>
      </c>
      <c r="I1397" s="13"/>
      <c r="J1397" s="13"/>
      <c r="K1397" s="13"/>
      <c r="L1397" s="15">
        <v>0</v>
      </c>
    </row>
    <row r="1398" spans="1:12">
      <c r="A1398" s="12"/>
      <c r="E1398" s="14"/>
      <c r="F1398" s="14"/>
      <c r="G1398" s="13">
        <v>0</v>
      </c>
      <c r="H1398" s="13">
        <v>0</v>
      </c>
      <c r="I1398" s="13"/>
      <c r="J1398" s="13"/>
      <c r="K1398" s="13"/>
      <c r="L1398" s="15">
        <v>0</v>
      </c>
    </row>
    <row r="1399" spans="1:12">
      <c r="A1399" s="12"/>
      <c r="E1399" s="14"/>
      <c r="F1399" s="14"/>
      <c r="G1399" s="13">
        <v>0</v>
      </c>
      <c r="H1399" s="13">
        <v>0</v>
      </c>
      <c r="I1399" s="13"/>
      <c r="J1399" s="13"/>
      <c r="K1399" s="13"/>
      <c r="L1399" s="15">
        <v>0</v>
      </c>
    </row>
    <row r="1400" spans="1:12">
      <c r="A1400" s="12"/>
      <c r="E1400" s="14"/>
      <c r="F1400" s="14"/>
      <c r="G1400" s="13">
        <v>0</v>
      </c>
      <c r="H1400" s="13">
        <v>0</v>
      </c>
      <c r="I1400" s="13"/>
      <c r="J1400" s="13"/>
      <c r="K1400" s="13"/>
      <c r="L1400" s="15">
        <v>0</v>
      </c>
    </row>
    <row r="1401" spans="1:12">
      <c r="A1401" s="12"/>
      <c r="E1401" s="14"/>
      <c r="F1401" s="14"/>
      <c r="G1401" s="13">
        <v>0</v>
      </c>
      <c r="H1401" s="13">
        <v>0</v>
      </c>
      <c r="I1401" s="13"/>
      <c r="J1401" s="13"/>
      <c r="K1401" s="13"/>
      <c r="L1401" s="15">
        <v>0</v>
      </c>
    </row>
    <row r="1402" spans="1:12">
      <c r="A1402" s="12"/>
      <c r="E1402" s="14"/>
      <c r="F1402" s="14"/>
      <c r="G1402" s="13">
        <v>0</v>
      </c>
      <c r="H1402" s="13">
        <v>0</v>
      </c>
      <c r="I1402" s="13"/>
      <c r="J1402" s="13"/>
      <c r="K1402" s="13"/>
      <c r="L1402" s="15">
        <v>0</v>
      </c>
    </row>
    <row r="1403" spans="1:12">
      <c r="A1403" s="12"/>
      <c r="E1403" s="14"/>
      <c r="F1403" s="14"/>
      <c r="G1403" s="13">
        <v>0</v>
      </c>
      <c r="H1403" s="13">
        <v>0</v>
      </c>
      <c r="I1403" s="13"/>
      <c r="J1403" s="13"/>
      <c r="K1403" s="13"/>
      <c r="L1403" s="15">
        <v>0</v>
      </c>
    </row>
    <row r="1404" spans="1:12">
      <c r="A1404" s="12"/>
      <c r="E1404" s="14"/>
      <c r="F1404" s="14"/>
      <c r="G1404" s="13">
        <v>0</v>
      </c>
      <c r="H1404" s="13">
        <v>0</v>
      </c>
      <c r="I1404" s="13"/>
      <c r="J1404" s="13"/>
      <c r="K1404" s="13"/>
      <c r="L1404" s="15">
        <v>0</v>
      </c>
    </row>
    <row r="1405" spans="1:12">
      <c r="A1405" s="12"/>
      <c r="E1405" s="14"/>
      <c r="F1405" s="14"/>
      <c r="G1405" s="13">
        <v>0</v>
      </c>
      <c r="H1405" s="13">
        <v>0</v>
      </c>
      <c r="I1405" s="13"/>
      <c r="J1405" s="13"/>
      <c r="K1405" s="13"/>
      <c r="L1405" s="15">
        <v>0</v>
      </c>
    </row>
    <row r="1406" spans="1:12">
      <c r="A1406" s="12"/>
      <c r="E1406" s="14"/>
      <c r="F1406" s="14"/>
      <c r="G1406" s="13">
        <v>0</v>
      </c>
      <c r="H1406" s="13">
        <v>0</v>
      </c>
      <c r="I1406" s="13"/>
      <c r="J1406" s="13"/>
      <c r="K1406" s="13"/>
      <c r="L1406" s="15">
        <v>0</v>
      </c>
    </row>
    <row r="1407" spans="1:12">
      <c r="A1407" s="12"/>
      <c r="E1407" s="14"/>
      <c r="F1407" s="14"/>
      <c r="G1407" s="13">
        <v>0</v>
      </c>
      <c r="H1407" s="13">
        <v>0</v>
      </c>
      <c r="I1407" s="13"/>
      <c r="J1407" s="13"/>
      <c r="K1407" s="13"/>
      <c r="L1407" s="15">
        <v>0</v>
      </c>
    </row>
    <row r="1408" spans="1:12">
      <c r="A1408" s="12"/>
      <c r="E1408" s="14"/>
      <c r="F1408" s="14"/>
      <c r="G1408" s="13">
        <v>0</v>
      </c>
      <c r="H1408" s="13">
        <v>0</v>
      </c>
      <c r="I1408" s="13"/>
      <c r="J1408" s="13"/>
      <c r="K1408" s="13"/>
      <c r="L1408" s="15">
        <v>0</v>
      </c>
    </row>
    <row r="1409" spans="1:12">
      <c r="A1409" s="12"/>
      <c r="E1409" s="14"/>
      <c r="F1409" s="14"/>
      <c r="G1409" s="13">
        <v>0</v>
      </c>
      <c r="H1409" s="13">
        <v>0</v>
      </c>
      <c r="I1409" s="13"/>
      <c r="J1409" s="13"/>
      <c r="K1409" s="13"/>
      <c r="L1409" s="15">
        <v>0</v>
      </c>
    </row>
    <row r="1410" spans="1:12">
      <c r="A1410" s="12"/>
      <c r="E1410" s="14"/>
      <c r="F1410" s="14"/>
      <c r="G1410" s="13">
        <v>0</v>
      </c>
      <c r="H1410" s="13">
        <v>0</v>
      </c>
      <c r="I1410" s="13"/>
      <c r="J1410" s="13"/>
      <c r="K1410" s="13"/>
      <c r="L1410" s="15">
        <v>0</v>
      </c>
    </row>
    <row r="1411" spans="1:12">
      <c r="A1411" s="12"/>
      <c r="E1411" s="14"/>
      <c r="F1411" s="14"/>
      <c r="G1411" s="13">
        <v>0</v>
      </c>
      <c r="H1411" s="13">
        <v>0</v>
      </c>
      <c r="I1411" s="13"/>
      <c r="J1411" s="13"/>
      <c r="K1411" s="13"/>
      <c r="L1411" s="15">
        <v>0</v>
      </c>
    </row>
    <row r="1412" spans="1:12">
      <c r="A1412" s="12"/>
      <c r="E1412" s="14"/>
      <c r="F1412" s="14"/>
      <c r="G1412" s="13">
        <v>0</v>
      </c>
      <c r="H1412" s="13">
        <v>0</v>
      </c>
      <c r="I1412" s="13"/>
      <c r="J1412" s="13"/>
      <c r="K1412" s="13"/>
      <c r="L1412" s="15">
        <v>0</v>
      </c>
    </row>
    <row r="1413" spans="1:12">
      <c r="A1413" s="12"/>
      <c r="E1413" s="14"/>
      <c r="F1413" s="14"/>
      <c r="G1413" s="13">
        <v>0</v>
      </c>
      <c r="H1413" s="13">
        <v>0</v>
      </c>
      <c r="I1413" s="13"/>
      <c r="J1413" s="13"/>
      <c r="K1413" s="13"/>
      <c r="L1413" s="15">
        <v>0</v>
      </c>
    </row>
    <row r="1414" spans="1:12">
      <c r="A1414" s="12"/>
      <c r="E1414" s="14"/>
      <c r="F1414" s="14"/>
      <c r="G1414" s="13">
        <v>0</v>
      </c>
      <c r="H1414" s="13">
        <v>0</v>
      </c>
      <c r="I1414" s="13"/>
      <c r="J1414" s="13"/>
      <c r="K1414" s="13"/>
      <c r="L1414" s="15">
        <v>0</v>
      </c>
    </row>
    <row r="1415" spans="1:12">
      <c r="A1415" s="12"/>
      <c r="E1415" s="14"/>
      <c r="F1415" s="14"/>
      <c r="G1415" s="13">
        <v>0</v>
      </c>
      <c r="H1415" s="13">
        <v>0</v>
      </c>
      <c r="I1415" s="13"/>
      <c r="J1415" s="13"/>
      <c r="K1415" s="13"/>
      <c r="L1415" s="15">
        <v>0</v>
      </c>
    </row>
    <row r="1416" spans="1:12">
      <c r="A1416" s="12"/>
      <c r="E1416" s="14"/>
      <c r="F1416" s="14"/>
      <c r="G1416" s="13">
        <v>0</v>
      </c>
      <c r="H1416" s="13">
        <v>0</v>
      </c>
      <c r="I1416" s="13"/>
      <c r="J1416" s="13"/>
      <c r="K1416" s="13"/>
      <c r="L1416" s="15">
        <v>0</v>
      </c>
    </row>
    <row r="1417" spans="1:12">
      <c r="A1417" s="12"/>
      <c r="E1417" s="14"/>
      <c r="F1417" s="14"/>
      <c r="G1417" s="13">
        <v>0</v>
      </c>
      <c r="H1417" s="13">
        <v>0</v>
      </c>
      <c r="I1417" s="13"/>
      <c r="J1417" s="13"/>
      <c r="K1417" s="13"/>
      <c r="L1417" s="15">
        <v>0</v>
      </c>
    </row>
    <row r="1418" spans="1:12">
      <c r="A1418" s="12"/>
      <c r="E1418" s="14"/>
      <c r="F1418" s="14"/>
      <c r="G1418" s="13">
        <v>0</v>
      </c>
      <c r="H1418" s="13">
        <v>0</v>
      </c>
      <c r="I1418" s="13"/>
      <c r="J1418" s="13"/>
      <c r="K1418" s="13"/>
      <c r="L1418" s="15">
        <v>0</v>
      </c>
    </row>
    <row r="1419" spans="1:12">
      <c r="A1419" s="12"/>
      <c r="E1419" s="14"/>
      <c r="F1419" s="14"/>
      <c r="G1419" s="13">
        <v>0</v>
      </c>
      <c r="H1419" s="13">
        <v>0</v>
      </c>
      <c r="I1419" s="13"/>
      <c r="J1419" s="13"/>
      <c r="K1419" s="13"/>
      <c r="L1419" s="15">
        <v>0</v>
      </c>
    </row>
    <row r="1420" spans="1:12">
      <c r="A1420" s="12"/>
      <c r="E1420" s="14"/>
      <c r="F1420" s="14"/>
      <c r="G1420" s="13">
        <v>0</v>
      </c>
      <c r="H1420" s="13">
        <v>0</v>
      </c>
      <c r="I1420" s="13"/>
      <c r="J1420" s="13"/>
      <c r="K1420" s="13"/>
      <c r="L1420" s="15">
        <v>0</v>
      </c>
    </row>
    <row r="1421" spans="1:12">
      <c r="A1421" s="12"/>
      <c r="E1421" s="14"/>
      <c r="F1421" s="14"/>
      <c r="G1421" s="13">
        <v>0</v>
      </c>
      <c r="H1421" s="13">
        <v>0</v>
      </c>
      <c r="I1421" s="13"/>
      <c r="J1421" s="13"/>
      <c r="K1421" s="13"/>
      <c r="L1421" s="15">
        <v>0</v>
      </c>
    </row>
    <row r="1422" spans="1:12">
      <c r="A1422" s="12"/>
      <c r="E1422" s="14"/>
      <c r="F1422" s="14"/>
      <c r="G1422" s="13">
        <v>0</v>
      </c>
      <c r="H1422" s="13">
        <v>0</v>
      </c>
      <c r="I1422" s="13"/>
      <c r="J1422" s="13"/>
      <c r="K1422" s="13"/>
      <c r="L1422" s="15">
        <v>0</v>
      </c>
    </row>
    <row r="1423" spans="1:12">
      <c r="A1423" s="12"/>
      <c r="E1423" s="14"/>
      <c r="F1423" s="14"/>
      <c r="G1423" s="13">
        <v>0</v>
      </c>
      <c r="H1423" s="13">
        <v>0</v>
      </c>
      <c r="I1423" s="13"/>
      <c r="J1423" s="13"/>
      <c r="K1423" s="13"/>
      <c r="L1423" s="15">
        <v>0</v>
      </c>
    </row>
    <row r="1424" spans="1:12">
      <c r="A1424" s="12"/>
      <c r="E1424" s="14"/>
      <c r="F1424" s="14"/>
      <c r="G1424" s="13">
        <v>0</v>
      </c>
      <c r="H1424" s="13">
        <v>0</v>
      </c>
      <c r="I1424" s="13"/>
      <c r="J1424" s="13"/>
      <c r="K1424" s="13"/>
      <c r="L1424" s="15">
        <v>0</v>
      </c>
    </row>
    <row r="1425" spans="1:12">
      <c r="A1425" s="12"/>
      <c r="E1425" s="14"/>
      <c r="F1425" s="14"/>
      <c r="G1425" s="13">
        <v>0</v>
      </c>
      <c r="H1425" s="13">
        <v>0</v>
      </c>
      <c r="I1425" s="13"/>
      <c r="J1425" s="13"/>
      <c r="K1425" s="13"/>
      <c r="L1425" s="15">
        <v>0</v>
      </c>
    </row>
    <row r="1426" spans="1:12">
      <c r="A1426" s="12"/>
      <c r="E1426" s="14"/>
      <c r="F1426" s="14"/>
      <c r="G1426" s="13">
        <v>0</v>
      </c>
      <c r="H1426" s="13">
        <v>0</v>
      </c>
      <c r="I1426" s="13"/>
      <c r="J1426" s="13"/>
      <c r="K1426" s="13"/>
      <c r="L1426" s="15">
        <v>0</v>
      </c>
    </row>
    <row r="1427" spans="1:12">
      <c r="A1427" s="12"/>
      <c r="E1427" s="14"/>
      <c r="F1427" s="14"/>
      <c r="G1427" s="13">
        <v>0</v>
      </c>
      <c r="H1427" s="13">
        <v>0</v>
      </c>
      <c r="I1427" s="13"/>
      <c r="J1427" s="13"/>
      <c r="K1427" s="13"/>
      <c r="L1427" s="15">
        <v>0</v>
      </c>
    </row>
    <row r="1428" spans="1:12">
      <c r="A1428" s="12"/>
      <c r="E1428" s="14"/>
      <c r="F1428" s="14"/>
      <c r="G1428" s="13">
        <v>0</v>
      </c>
      <c r="H1428" s="13">
        <v>0</v>
      </c>
      <c r="I1428" s="13"/>
      <c r="J1428" s="13"/>
      <c r="K1428" s="13"/>
      <c r="L1428" s="15">
        <v>0</v>
      </c>
    </row>
    <row r="1429" spans="1:12">
      <c r="A1429" s="12"/>
      <c r="E1429" s="14"/>
      <c r="F1429" s="14"/>
      <c r="G1429" s="13">
        <v>0</v>
      </c>
      <c r="H1429" s="13">
        <v>0</v>
      </c>
      <c r="I1429" s="13"/>
      <c r="J1429" s="13"/>
      <c r="K1429" s="13"/>
      <c r="L1429" s="15">
        <v>0</v>
      </c>
    </row>
    <row r="1430" spans="1:12">
      <c r="A1430" s="12"/>
      <c r="E1430" s="14"/>
      <c r="F1430" s="14"/>
      <c r="G1430" s="13">
        <v>0</v>
      </c>
      <c r="H1430" s="13">
        <v>0</v>
      </c>
      <c r="I1430" s="13"/>
      <c r="J1430" s="13"/>
      <c r="K1430" s="13"/>
      <c r="L1430" s="15">
        <v>0</v>
      </c>
    </row>
    <row r="1431" spans="1:12">
      <c r="A1431" s="12"/>
      <c r="E1431" s="14"/>
      <c r="F1431" s="14"/>
      <c r="G1431" s="13">
        <v>0</v>
      </c>
      <c r="H1431" s="13">
        <v>0</v>
      </c>
      <c r="I1431" s="13"/>
      <c r="J1431" s="13"/>
      <c r="K1431" s="13"/>
      <c r="L1431" s="15">
        <v>0</v>
      </c>
    </row>
    <row r="1432" spans="1:12">
      <c r="A1432" s="12"/>
      <c r="E1432" s="14"/>
      <c r="F1432" s="14"/>
      <c r="G1432" s="13">
        <v>0</v>
      </c>
      <c r="H1432" s="13">
        <v>0</v>
      </c>
      <c r="I1432" s="13"/>
      <c r="J1432" s="13"/>
      <c r="K1432" s="13"/>
      <c r="L1432" s="15">
        <v>0</v>
      </c>
    </row>
    <row r="1433" spans="1:12">
      <c r="A1433" s="12"/>
      <c r="E1433" s="14"/>
      <c r="F1433" s="14"/>
      <c r="G1433" s="13">
        <v>0</v>
      </c>
      <c r="H1433" s="13">
        <v>0</v>
      </c>
      <c r="I1433" s="13"/>
      <c r="J1433" s="13"/>
      <c r="K1433" s="13"/>
      <c r="L1433" s="15">
        <v>0</v>
      </c>
    </row>
    <row r="1434" spans="1:12">
      <c r="A1434" s="12"/>
      <c r="E1434" s="14"/>
      <c r="F1434" s="14"/>
      <c r="G1434" s="13">
        <v>0</v>
      </c>
      <c r="H1434" s="13">
        <v>0</v>
      </c>
      <c r="I1434" s="13"/>
      <c r="J1434" s="13"/>
      <c r="K1434" s="13"/>
      <c r="L1434" s="15">
        <v>0</v>
      </c>
    </row>
    <row r="1435" spans="1:12">
      <c r="A1435" s="12"/>
      <c r="E1435" s="14"/>
      <c r="F1435" s="14"/>
      <c r="G1435" s="13">
        <v>0</v>
      </c>
      <c r="H1435" s="13">
        <v>0</v>
      </c>
      <c r="I1435" s="13"/>
      <c r="J1435" s="13"/>
      <c r="K1435" s="13"/>
      <c r="L1435" s="15">
        <v>0</v>
      </c>
    </row>
    <row r="1436" spans="1:12">
      <c r="A1436" s="12"/>
      <c r="E1436" s="14"/>
      <c r="F1436" s="14"/>
      <c r="G1436" s="13">
        <v>0</v>
      </c>
      <c r="H1436" s="13">
        <v>0</v>
      </c>
      <c r="I1436" s="13"/>
      <c r="J1436" s="13"/>
      <c r="K1436" s="13"/>
      <c r="L1436" s="15">
        <v>0</v>
      </c>
    </row>
    <row r="1437" spans="1:12">
      <c r="A1437" s="12"/>
      <c r="E1437" s="14"/>
      <c r="F1437" s="14"/>
      <c r="G1437" s="13">
        <v>0</v>
      </c>
      <c r="H1437" s="13">
        <v>0</v>
      </c>
      <c r="I1437" s="13"/>
      <c r="J1437" s="13"/>
      <c r="K1437" s="13"/>
      <c r="L1437" s="15">
        <v>0</v>
      </c>
    </row>
    <row r="1438" spans="1:12">
      <c r="A1438" s="12"/>
      <c r="E1438" s="14"/>
      <c r="F1438" s="14"/>
      <c r="G1438" s="13">
        <v>0</v>
      </c>
      <c r="H1438" s="13">
        <v>0</v>
      </c>
      <c r="I1438" s="13"/>
      <c r="J1438" s="13"/>
      <c r="K1438" s="13"/>
      <c r="L1438" s="15">
        <v>0</v>
      </c>
    </row>
    <row r="1439" spans="1:12">
      <c r="A1439" s="12"/>
      <c r="E1439" s="14"/>
      <c r="F1439" s="14"/>
      <c r="G1439" s="13">
        <v>0</v>
      </c>
      <c r="H1439" s="13">
        <v>0</v>
      </c>
      <c r="I1439" s="13"/>
      <c r="J1439" s="13"/>
      <c r="K1439" s="13"/>
      <c r="L1439" s="15">
        <v>0</v>
      </c>
    </row>
    <row r="1440" spans="1:12">
      <c r="A1440" s="12"/>
      <c r="E1440" s="14"/>
      <c r="F1440" s="14"/>
      <c r="G1440" s="13">
        <v>0</v>
      </c>
      <c r="H1440" s="13">
        <v>0</v>
      </c>
      <c r="I1440" s="13"/>
      <c r="J1440" s="13"/>
      <c r="K1440" s="13"/>
      <c r="L1440" s="15">
        <v>0</v>
      </c>
    </row>
    <row r="1441" spans="1:12">
      <c r="A1441" s="12"/>
      <c r="E1441" s="14"/>
      <c r="F1441" s="14"/>
      <c r="G1441" s="13">
        <v>0</v>
      </c>
      <c r="H1441" s="13">
        <v>0</v>
      </c>
      <c r="I1441" s="13"/>
      <c r="J1441" s="13"/>
      <c r="K1441" s="13"/>
      <c r="L1441" s="15">
        <v>0</v>
      </c>
    </row>
    <row r="1442" spans="1:12">
      <c r="A1442" s="12"/>
      <c r="E1442" s="14"/>
      <c r="F1442" s="14"/>
      <c r="G1442" s="13">
        <v>0</v>
      </c>
      <c r="H1442" s="13">
        <v>0</v>
      </c>
      <c r="I1442" s="13"/>
      <c r="J1442" s="13"/>
      <c r="K1442" s="13"/>
      <c r="L1442" s="15">
        <v>0</v>
      </c>
    </row>
    <row r="1443" spans="1:12">
      <c r="A1443" s="12"/>
      <c r="E1443" s="14"/>
      <c r="F1443" s="14"/>
      <c r="G1443" s="13">
        <v>0</v>
      </c>
      <c r="H1443" s="13">
        <v>0</v>
      </c>
      <c r="I1443" s="13"/>
      <c r="J1443" s="13"/>
      <c r="K1443" s="13"/>
      <c r="L1443" s="15">
        <v>0</v>
      </c>
    </row>
    <row r="1444" spans="1:12">
      <c r="A1444" s="12"/>
      <c r="E1444" s="14"/>
      <c r="F1444" s="14"/>
      <c r="G1444" s="13">
        <v>0</v>
      </c>
      <c r="H1444" s="13">
        <v>0</v>
      </c>
      <c r="I1444" s="13"/>
      <c r="J1444" s="13"/>
      <c r="K1444" s="13"/>
      <c r="L1444" s="15">
        <v>0</v>
      </c>
    </row>
    <row r="1445" spans="1:12">
      <c r="A1445" s="12"/>
      <c r="E1445" s="14"/>
      <c r="F1445" s="14"/>
      <c r="G1445" s="13">
        <v>0</v>
      </c>
      <c r="H1445" s="13">
        <v>0</v>
      </c>
      <c r="I1445" s="13"/>
      <c r="J1445" s="13"/>
      <c r="K1445" s="13"/>
      <c r="L1445" s="15">
        <v>0</v>
      </c>
    </row>
    <row r="1446" spans="1:12">
      <c r="A1446" s="12"/>
      <c r="E1446" s="14"/>
      <c r="F1446" s="14"/>
      <c r="G1446" s="13">
        <v>0</v>
      </c>
      <c r="H1446" s="13">
        <v>0</v>
      </c>
      <c r="I1446" s="13"/>
      <c r="J1446" s="13"/>
      <c r="K1446" s="13"/>
      <c r="L1446" s="15">
        <v>0</v>
      </c>
    </row>
    <row r="1447" spans="1:12">
      <c r="A1447" s="12"/>
      <c r="E1447" s="14"/>
      <c r="F1447" s="14"/>
      <c r="G1447" s="13">
        <v>0</v>
      </c>
      <c r="H1447" s="13">
        <v>0</v>
      </c>
      <c r="I1447" s="13"/>
      <c r="J1447" s="13"/>
      <c r="K1447" s="13"/>
      <c r="L1447" s="15">
        <v>0</v>
      </c>
    </row>
    <row r="1448" spans="1:12">
      <c r="A1448" s="12"/>
      <c r="E1448" s="14"/>
      <c r="F1448" s="14"/>
      <c r="G1448" s="13">
        <v>0</v>
      </c>
      <c r="H1448" s="13">
        <v>0</v>
      </c>
      <c r="I1448" s="13"/>
      <c r="J1448" s="13"/>
      <c r="K1448" s="13"/>
      <c r="L1448" s="15">
        <v>0</v>
      </c>
    </row>
    <row r="1449" spans="1:12">
      <c r="A1449" s="12"/>
      <c r="E1449" s="14"/>
      <c r="F1449" s="14"/>
      <c r="G1449" s="13">
        <v>0</v>
      </c>
      <c r="H1449" s="13">
        <v>0</v>
      </c>
      <c r="I1449" s="13"/>
      <c r="J1449" s="13"/>
      <c r="K1449" s="13"/>
      <c r="L1449" s="15">
        <v>0</v>
      </c>
    </row>
    <row r="1450" spans="1:12">
      <c r="A1450" s="12"/>
      <c r="E1450" s="14"/>
      <c r="F1450" s="14"/>
      <c r="G1450" s="13">
        <v>0</v>
      </c>
      <c r="H1450" s="13">
        <v>0</v>
      </c>
      <c r="I1450" s="13"/>
      <c r="J1450" s="13"/>
      <c r="K1450" s="13"/>
      <c r="L1450" s="15">
        <v>0</v>
      </c>
    </row>
    <row r="1451" spans="1:12">
      <c r="A1451" s="12"/>
      <c r="E1451" s="14"/>
      <c r="F1451" s="14"/>
      <c r="G1451" s="13">
        <v>0</v>
      </c>
      <c r="H1451" s="13">
        <v>0</v>
      </c>
      <c r="I1451" s="13"/>
      <c r="J1451" s="13"/>
      <c r="K1451" s="13"/>
      <c r="L1451" s="15">
        <v>0</v>
      </c>
    </row>
    <row r="1452" spans="1:12">
      <c r="A1452" s="12"/>
      <c r="E1452" s="14"/>
      <c r="F1452" s="14"/>
      <c r="G1452" s="13">
        <v>0</v>
      </c>
      <c r="H1452" s="13">
        <v>0</v>
      </c>
      <c r="I1452" s="13"/>
      <c r="J1452" s="13"/>
      <c r="K1452" s="13"/>
      <c r="L1452" s="15">
        <v>0</v>
      </c>
    </row>
    <row r="1453" spans="1:12">
      <c r="A1453" s="12"/>
      <c r="E1453" s="14"/>
      <c r="F1453" s="14"/>
      <c r="G1453" s="13">
        <v>0</v>
      </c>
      <c r="H1453" s="13">
        <v>0</v>
      </c>
      <c r="I1453" s="13"/>
      <c r="J1453" s="13"/>
      <c r="K1453" s="13"/>
      <c r="L1453" s="15">
        <v>0</v>
      </c>
    </row>
    <row r="1454" spans="1:12">
      <c r="A1454" s="12"/>
      <c r="E1454" s="14"/>
      <c r="F1454" s="14"/>
      <c r="G1454" s="13">
        <v>0</v>
      </c>
      <c r="H1454" s="13">
        <v>0</v>
      </c>
      <c r="I1454" s="13"/>
      <c r="J1454" s="13"/>
      <c r="K1454" s="13"/>
      <c r="L1454" s="15">
        <v>0</v>
      </c>
    </row>
    <row r="1455" spans="1:12">
      <c r="A1455" s="12"/>
      <c r="E1455" s="14"/>
      <c r="F1455" s="14"/>
      <c r="G1455" s="13">
        <v>0</v>
      </c>
      <c r="H1455" s="13">
        <v>0</v>
      </c>
      <c r="I1455" s="13"/>
      <c r="J1455" s="13"/>
      <c r="K1455" s="13"/>
      <c r="L1455" s="15">
        <v>0</v>
      </c>
    </row>
    <row r="1456" spans="1:12">
      <c r="A1456" s="12"/>
      <c r="E1456" s="14"/>
      <c r="F1456" s="14"/>
      <c r="G1456" s="13">
        <v>0</v>
      </c>
      <c r="H1456" s="13">
        <v>0</v>
      </c>
      <c r="I1456" s="13"/>
      <c r="J1456" s="13"/>
      <c r="K1456" s="13"/>
      <c r="L1456" s="15">
        <v>0</v>
      </c>
    </row>
    <row r="1457" spans="1:12">
      <c r="A1457" s="12"/>
      <c r="E1457" s="14"/>
      <c r="F1457" s="14"/>
      <c r="G1457" s="13">
        <v>0</v>
      </c>
      <c r="H1457" s="13">
        <v>0</v>
      </c>
      <c r="I1457" s="13"/>
      <c r="J1457" s="13"/>
      <c r="K1457" s="13"/>
      <c r="L1457" s="15">
        <v>0</v>
      </c>
    </row>
    <row r="1458" spans="1:12">
      <c r="A1458" s="12"/>
      <c r="E1458" s="14"/>
      <c r="F1458" s="14"/>
      <c r="G1458" s="13">
        <v>0</v>
      </c>
      <c r="H1458" s="13">
        <v>0</v>
      </c>
      <c r="I1458" s="13"/>
      <c r="J1458" s="13"/>
      <c r="K1458" s="13"/>
      <c r="L1458" s="15">
        <v>0</v>
      </c>
    </row>
    <row r="1459" spans="1:12">
      <c r="A1459" s="12"/>
      <c r="E1459" s="14"/>
      <c r="F1459" s="14"/>
      <c r="G1459" s="13">
        <v>0</v>
      </c>
      <c r="H1459" s="13">
        <v>0</v>
      </c>
      <c r="I1459" s="13"/>
      <c r="J1459" s="13"/>
      <c r="K1459" s="13"/>
      <c r="L1459" s="15">
        <v>0</v>
      </c>
    </row>
    <row r="1460" spans="1:12">
      <c r="A1460" s="12"/>
      <c r="E1460" s="14"/>
      <c r="F1460" s="14"/>
      <c r="G1460" s="13">
        <v>0</v>
      </c>
      <c r="H1460" s="13">
        <v>0</v>
      </c>
      <c r="I1460" s="13"/>
      <c r="J1460" s="13"/>
      <c r="K1460" s="13"/>
      <c r="L1460" s="15">
        <v>0</v>
      </c>
    </row>
    <row r="1461" spans="1:12">
      <c r="A1461" s="12"/>
      <c r="E1461" s="14"/>
      <c r="F1461" s="14"/>
      <c r="G1461" s="13">
        <v>0</v>
      </c>
      <c r="H1461" s="13">
        <v>0</v>
      </c>
      <c r="I1461" s="13"/>
      <c r="J1461" s="13"/>
      <c r="K1461" s="13"/>
      <c r="L1461" s="15">
        <v>0</v>
      </c>
    </row>
    <row r="1462" spans="1:12">
      <c r="A1462" s="12"/>
      <c r="E1462" s="14"/>
      <c r="F1462" s="14"/>
      <c r="G1462" s="13">
        <v>0</v>
      </c>
      <c r="H1462" s="13">
        <v>0</v>
      </c>
      <c r="I1462" s="13"/>
      <c r="J1462" s="13"/>
      <c r="K1462" s="13"/>
      <c r="L1462" s="15">
        <v>0</v>
      </c>
    </row>
    <row r="1463" spans="1:12">
      <c r="A1463" s="12"/>
      <c r="E1463" s="14"/>
      <c r="F1463" s="14"/>
      <c r="G1463" s="13">
        <v>0</v>
      </c>
      <c r="H1463" s="13">
        <v>0</v>
      </c>
      <c r="I1463" s="13"/>
      <c r="J1463" s="13"/>
      <c r="K1463" s="13"/>
      <c r="L1463" s="15">
        <v>0</v>
      </c>
    </row>
    <row r="1464" spans="1:12">
      <c r="A1464" s="12"/>
      <c r="E1464" s="14"/>
      <c r="F1464" s="14"/>
      <c r="G1464" s="13">
        <v>0</v>
      </c>
      <c r="H1464" s="13">
        <v>0</v>
      </c>
      <c r="I1464" s="13"/>
      <c r="J1464" s="13"/>
      <c r="K1464" s="13"/>
      <c r="L1464" s="15">
        <v>0</v>
      </c>
    </row>
    <row r="1465" spans="1:12">
      <c r="A1465" s="12"/>
      <c r="E1465" s="14"/>
      <c r="F1465" s="14"/>
      <c r="G1465" s="13">
        <v>0</v>
      </c>
      <c r="H1465" s="13">
        <v>0</v>
      </c>
      <c r="I1465" s="13"/>
      <c r="J1465" s="13"/>
      <c r="K1465" s="13"/>
      <c r="L1465" s="15">
        <v>0</v>
      </c>
    </row>
    <row r="1466" spans="1:12">
      <c r="A1466" s="12"/>
      <c r="E1466" s="14"/>
      <c r="F1466" s="14"/>
      <c r="G1466" s="13">
        <v>0</v>
      </c>
      <c r="H1466" s="13">
        <v>0</v>
      </c>
      <c r="I1466" s="13"/>
      <c r="J1466" s="13"/>
      <c r="K1466" s="13"/>
      <c r="L1466" s="15">
        <v>0</v>
      </c>
    </row>
    <row r="1467" spans="1:12">
      <c r="A1467" s="12"/>
      <c r="E1467" s="14"/>
      <c r="F1467" s="14"/>
      <c r="G1467" s="13">
        <v>0</v>
      </c>
      <c r="H1467" s="13">
        <v>0</v>
      </c>
      <c r="I1467" s="13"/>
      <c r="J1467" s="13"/>
      <c r="K1467" s="13"/>
      <c r="L1467" s="15">
        <v>0</v>
      </c>
    </row>
    <row r="1468" spans="1:12">
      <c r="A1468" s="12"/>
      <c r="E1468" s="14"/>
      <c r="F1468" s="14"/>
      <c r="G1468" s="13">
        <v>0</v>
      </c>
      <c r="H1468" s="13">
        <v>0</v>
      </c>
      <c r="I1468" s="13"/>
      <c r="J1468" s="13"/>
      <c r="K1468" s="13"/>
      <c r="L1468" s="15">
        <v>0</v>
      </c>
    </row>
    <row r="1469" spans="1:12">
      <c r="A1469" s="12"/>
      <c r="E1469" s="14"/>
      <c r="F1469" s="14"/>
      <c r="G1469" s="13">
        <v>0</v>
      </c>
      <c r="H1469" s="13">
        <v>0</v>
      </c>
      <c r="I1469" s="13"/>
      <c r="J1469" s="13"/>
      <c r="K1469" s="13"/>
      <c r="L1469" s="15">
        <v>0</v>
      </c>
    </row>
    <row r="1470" spans="1:12">
      <c r="A1470" s="12"/>
      <c r="E1470" s="14"/>
      <c r="F1470" s="14"/>
      <c r="G1470" s="13">
        <v>0</v>
      </c>
      <c r="H1470" s="13">
        <v>0</v>
      </c>
      <c r="I1470" s="13"/>
      <c r="J1470" s="13"/>
      <c r="K1470" s="13"/>
      <c r="L1470" s="15">
        <v>0</v>
      </c>
    </row>
    <row r="1471" spans="1:12">
      <c r="A1471" s="12"/>
      <c r="E1471" s="14"/>
      <c r="F1471" s="14"/>
      <c r="G1471" s="13">
        <v>0</v>
      </c>
      <c r="H1471" s="13">
        <v>0</v>
      </c>
      <c r="I1471" s="13"/>
      <c r="J1471" s="13"/>
      <c r="K1471" s="13"/>
      <c r="L1471" s="15">
        <v>0</v>
      </c>
    </row>
    <row r="1472" spans="1:12">
      <c r="A1472" s="12"/>
      <c r="E1472" s="14"/>
      <c r="F1472" s="14"/>
      <c r="G1472" s="13">
        <v>0</v>
      </c>
      <c r="H1472" s="13">
        <v>0</v>
      </c>
      <c r="I1472" s="13"/>
      <c r="J1472" s="13"/>
      <c r="K1472" s="13"/>
      <c r="L1472" s="15">
        <v>0</v>
      </c>
    </row>
    <row r="1473" spans="1:12">
      <c r="A1473" s="12"/>
      <c r="E1473" s="14"/>
      <c r="F1473" s="14"/>
      <c r="G1473" s="13">
        <v>0</v>
      </c>
      <c r="H1473" s="13">
        <v>0</v>
      </c>
      <c r="I1473" s="13"/>
      <c r="J1473" s="13"/>
      <c r="K1473" s="13"/>
      <c r="L1473" s="15">
        <v>0</v>
      </c>
    </row>
    <row r="1474" spans="1:12">
      <c r="A1474" s="12"/>
      <c r="E1474" s="14"/>
      <c r="F1474" s="14"/>
      <c r="G1474" s="13">
        <v>0</v>
      </c>
      <c r="H1474" s="13">
        <v>0</v>
      </c>
      <c r="I1474" s="13"/>
      <c r="J1474" s="13"/>
      <c r="K1474" s="13"/>
      <c r="L1474" s="15">
        <v>0</v>
      </c>
    </row>
    <row r="1475" spans="1:12">
      <c r="A1475" s="12"/>
      <c r="E1475" s="14"/>
      <c r="F1475" s="14"/>
      <c r="G1475" s="13">
        <v>0</v>
      </c>
      <c r="H1475" s="13">
        <v>0</v>
      </c>
      <c r="I1475" s="13"/>
      <c r="J1475" s="13"/>
      <c r="K1475" s="13"/>
      <c r="L1475" s="15">
        <v>0</v>
      </c>
    </row>
    <row r="1476" spans="1:12">
      <c r="A1476" s="12"/>
      <c r="E1476" s="14"/>
      <c r="F1476" s="14"/>
      <c r="G1476" s="13">
        <v>0</v>
      </c>
      <c r="H1476" s="13">
        <v>0</v>
      </c>
      <c r="I1476" s="13"/>
      <c r="J1476" s="13"/>
      <c r="K1476" s="13"/>
      <c r="L1476" s="15">
        <v>0</v>
      </c>
    </row>
    <row r="1477" spans="1:12">
      <c r="A1477" s="12"/>
      <c r="E1477" s="14"/>
      <c r="F1477" s="14"/>
      <c r="G1477" s="13">
        <v>0</v>
      </c>
      <c r="H1477" s="13">
        <v>0</v>
      </c>
      <c r="I1477" s="13"/>
      <c r="J1477" s="13"/>
      <c r="K1477" s="13"/>
      <c r="L1477" s="15">
        <v>0</v>
      </c>
    </row>
    <row r="1478" spans="1:12">
      <c r="A1478" s="12"/>
      <c r="E1478" s="14"/>
      <c r="F1478" s="14"/>
      <c r="G1478" s="13">
        <v>0</v>
      </c>
      <c r="H1478" s="13">
        <v>0</v>
      </c>
      <c r="I1478" s="13"/>
      <c r="J1478" s="13"/>
      <c r="K1478" s="13"/>
      <c r="L1478" s="15">
        <v>0</v>
      </c>
    </row>
    <row r="1479" spans="1:12">
      <c r="A1479" s="12"/>
      <c r="E1479" s="14"/>
      <c r="F1479" s="14"/>
      <c r="G1479" s="13">
        <v>0</v>
      </c>
      <c r="H1479" s="13">
        <v>0</v>
      </c>
      <c r="I1479" s="13"/>
      <c r="J1479" s="13"/>
      <c r="K1479" s="13"/>
      <c r="L1479" s="15">
        <v>0</v>
      </c>
    </row>
    <row r="1480" spans="1:12">
      <c r="A1480" s="12"/>
      <c r="E1480" s="14"/>
      <c r="F1480" s="14"/>
      <c r="G1480" s="13">
        <v>0</v>
      </c>
      <c r="H1480" s="13">
        <v>0</v>
      </c>
      <c r="I1480" s="13"/>
      <c r="J1480" s="13"/>
      <c r="K1480" s="13"/>
      <c r="L1480" s="15">
        <v>0</v>
      </c>
    </row>
    <row r="1481" spans="1:12">
      <c r="A1481" s="12"/>
      <c r="E1481" s="14"/>
      <c r="F1481" s="14"/>
      <c r="G1481" s="13">
        <v>0</v>
      </c>
      <c r="H1481" s="13">
        <v>0</v>
      </c>
      <c r="I1481" s="13"/>
      <c r="J1481" s="13"/>
      <c r="K1481" s="13"/>
      <c r="L1481" s="15">
        <v>0</v>
      </c>
    </row>
    <row r="1482" spans="1:12">
      <c r="A1482" s="12"/>
      <c r="E1482" s="14"/>
      <c r="F1482" s="14"/>
      <c r="G1482" s="13">
        <v>0</v>
      </c>
      <c r="H1482" s="13">
        <v>0</v>
      </c>
      <c r="I1482" s="13"/>
      <c r="J1482" s="13"/>
      <c r="K1482" s="13"/>
      <c r="L1482" s="15">
        <v>0</v>
      </c>
    </row>
    <row r="1483" spans="1:12">
      <c r="A1483" s="12"/>
      <c r="E1483" s="14"/>
      <c r="F1483" s="14"/>
      <c r="G1483" s="13">
        <v>0</v>
      </c>
      <c r="H1483" s="13">
        <v>0</v>
      </c>
      <c r="I1483" s="13"/>
      <c r="J1483" s="13"/>
      <c r="K1483" s="13"/>
      <c r="L1483" s="15">
        <v>0</v>
      </c>
    </row>
    <row r="1484" spans="1:12">
      <c r="A1484" s="12"/>
      <c r="E1484" s="14"/>
      <c r="F1484" s="14"/>
      <c r="G1484" s="13">
        <v>0</v>
      </c>
      <c r="H1484" s="13">
        <v>0</v>
      </c>
      <c r="I1484" s="13"/>
      <c r="J1484" s="13"/>
      <c r="K1484" s="13"/>
      <c r="L1484" s="15">
        <v>0</v>
      </c>
    </row>
    <row r="1485" spans="1:12">
      <c r="A1485" s="12"/>
      <c r="E1485" s="14"/>
      <c r="F1485" s="14"/>
      <c r="G1485" s="13">
        <v>0</v>
      </c>
      <c r="H1485" s="13">
        <v>0</v>
      </c>
      <c r="I1485" s="13"/>
      <c r="J1485" s="13"/>
      <c r="K1485" s="13"/>
      <c r="L1485" s="15">
        <v>0</v>
      </c>
    </row>
    <row r="1486" spans="1:12">
      <c r="A1486" s="12"/>
      <c r="E1486" s="14"/>
      <c r="F1486" s="14"/>
      <c r="G1486" s="13">
        <v>0</v>
      </c>
      <c r="H1486" s="13">
        <v>0</v>
      </c>
      <c r="I1486" s="13"/>
      <c r="J1486" s="13"/>
      <c r="K1486" s="13"/>
      <c r="L1486" s="15">
        <v>0</v>
      </c>
    </row>
    <row r="1487" spans="1:12">
      <c r="A1487" s="12"/>
      <c r="E1487" s="14"/>
      <c r="F1487" s="14"/>
      <c r="G1487" s="13">
        <v>0</v>
      </c>
      <c r="H1487" s="13">
        <v>0</v>
      </c>
      <c r="I1487" s="13"/>
      <c r="J1487" s="13"/>
      <c r="K1487" s="13"/>
      <c r="L1487" s="15">
        <v>0</v>
      </c>
    </row>
    <row r="1488" spans="1:12">
      <c r="A1488" s="12"/>
      <c r="E1488" s="14"/>
      <c r="F1488" s="14"/>
      <c r="G1488" s="13">
        <v>0</v>
      </c>
      <c r="H1488" s="13">
        <v>0</v>
      </c>
      <c r="I1488" s="13"/>
      <c r="J1488" s="13"/>
      <c r="K1488" s="13"/>
      <c r="L1488" s="15">
        <v>0</v>
      </c>
    </row>
    <row r="1489" spans="1:12">
      <c r="A1489" s="12"/>
      <c r="E1489" s="14"/>
      <c r="F1489" s="14"/>
      <c r="G1489" s="13">
        <v>0</v>
      </c>
      <c r="H1489" s="13">
        <v>0</v>
      </c>
      <c r="I1489" s="13"/>
      <c r="J1489" s="13"/>
      <c r="K1489" s="13"/>
      <c r="L1489" s="15">
        <v>0</v>
      </c>
    </row>
    <row r="1490" spans="1:12">
      <c r="A1490" s="12"/>
      <c r="E1490" s="14"/>
      <c r="F1490" s="14"/>
      <c r="G1490" s="13">
        <v>0</v>
      </c>
      <c r="H1490" s="13">
        <v>0</v>
      </c>
      <c r="I1490" s="13"/>
      <c r="J1490" s="13"/>
      <c r="K1490" s="13"/>
      <c r="L1490" s="15">
        <v>0</v>
      </c>
    </row>
    <row r="1491" spans="1:12">
      <c r="A1491" s="12"/>
      <c r="E1491" s="14"/>
      <c r="F1491" s="14"/>
      <c r="G1491" s="13">
        <v>0</v>
      </c>
      <c r="H1491" s="13">
        <v>0</v>
      </c>
      <c r="I1491" s="13"/>
      <c r="J1491" s="13"/>
      <c r="K1491" s="13"/>
      <c r="L1491" s="15">
        <v>0</v>
      </c>
    </row>
    <row r="1492" spans="1:12">
      <c r="A1492" s="12"/>
      <c r="E1492" s="14"/>
      <c r="F1492" s="14"/>
      <c r="G1492" s="13">
        <v>0</v>
      </c>
      <c r="H1492" s="13">
        <v>0</v>
      </c>
      <c r="I1492" s="13"/>
      <c r="J1492" s="13"/>
      <c r="K1492" s="13"/>
      <c r="L1492" s="15">
        <v>0</v>
      </c>
    </row>
    <row r="1493" spans="1:12">
      <c r="A1493" s="12"/>
      <c r="E1493" s="14"/>
      <c r="F1493" s="14"/>
      <c r="G1493" s="13">
        <v>0</v>
      </c>
      <c r="H1493" s="13">
        <v>0</v>
      </c>
      <c r="I1493" s="13"/>
      <c r="J1493" s="13"/>
      <c r="K1493" s="13"/>
      <c r="L1493" s="15">
        <v>0</v>
      </c>
    </row>
    <row r="1494" spans="1:12">
      <c r="A1494" s="12"/>
      <c r="E1494" s="14"/>
      <c r="F1494" s="14"/>
      <c r="G1494" s="13">
        <v>0</v>
      </c>
      <c r="H1494" s="13">
        <v>0</v>
      </c>
      <c r="I1494" s="13"/>
      <c r="J1494" s="13"/>
      <c r="K1494" s="13"/>
      <c r="L1494" s="15">
        <v>0</v>
      </c>
    </row>
    <row r="1495" spans="1:12">
      <c r="A1495" s="12"/>
      <c r="E1495" s="14"/>
      <c r="F1495" s="14"/>
      <c r="G1495" s="13">
        <v>0</v>
      </c>
      <c r="H1495" s="13">
        <v>0</v>
      </c>
      <c r="I1495" s="13"/>
      <c r="J1495" s="13"/>
      <c r="K1495" s="13"/>
      <c r="L1495" s="15">
        <v>0</v>
      </c>
    </row>
    <row r="1496" spans="1:12">
      <c r="A1496" s="12"/>
      <c r="E1496" s="14"/>
      <c r="F1496" s="14"/>
      <c r="G1496" s="13">
        <v>0</v>
      </c>
      <c r="H1496" s="13">
        <v>0</v>
      </c>
      <c r="I1496" s="13"/>
      <c r="J1496" s="13"/>
      <c r="K1496" s="13"/>
      <c r="L1496" s="15">
        <v>0</v>
      </c>
    </row>
    <row r="1497" spans="1:12">
      <c r="A1497" s="12"/>
      <c r="E1497" s="14"/>
      <c r="F1497" s="14"/>
      <c r="G1497" s="13">
        <v>0</v>
      </c>
      <c r="H1497" s="13">
        <v>0</v>
      </c>
      <c r="I1497" s="13"/>
      <c r="J1497" s="13"/>
      <c r="K1497" s="13"/>
      <c r="L1497" s="15">
        <v>0</v>
      </c>
    </row>
    <row r="1498" spans="1:12">
      <c r="A1498" s="12"/>
      <c r="E1498" s="14"/>
      <c r="F1498" s="14"/>
      <c r="G1498" s="13">
        <v>0</v>
      </c>
      <c r="H1498" s="13">
        <v>0</v>
      </c>
      <c r="I1498" s="13"/>
      <c r="J1498" s="13"/>
      <c r="K1498" s="13"/>
      <c r="L1498" s="15">
        <v>0</v>
      </c>
    </row>
    <row r="1499" spans="1:12">
      <c r="A1499" s="12"/>
      <c r="E1499" s="14"/>
      <c r="F1499" s="14"/>
      <c r="G1499" s="13">
        <v>0</v>
      </c>
      <c r="H1499" s="13">
        <v>0</v>
      </c>
      <c r="I1499" s="13"/>
      <c r="J1499" s="13"/>
      <c r="K1499" s="13"/>
      <c r="L1499" s="15">
        <v>0</v>
      </c>
    </row>
    <row r="1500" spans="1:12">
      <c r="A1500" s="12"/>
      <c r="E1500" s="14"/>
      <c r="F1500" s="14"/>
      <c r="G1500" s="13">
        <v>0</v>
      </c>
      <c r="H1500" s="13">
        <v>0</v>
      </c>
      <c r="I1500" s="13"/>
      <c r="J1500" s="13"/>
      <c r="K1500" s="13"/>
      <c r="L1500" s="15">
        <v>0</v>
      </c>
    </row>
    <row r="1501" spans="1:12">
      <c r="A1501" s="12"/>
      <c r="E1501" s="14"/>
      <c r="F1501" s="14"/>
      <c r="G1501" s="13">
        <v>0</v>
      </c>
      <c r="H1501" s="13">
        <v>0</v>
      </c>
      <c r="I1501" s="13"/>
      <c r="J1501" s="13"/>
      <c r="K1501" s="13"/>
      <c r="L1501" s="15">
        <v>0</v>
      </c>
    </row>
    <row r="1502" spans="1:12">
      <c r="A1502" s="12"/>
      <c r="E1502" s="14"/>
      <c r="F1502" s="14"/>
      <c r="G1502" s="13">
        <v>0</v>
      </c>
      <c r="H1502" s="13">
        <v>0</v>
      </c>
      <c r="I1502" s="13"/>
      <c r="J1502" s="13"/>
      <c r="K1502" s="13"/>
      <c r="L1502" s="15">
        <v>0</v>
      </c>
    </row>
    <row r="1503" spans="1:12">
      <c r="A1503" s="12"/>
      <c r="E1503" s="14"/>
      <c r="F1503" s="14"/>
      <c r="G1503" s="13">
        <v>0</v>
      </c>
      <c r="H1503" s="13">
        <v>0</v>
      </c>
      <c r="I1503" s="13"/>
      <c r="J1503" s="13"/>
      <c r="K1503" s="13"/>
      <c r="L1503" s="15">
        <v>0</v>
      </c>
    </row>
    <row r="1504" spans="1:12">
      <c r="A1504" s="12"/>
      <c r="E1504" s="14"/>
      <c r="F1504" s="14"/>
      <c r="G1504" s="13">
        <v>0</v>
      </c>
      <c r="H1504" s="13">
        <v>0</v>
      </c>
      <c r="I1504" s="13"/>
      <c r="J1504" s="13"/>
      <c r="K1504" s="13"/>
      <c r="L1504" s="15">
        <v>0</v>
      </c>
    </row>
    <row r="1505" spans="1:12">
      <c r="A1505" s="12"/>
      <c r="E1505" s="14"/>
      <c r="F1505" s="14"/>
      <c r="G1505" s="13">
        <v>0</v>
      </c>
      <c r="H1505" s="13">
        <v>0</v>
      </c>
      <c r="I1505" s="13"/>
      <c r="J1505" s="13"/>
      <c r="K1505" s="13"/>
      <c r="L1505" s="15">
        <v>0</v>
      </c>
    </row>
    <row r="1506" spans="1:12">
      <c r="A1506" s="12"/>
      <c r="E1506" s="14"/>
      <c r="F1506" s="14"/>
      <c r="G1506" s="13">
        <v>0</v>
      </c>
      <c r="H1506" s="13">
        <v>0</v>
      </c>
      <c r="I1506" s="13"/>
      <c r="J1506" s="13"/>
      <c r="K1506" s="13"/>
      <c r="L1506" s="15">
        <v>0</v>
      </c>
    </row>
    <row r="1507" spans="1:12">
      <c r="A1507" s="12"/>
      <c r="E1507" s="14"/>
      <c r="F1507" s="14"/>
      <c r="G1507" s="13">
        <v>0</v>
      </c>
      <c r="H1507" s="13">
        <v>0</v>
      </c>
      <c r="I1507" s="13"/>
      <c r="J1507" s="13"/>
      <c r="K1507" s="13"/>
      <c r="L1507" s="15">
        <v>0</v>
      </c>
    </row>
    <row r="1508" spans="1:12">
      <c r="A1508" s="12"/>
      <c r="E1508" s="14"/>
      <c r="F1508" s="14"/>
      <c r="G1508" s="13">
        <v>0</v>
      </c>
      <c r="H1508" s="13">
        <v>0</v>
      </c>
      <c r="I1508" s="13"/>
      <c r="J1508" s="13"/>
      <c r="K1508" s="13"/>
      <c r="L1508" s="15">
        <v>0</v>
      </c>
    </row>
    <row r="1509" spans="1:12">
      <c r="A1509" s="12"/>
      <c r="E1509" s="14"/>
      <c r="F1509" s="14"/>
      <c r="G1509" s="13">
        <v>0</v>
      </c>
      <c r="H1509" s="13">
        <v>0</v>
      </c>
      <c r="I1509" s="13"/>
      <c r="J1509" s="13"/>
      <c r="K1509" s="13"/>
      <c r="L1509" s="15">
        <v>0</v>
      </c>
    </row>
    <row r="1510" spans="1:12">
      <c r="A1510" s="12"/>
      <c r="E1510" s="14"/>
      <c r="F1510" s="14"/>
      <c r="G1510" s="13">
        <v>0</v>
      </c>
      <c r="H1510" s="13">
        <v>0</v>
      </c>
      <c r="I1510" s="13"/>
      <c r="J1510" s="13"/>
      <c r="K1510" s="13"/>
      <c r="L1510" s="15">
        <v>0</v>
      </c>
    </row>
    <row r="1511" spans="1:12">
      <c r="A1511" s="12"/>
      <c r="E1511" s="14"/>
      <c r="F1511" s="14"/>
      <c r="G1511" s="13">
        <v>0</v>
      </c>
      <c r="H1511" s="13">
        <v>0</v>
      </c>
      <c r="I1511" s="13"/>
      <c r="J1511" s="13"/>
      <c r="K1511" s="13"/>
      <c r="L1511" s="15">
        <v>0</v>
      </c>
    </row>
    <row r="1512" spans="1:12">
      <c r="A1512" s="12"/>
      <c r="E1512" s="14"/>
      <c r="F1512" s="14"/>
      <c r="G1512" s="13">
        <v>0</v>
      </c>
      <c r="H1512" s="13">
        <v>0</v>
      </c>
      <c r="I1512" s="13"/>
      <c r="J1512" s="13"/>
      <c r="K1512" s="13"/>
      <c r="L1512" s="15">
        <v>0</v>
      </c>
    </row>
    <row r="1513" spans="1:12">
      <c r="A1513" s="12"/>
      <c r="E1513" s="14"/>
      <c r="F1513" s="14"/>
      <c r="G1513" s="13">
        <v>0</v>
      </c>
      <c r="H1513" s="13">
        <v>0</v>
      </c>
      <c r="I1513" s="13"/>
      <c r="J1513" s="13"/>
      <c r="K1513" s="13"/>
      <c r="L1513" s="15">
        <v>0</v>
      </c>
    </row>
    <row r="1514" spans="1:12">
      <c r="A1514" s="12"/>
      <c r="E1514" s="14"/>
      <c r="F1514" s="14"/>
      <c r="G1514" s="13">
        <v>0</v>
      </c>
      <c r="H1514" s="13">
        <v>0</v>
      </c>
      <c r="I1514" s="13"/>
      <c r="J1514" s="13"/>
      <c r="K1514" s="13"/>
      <c r="L1514" s="15">
        <v>0</v>
      </c>
    </row>
    <row r="1515" spans="1:12">
      <c r="A1515" s="12"/>
      <c r="E1515" s="14"/>
      <c r="F1515" s="14"/>
      <c r="G1515" s="13">
        <v>0</v>
      </c>
      <c r="H1515" s="13">
        <v>0</v>
      </c>
      <c r="I1515" s="13"/>
      <c r="J1515" s="13"/>
      <c r="K1515" s="13"/>
      <c r="L1515" s="15">
        <v>0</v>
      </c>
    </row>
    <row r="1516" spans="1:12">
      <c r="A1516" s="12"/>
      <c r="E1516" s="14"/>
      <c r="F1516" s="14"/>
      <c r="G1516" s="13">
        <v>0</v>
      </c>
      <c r="H1516" s="13">
        <v>0</v>
      </c>
      <c r="I1516" s="13"/>
      <c r="J1516" s="13"/>
      <c r="K1516" s="13"/>
      <c r="L1516" s="15">
        <v>0</v>
      </c>
    </row>
    <row r="1517" spans="1:12">
      <c r="A1517" s="12"/>
      <c r="E1517" s="14"/>
      <c r="F1517" s="14"/>
      <c r="G1517" s="13">
        <v>0</v>
      </c>
      <c r="H1517" s="13">
        <v>0</v>
      </c>
      <c r="I1517" s="13"/>
      <c r="J1517" s="13"/>
      <c r="K1517" s="13"/>
      <c r="L1517" s="15">
        <v>0</v>
      </c>
    </row>
    <row r="1518" spans="1:12">
      <c r="A1518" s="12"/>
      <c r="E1518" s="14"/>
      <c r="F1518" s="14"/>
      <c r="G1518" s="13">
        <v>0</v>
      </c>
      <c r="H1518" s="13">
        <v>0</v>
      </c>
      <c r="I1518" s="13"/>
      <c r="J1518" s="13"/>
      <c r="K1518" s="13"/>
      <c r="L1518" s="15">
        <v>0</v>
      </c>
    </row>
    <row r="1519" spans="1:12">
      <c r="A1519" s="12"/>
      <c r="E1519" s="14"/>
      <c r="F1519" s="14"/>
      <c r="G1519" s="13">
        <v>0</v>
      </c>
      <c r="H1519" s="13">
        <v>0</v>
      </c>
      <c r="I1519" s="13"/>
      <c r="J1519" s="13"/>
      <c r="K1519" s="13"/>
      <c r="L1519" s="15">
        <v>0</v>
      </c>
    </row>
    <row r="1520" spans="1:12">
      <c r="A1520" s="12"/>
      <c r="E1520" s="14"/>
      <c r="F1520" s="14"/>
      <c r="G1520" s="13">
        <v>0</v>
      </c>
      <c r="H1520" s="13">
        <v>0</v>
      </c>
      <c r="I1520" s="13"/>
      <c r="J1520" s="13"/>
      <c r="K1520" s="13"/>
      <c r="L1520" s="15">
        <v>0</v>
      </c>
    </row>
    <row r="1521" spans="1:12">
      <c r="A1521" s="12"/>
      <c r="E1521" s="14"/>
      <c r="F1521" s="14"/>
      <c r="G1521" s="13">
        <v>0</v>
      </c>
      <c r="H1521" s="13">
        <v>0</v>
      </c>
      <c r="I1521" s="13"/>
      <c r="J1521" s="13"/>
      <c r="K1521" s="13"/>
      <c r="L1521" s="15">
        <v>0</v>
      </c>
    </row>
    <row r="1522" spans="1:12">
      <c r="A1522" s="12"/>
      <c r="E1522" s="14"/>
      <c r="F1522" s="14"/>
      <c r="G1522" s="13">
        <v>0</v>
      </c>
      <c r="H1522" s="13">
        <v>0</v>
      </c>
      <c r="I1522" s="13"/>
      <c r="J1522" s="13"/>
      <c r="K1522" s="13"/>
      <c r="L1522" s="15">
        <v>0</v>
      </c>
    </row>
    <row r="1523" spans="1:12">
      <c r="A1523" s="12"/>
      <c r="E1523" s="14"/>
      <c r="F1523" s="14"/>
      <c r="G1523" s="13">
        <v>0</v>
      </c>
      <c r="H1523" s="13">
        <v>0</v>
      </c>
      <c r="I1523" s="13"/>
      <c r="J1523" s="13"/>
      <c r="K1523" s="13"/>
      <c r="L1523" s="15">
        <v>0</v>
      </c>
    </row>
    <row r="1524" spans="1:12">
      <c r="A1524" s="12"/>
      <c r="E1524" s="14"/>
      <c r="F1524" s="14"/>
      <c r="G1524" s="13">
        <v>0</v>
      </c>
      <c r="H1524" s="13">
        <v>0</v>
      </c>
      <c r="I1524" s="13"/>
      <c r="J1524" s="13"/>
      <c r="K1524" s="13"/>
      <c r="L1524" s="15">
        <v>0</v>
      </c>
    </row>
    <row r="1525" spans="1:12">
      <c r="A1525" s="12"/>
      <c r="E1525" s="14"/>
      <c r="F1525" s="14"/>
      <c r="G1525" s="13">
        <v>0</v>
      </c>
      <c r="H1525" s="13">
        <v>0</v>
      </c>
      <c r="I1525" s="13"/>
      <c r="J1525" s="13"/>
      <c r="K1525" s="13"/>
      <c r="L1525" s="15">
        <v>0</v>
      </c>
    </row>
    <row r="1526" spans="1:12">
      <c r="A1526" s="12"/>
      <c r="E1526" s="14"/>
      <c r="F1526" s="14"/>
      <c r="G1526" s="13">
        <v>0</v>
      </c>
      <c r="H1526" s="13">
        <v>0</v>
      </c>
      <c r="I1526" s="13"/>
      <c r="J1526" s="13"/>
      <c r="K1526" s="13"/>
      <c r="L1526" s="15">
        <v>0</v>
      </c>
    </row>
    <row r="1527" spans="1:12">
      <c r="A1527" s="12"/>
      <c r="E1527" s="14"/>
      <c r="F1527" s="14"/>
      <c r="G1527" s="13">
        <v>0</v>
      </c>
      <c r="H1527" s="13">
        <v>0</v>
      </c>
      <c r="I1527" s="13"/>
      <c r="J1527" s="13"/>
      <c r="K1527" s="13"/>
      <c r="L1527" s="15">
        <v>0</v>
      </c>
    </row>
    <row r="1528" spans="1:12">
      <c r="A1528" s="12"/>
      <c r="E1528" s="14"/>
      <c r="F1528" s="14"/>
      <c r="G1528" s="13">
        <v>0</v>
      </c>
      <c r="H1528" s="13">
        <v>0</v>
      </c>
      <c r="I1528" s="13"/>
      <c r="J1528" s="13"/>
      <c r="K1528" s="13"/>
      <c r="L1528" s="15">
        <v>0</v>
      </c>
    </row>
    <row r="1529" spans="1:12">
      <c r="A1529" s="12"/>
      <c r="E1529" s="14"/>
      <c r="F1529" s="14"/>
      <c r="G1529" s="13">
        <v>0</v>
      </c>
      <c r="H1529" s="13">
        <v>0</v>
      </c>
      <c r="I1529" s="13"/>
      <c r="J1529" s="13"/>
      <c r="K1529" s="13"/>
      <c r="L1529" s="15">
        <v>0</v>
      </c>
    </row>
    <row r="1530" spans="1:12">
      <c r="A1530" s="12"/>
      <c r="E1530" s="14"/>
      <c r="F1530" s="14"/>
      <c r="G1530" s="13">
        <v>0</v>
      </c>
      <c r="H1530" s="13">
        <v>0</v>
      </c>
      <c r="I1530" s="13"/>
      <c r="J1530" s="13"/>
      <c r="K1530" s="13"/>
      <c r="L1530" s="15">
        <v>0</v>
      </c>
    </row>
    <row r="1531" spans="1:12">
      <c r="A1531" s="12"/>
      <c r="E1531" s="14"/>
      <c r="F1531" s="14"/>
      <c r="G1531" s="13">
        <v>0</v>
      </c>
      <c r="H1531" s="13">
        <v>0</v>
      </c>
      <c r="I1531" s="13"/>
      <c r="J1531" s="13"/>
      <c r="K1531" s="13"/>
      <c r="L1531" s="15">
        <v>0</v>
      </c>
    </row>
    <row r="1532" spans="1:12">
      <c r="A1532" s="12"/>
      <c r="E1532" s="14"/>
      <c r="F1532" s="14"/>
      <c r="G1532" s="13">
        <v>0</v>
      </c>
      <c r="H1532" s="13">
        <v>0</v>
      </c>
      <c r="I1532" s="13"/>
      <c r="J1532" s="13"/>
      <c r="K1532" s="13"/>
      <c r="L1532" s="15">
        <v>0</v>
      </c>
    </row>
    <row r="1533" spans="1:12">
      <c r="A1533" s="12"/>
      <c r="E1533" s="14"/>
      <c r="F1533" s="14"/>
      <c r="G1533" s="13">
        <v>0</v>
      </c>
      <c r="H1533" s="13">
        <v>0</v>
      </c>
      <c r="I1533" s="13"/>
      <c r="J1533" s="13"/>
      <c r="K1533" s="13"/>
      <c r="L1533" s="15">
        <v>0</v>
      </c>
    </row>
    <row r="1534" spans="1:12">
      <c r="A1534" s="12"/>
      <c r="E1534" s="14"/>
      <c r="F1534" s="14"/>
      <c r="G1534" s="13">
        <v>0</v>
      </c>
      <c r="H1534" s="13">
        <v>0</v>
      </c>
      <c r="I1534" s="13"/>
      <c r="J1534" s="13"/>
      <c r="K1534" s="13"/>
      <c r="L1534" s="15">
        <v>0</v>
      </c>
    </row>
    <row r="1535" spans="1:12">
      <c r="A1535" s="12"/>
      <c r="E1535" s="14"/>
      <c r="F1535" s="14"/>
      <c r="G1535" s="13">
        <v>0</v>
      </c>
      <c r="H1535" s="13">
        <v>0</v>
      </c>
      <c r="I1535" s="13"/>
      <c r="J1535" s="13"/>
      <c r="K1535" s="13"/>
      <c r="L1535" s="15">
        <v>0</v>
      </c>
    </row>
    <row r="1536" spans="1:12">
      <c r="A1536" s="12"/>
      <c r="E1536" s="14"/>
      <c r="F1536" s="14"/>
      <c r="G1536" s="13">
        <v>0</v>
      </c>
      <c r="H1536" s="13">
        <v>0</v>
      </c>
      <c r="I1536" s="13"/>
      <c r="J1536" s="13"/>
      <c r="K1536" s="13"/>
      <c r="L1536" s="15">
        <v>0</v>
      </c>
    </row>
    <row r="1537" spans="1:12">
      <c r="A1537" s="12"/>
      <c r="E1537" s="14"/>
      <c r="F1537" s="14"/>
      <c r="G1537" s="13">
        <v>0</v>
      </c>
      <c r="H1537" s="13">
        <v>0</v>
      </c>
      <c r="I1537" s="13"/>
      <c r="J1537" s="13"/>
      <c r="K1537" s="13"/>
      <c r="L1537" s="15">
        <v>0</v>
      </c>
    </row>
    <row r="1538" spans="1:12">
      <c r="A1538" s="12"/>
      <c r="E1538" s="14"/>
      <c r="F1538" s="14"/>
      <c r="G1538" s="13">
        <v>0</v>
      </c>
      <c r="H1538" s="13">
        <v>0</v>
      </c>
      <c r="I1538" s="13"/>
      <c r="J1538" s="13"/>
      <c r="K1538" s="13"/>
      <c r="L1538" s="15">
        <v>0</v>
      </c>
    </row>
    <row r="1539" spans="1:12">
      <c r="A1539" s="12"/>
      <c r="E1539" s="14"/>
      <c r="F1539" s="14"/>
      <c r="G1539" s="13">
        <v>0</v>
      </c>
      <c r="H1539" s="13">
        <v>0</v>
      </c>
      <c r="I1539" s="13"/>
      <c r="J1539" s="13"/>
      <c r="K1539" s="13"/>
      <c r="L1539" s="15">
        <v>0</v>
      </c>
    </row>
    <row r="1540" spans="1:12">
      <c r="A1540" s="12"/>
      <c r="E1540" s="14"/>
      <c r="F1540" s="14"/>
      <c r="G1540" s="13">
        <v>0</v>
      </c>
      <c r="H1540" s="13">
        <v>0</v>
      </c>
      <c r="I1540" s="13"/>
      <c r="J1540" s="13"/>
      <c r="K1540" s="13"/>
      <c r="L1540" s="15">
        <v>0</v>
      </c>
    </row>
    <row r="1541" spans="1:12">
      <c r="A1541" s="12"/>
      <c r="E1541" s="14"/>
      <c r="F1541" s="14"/>
      <c r="G1541" s="13">
        <v>0</v>
      </c>
      <c r="H1541" s="13">
        <v>0</v>
      </c>
      <c r="I1541" s="13"/>
      <c r="J1541" s="13"/>
      <c r="K1541" s="13"/>
      <c r="L1541" s="15">
        <v>0</v>
      </c>
    </row>
    <row r="1542" spans="1:12">
      <c r="A1542" s="12"/>
      <c r="E1542" s="14"/>
      <c r="F1542" s="14"/>
      <c r="G1542" s="13">
        <v>0</v>
      </c>
      <c r="H1542" s="13">
        <v>0</v>
      </c>
      <c r="I1542" s="13"/>
      <c r="J1542" s="13"/>
      <c r="K1542" s="13"/>
      <c r="L1542" s="15">
        <v>0</v>
      </c>
    </row>
    <row r="1543" spans="1:12">
      <c r="A1543" s="12"/>
      <c r="E1543" s="14"/>
      <c r="F1543" s="14"/>
      <c r="G1543" s="13">
        <v>0</v>
      </c>
      <c r="H1543" s="13">
        <v>0</v>
      </c>
      <c r="I1543" s="13"/>
      <c r="J1543" s="13"/>
      <c r="K1543" s="13"/>
      <c r="L1543" s="15">
        <v>0</v>
      </c>
    </row>
    <row r="1544" spans="1:12">
      <c r="A1544" s="12"/>
      <c r="E1544" s="14"/>
      <c r="F1544" s="14"/>
      <c r="G1544" s="13">
        <v>0</v>
      </c>
      <c r="H1544" s="13">
        <v>0</v>
      </c>
      <c r="I1544" s="13"/>
      <c r="J1544" s="13"/>
      <c r="K1544" s="13"/>
      <c r="L1544" s="15">
        <v>0</v>
      </c>
    </row>
    <row r="1545" spans="1:12">
      <c r="A1545" s="12"/>
      <c r="E1545" s="14"/>
      <c r="F1545" s="14"/>
      <c r="G1545" s="13">
        <v>0</v>
      </c>
      <c r="H1545" s="13">
        <v>0</v>
      </c>
      <c r="I1545" s="13"/>
      <c r="J1545" s="13"/>
      <c r="K1545" s="13"/>
      <c r="L1545" s="15">
        <v>0</v>
      </c>
    </row>
    <row r="1546" spans="1:12">
      <c r="A1546" s="12"/>
      <c r="E1546" s="14"/>
      <c r="F1546" s="14"/>
      <c r="G1546" s="13">
        <v>0</v>
      </c>
      <c r="H1546" s="13">
        <v>0</v>
      </c>
      <c r="I1546" s="13"/>
      <c r="J1546" s="13"/>
      <c r="K1546" s="13"/>
      <c r="L1546" s="15">
        <v>0</v>
      </c>
    </row>
    <row r="1547" spans="1:12">
      <c r="A1547" s="12"/>
      <c r="E1547" s="14"/>
      <c r="F1547" s="14"/>
      <c r="G1547" s="13">
        <v>0</v>
      </c>
      <c r="H1547" s="13">
        <v>0</v>
      </c>
      <c r="I1547" s="13"/>
      <c r="J1547" s="13"/>
      <c r="K1547" s="13"/>
      <c r="L1547" s="15">
        <v>0</v>
      </c>
    </row>
    <row r="1548" spans="1:12">
      <c r="A1548" s="12"/>
      <c r="E1548" s="14"/>
      <c r="F1548" s="14"/>
      <c r="G1548" s="13">
        <v>0</v>
      </c>
      <c r="H1548" s="13">
        <v>0</v>
      </c>
      <c r="I1548" s="13"/>
      <c r="J1548" s="13"/>
      <c r="K1548" s="13"/>
      <c r="L1548" s="15">
        <v>0</v>
      </c>
    </row>
    <row r="1549" spans="1:12">
      <c r="A1549" s="12"/>
      <c r="E1549" s="14"/>
      <c r="F1549" s="14"/>
      <c r="G1549" s="13">
        <v>0</v>
      </c>
      <c r="H1549" s="13">
        <v>0</v>
      </c>
      <c r="I1549" s="13"/>
      <c r="J1549" s="13"/>
      <c r="K1549" s="13"/>
      <c r="L1549" s="15">
        <v>0</v>
      </c>
    </row>
    <row r="1550" spans="1:12">
      <c r="A1550" s="12"/>
      <c r="E1550" s="14"/>
      <c r="F1550" s="14"/>
      <c r="G1550" s="13">
        <v>0</v>
      </c>
      <c r="H1550" s="13">
        <v>0</v>
      </c>
      <c r="I1550" s="13"/>
      <c r="J1550" s="13"/>
      <c r="K1550" s="13"/>
      <c r="L1550" s="15">
        <v>0</v>
      </c>
    </row>
    <row r="1551" spans="1:12">
      <c r="A1551" s="12"/>
      <c r="E1551" s="14"/>
      <c r="F1551" s="14"/>
      <c r="G1551" s="13">
        <v>0</v>
      </c>
      <c r="H1551" s="13">
        <v>0</v>
      </c>
      <c r="I1551" s="13"/>
      <c r="J1551" s="13"/>
      <c r="K1551" s="13"/>
      <c r="L1551" s="15">
        <v>0</v>
      </c>
    </row>
    <row r="1552" spans="1:12">
      <c r="A1552" s="12"/>
      <c r="E1552" s="14"/>
      <c r="F1552" s="14"/>
      <c r="G1552" s="13">
        <v>0</v>
      </c>
      <c r="H1552" s="13">
        <v>0</v>
      </c>
      <c r="I1552" s="13"/>
      <c r="J1552" s="13"/>
      <c r="K1552" s="13"/>
      <c r="L1552" s="15">
        <v>0</v>
      </c>
    </row>
    <row r="1553" spans="1:12">
      <c r="A1553" s="12"/>
      <c r="E1553" s="14"/>
      <c r="F1553" s="14"/>
      <c r="G1553" s="13">
        <v>0</v>
      </c>
      <c r="H1553" s="13">
        <v>0</v>
      </c>
      <c r="I1553" s="13"/>
      <c r="J1553" s="13"/>
      <c r="K1553" s="13"/>
      <c r="L1553" s="15">
        <v>0</v>
      </c>
    </row>
    <row r="1554" spans="1:12">
      <c r="A1554" s="12"/>
      <c r="E1554" s="14"/>
      <c r="F1554" s="14"/>
      <c r="G1554" s="13">
        <v>0</v>
      </c>
      <c r="H1554" s="13">
        <v>0</v>
      </c>
      <c r="I1554" s="13"/>
      <c r="J1554" s="13"/>
      <c r="K1554" s="13"/>
      <c r="L1554" s="15">
        <v>0</v>
      </c>
    </row>
    <row r="1555" spans="1:12">
      <c r="A1555" s="12"/>
      <c r="E1555" s="14"/>
      <c r="F1555" s="14"/>
      <c r="G1555" s="13">
        <v>0</v>
      </c>
      <c r="H1555" s="13">
        <v>0</v>
      </c>
      <c r="I1555" s="13"/>
      <c r="J1555" s="13"/>
      <c r="K1555" s="13"/>
      <c r="L1555" s="15">
        <v>0</v>
      </c>
    </row>
    <row r="1556" spans="1:12">
      <c r="A1556" s="12"/>
      <c r="E1556" s="14"/>
      <c r="F1556" s="14"/>
      <c r="G1556" s="13">
        <v>0</v>
      </c>
      <c r="H1556" s="13">
        <v>0</v>
      </c>
      <c r="I1556" s="13"/>
      <c r="J1556" s="13"/>
      <c r="K1556" s="13"/>
      <c r="L1556" s="15">
        <v>0</v>
      </c>
    </row>
    <row r="1557" spans="1:12">
      <c r="A1557" s="12"/>
      <c r="E1557" s="14"/>
      <c r="F1557" s="14"/>
      <c r="G1557" s="13">
        <v>0</v>
      </c>
      <c r="H1557" s="13">
        <v>0</v>
      </c>
      <c r="I1557" s="13"/>
      <c r="J1557" s="13"/>
      <c r="K1557" s="13"/>
      <c r="L1557" s="15">
        <v>0</v>
      </c>
    </row>
    <row r="1558" spans="1:12">
      <c r="A1558" s="12"/>
      <c r="E1558" s="14"/>
      <c r="F1558" s="14"/>
      <c r="G1558" s="13">
        <v>0</v>
      </c>
      <c r="H1558" s="13">
        <v>0</v>
      </c>
      <c r="I1558" s="13"/>
      <c r="J1558" s="13"/>
      <c r="K1558" s="13"/>
      <c r="L1558" s="15">
        <v>0</v>
      </c>
    </row>
    <row r="1559" spans="1:12">
      <c r="A1559" s="12"/>
      <c r="E1559" s="14"/>
      <c r="F1559" s="14"/>
      <c r="G1559" s="13">
        <v>0</v>
      </c>
      <c r="H1559" s="13">
        <v>0</v>
      </c>
      <c r="I1559" s="13"/>
      <c r="J1559" s="13"/>
      <c r="K1559" s="13"/>
      <c r="L1559" s="15">
        <v>0</v>
      </c>
    </row>
    <row r="1560" spans="1:12">
      <c r="A1560" s="12"/>
      <c r="E1560" s="14"/>
      <c r="F1560" s="14"/>
      <c r="G1560" s="13">
        <v>0</v>
      </c>
      <c r="H1560" s="13">
        <v>0</v>
      </c>
      <c r="I1560" s="13"/>
      <c r="J1560" s="13"/>
      <c r="K1560" s="13"/>
      <c r="L1560" s="15">
        <v>0</v>
      </c>
    </row>
    <row r="1561" spans="1:12">
      <c r="A1561" s="12"/>
      <c r="E1561" s="14"/>
      <c r="F1561" s="14"/>
      <c r="G1561" s="13">
        <v>0</v>
      </c>
      <c r="H1561" s="13">
        <v>0</v>
      </c>
      <c r="I1561" s="13"/>
      <c r="J1561" s="13"/>
      <c r="K1561" s="13"/>
      <c r="L1561" s="15">
        <v>0</v>
      </c>
    </row>
    <row r="1562" spans="1:12">
      <c r="A1562" s="12"/>
      <c r="E1562" s="14"/>
      <c r="F1562" s="14"/>
      <c r="G1562" s="13">
        <v>0</v>
      </c>
      <c r="H1562" s="13">
        <v>0</v>
      </c>
      <c r="I1562" s="13"/>
      <c r="J1562" s="13"/>
      <c r="K1562" s="13"/>
      <c r="L1562" s="15">
        <v>0</v>
      </c>
    </row>
    <row r="1563" spans="1:12">
      <c r="A1563" s="12"/>
      <c r="E1563" s="14"/>
      <c r="F1563" s="14"/>
      <c r="G1563" s="13">
        <v>0</v>
      </c>
      <c r="H1563" s="13">
        <v>0</v>
      </c>
      <c r="I1563" s="13"/>
      <c r="J1563" s="13"/>
      <c r="K1563" s="13"/>
      <c r="L1563" s="15">
        <v>0</v>
      </c>
    </row>
    <row r="1564" spans="1:12">
      <c r="A1564" s="12"/>
      <c r="E1564" s="14"/>
      <c r="F1564" s="14"/>
      <c r="G1564" s="13">
        <v>0</v>
      </c>
      <c r="H1564" s="13">
        <v>0</v>
      </c>
      <c r="I1564" s="13"/>
      <c r="J1564" s="13"/>
      <c r="K1564" s="13"/>
      <c r="L1564" s="15">
        <v>0</v>
      </c>
    </row>
    <row r="1565" spans="1:12">
      <c r="A1565" s="12"/>
      <c r="E1565" s="14"/>
      <c r="F1565" s="14"/>
      <c r="G1565" s="13">
        <v>0</v>
      </c>
      <c r="H1565" s="13">
        <v>0</v>
      </c>
      <c r="I1565" s="13"/>
      <c r="J1565" s="13"/>
      <c r="K1565" s="13"/>
      <c r="L1565" s="15">
        <v>0</v>
      </c>
    </row>
    <row r="1566" spans="1:12">
      <c r="A1566" s="12"/>
      <c r="E1566" s="14"/>
      <c r="F1566" s="14"/>
      <c r="G1566" s="13">
        <v>0</v>
      </c>
      <c r="H1566" s="13">
        <v>0</v>
      </c>
      <c r="I1566" s="13"/>
      <c r="J1566" s="13"/>
      <c r="K1566" s="13"/>
      <c r="L1566" s="15">
        <v>0</v>
      </c>
    </row>
    <row r="1567" spans="1:12">
      <c r="A1567" s="12"/>
      <c r="E1567" s="14"/>
      <c r="F1567" s="14"/>
      <c r="G1567" s="13">
        <v>0</v>
      </c>
      <c r="H1567" s="13">
        <v>0</v>
      </c>
      <c r="I1567" s="13"/>
      <c r="J1567" s="13"/>
      <c r="K1567" s="13"/>
      <c r="L1567" s="15">
        <v>0</v>
      </c>
    </row>
    <row r="1568" spans="1:12">
      <c r="A1568" s="12"/>
      <c r="E1568" s="14"/>
      <c r="F1568" s="14"/>
      <c r="G1568" s="13">
        <v>0</v>
      </c>
      <c r="H1568" s="13">
        <v>0</v>
      </c>
      <c r="I1568" s="13"/>
      <c r="J1568" s="13"/>
      <c r="K1568" s="13"/>
      <c r="L1568" s="15">
        <v>0</v>
      </c>
    </row>
    <row r="1569" spans="1:12">
      <c r="A1569" s="12"/>
      <c r="E1569" s="14"/>
      <c r="F1569" s="14"/>
      <c r="G1569" s="13">
        <v>0</v>
      </c>
      <c r="H1569" s="13">
        <v>0</v>
      </c>
      <c r="I1569" s="13"/>
      <c r="J1569" s="13"/>
      <c r="K1569" s="13"/>
      <c r="L1569" s="15">
        <v>0</v>
      </c>
    </row>
    <row r="1570" spans="1:12">
      <c r="A1570" s="12"/>
      <c r="E1570" s="14"/>
      <c r="F1570" s="14"/>
      <c r="G1570" s="13">
        <v>0</v>
      </c>
      <c r="H1570" s="13">
        <v>0</v>
      </c>
      <c r="I1570" s="13"/>
      <c r="J1570" s="13"/>
      <c r="K1570" s="13"/>
      <c r="L1570" s="15">
        <v>0</v>
      </c>
    </row>
    <row r="1571" spans="1:12">
      <c r="A1571" s="12"/>
      <c r="E1571" s="14"/>
      <c r="F1571" s="14"/>
      <c r="G1571" s="13">
        <v>0</v>
      </c>
      <c r="H1571" s="13">
        <v>0</v>
      </c>
      <c r="I1571" s="13"/>
      <c r="J1571" s="13"/>
      <c r="K1571" s="13"/>
      <c r="L1571" s="15">
        <v>0</v>
      </c>
    </row>
    <row r="1572" spans="1:12">
      <c r="A1572" s="12"/>
      <c r="E1572" s="14"/>
      <c r="F1572" s="14"/>
      <c r="G1572" s="13">
        <v>0</v>
      </c>
      <c r="H1572" s="13">
        <v>0</v>
      </c>
      <c r="I1572" s="13"/>
      <c r="J1572" s="13"/>
      <c r="K1572" s="13"/>
      <c r="L1572" s="15">
        <v>0</v>
      </c>
    </row>
    <row r="1573" spans="1:12">
      <c r="A1573" s="12"/>
      <c r="E1573" s="14"/>
      <c r="F1573" s="14"/>
      <c r="G1573" s="13">
        <v>0</v>
      </c>
      <c r="H1573" s="13">
        <v>0</v>
      </c>
      <c r="I1573" s="13"/>
      <c r="J1573" s="13"/>
      <c r="K1573" s="13"/>
      <c r="L1573" s="15">
        <v>0</v>
      </c>
    </row>
    <row r="1574" spans="1:12">
      <c r="A1574" s="12"/>
      <c r="E1574" s="14"/>
      <c r="F1574" s="14"/>
      <c r="G1574" s="13">
        <v>0</v>
      </c>
      <c r="H1574" s="13">
        <v>0</v>
      </c>
      <c r="I1574" s="13"/>
      <c r="J1574" s="13"/>
      <c r="K1574" s="13"/>
      <c r="L1574" s="15">
        <v>0</v>
      </c>
    </row>
    <row r="1575" spans="1:12">
      <c r="A1575" s="12"/>
      <c r="E1575" s="14"/>
      <c r="F1575" s="14"/>
      <c r="G1575" s="13">
        <v>0</v>
      </c>
      <c r="H1575" s="13">
        <v>0</v>
      </c>
      <c r="I1575" s="13"/>
      <c r="J1575" s="13"/>
      <c r="K1575" s="13"/>
      <c r="L1575" s="15">
        <v>0</v>
      </c>
    </row>
    <row r="1576" spans="1:12">
      <c r="A1576" s="12"/>
      <c r="E1576" s="14"/>
      <c r="F1576" s="14"/>
      <c r="G1576" s="13">
        <v>0</v>
      </c>
      <c r="H1576" s="13">
        <v>0</v>
      </c>
      <c r="I1576" s="13"/>
      <c r="J1576" s="13"/>
      <c r="K1576" s="13"/>
      <c r="L1576" s="15">
        <v>0</v>
      </c>
    </row>
    <row r="1577" spans="1:12">
      <c r="A1577" s="12"/>
      <c r="E1577" s="14"/>
      <c r="F1577" s="14"/>
      <c r="G1577" s="13">
        <v>0</v>
      </c>
      <c r="H1577" s="13">
        <v>0</v>
      </c>
      <c r="I1577" s="13"/>
      <c r="J1577" s="13"/>
      <c r="K1577" s="13"/>
      <c r="L1577" s="15">
        <v>0</v>
      </c>
    </row>
    <row r="1578" spans="1:12">
      <c r="A1578" s="12"/>
      <c r="E1578" s="14"/>
      <c r="F1578" s="14"/>
      <c r="G1578" s="13">
        <v>0</v>
      </c>
      <c r="H1578" s="13">
        <v>0</v>
      </c>
      <c r="I1578" s="13"/>
      <c r="J1578" s="13"/>
      <c r="K1578" s="13"/>
      <c r="L1578" s="15">
        <v>0</v>
      </c>
    </row>
    <row r="1579" spans="1:12">
      <c r="A1579" s="12"/>
      <c r="E1579" s="14"/>
      <c r="F1579" s="14"/>
      <c r="G1579" s="13">
        <v>0</v>
      </c>
      <c r="H1579" s="13">
        <v>0</v>
      </c>
      <c r="I1579" s="13"/>
      <c r="J1579" s="13"/>
      <c r="K1579" s="13"/>
      <c r="L1579" s="15">
        <v>0</v>
      </c>
    </row>
    <row r="1580" spans="1:12">
      <c r="A1580" s="12"/>
      <c r="E1580" s="14"/>
      <c r="F1580" s="14"/>
      <c r="G1580" s="13">
        <v>0</v>
      </c>
      <c r="H1580" s="13">
        <v>0</v>
      </c>
      <c r="I1580" s="13"/>
      <c r="J1580" s="13"/>
      <c r="K1580" s="13"/>
      <c r="L1580" s="15">
        <v>0</v>
      </c>
    </row>
    <row r="1581" spans="1:12">
      <c r="A1581" s="12"/>
      <c r="E1581" s="14"/>
      <c r="F1581" s="14"/>
      <c r="G1581" s="13">
        <v>0</v>
      </c>
      <c r="H1581" s="13">
        <v>0</v>
      </c>
      <c r="I1581" s="13"/>
      <c r="J1581" s="13"/>
      <c r="K1581" s="13"/>
      <c r="L1581" s="15">
        <v>0</v>
      </c>
    </row>
    <row r="1582" spans="1:12">
      <c r="A1582" s="12"/>
      <c r="E1582" s="14"/>
      <c r="F1582" s="14"/>
      <c r="G1582" s="13">
        <v>0</v>
      </c>
      <c r="H1582" s="13">
        <v>0</v>
      </c>
      <c r="I1582" s="13"/>
      <c r="J1582" s="13"/>
      <c r="K1582" s="13"/>
      <c r="L1582" s="15">
        <v>0</v>
      </c>
    </row>
    <row r="1583" spans="1:12">
      <c r="A1583" s="12"/>
      <c r="E1583" s="14"/>
      <c r="F1583" s="14"/>
      <c r="G1583" s="13">
        <v>0</v>
      </c>
      <c r="H1583" s="13">
        <v>0</v>
      </c>
      <c r="I1583" s="13"/>
      <c r="J1583" s="13"/>
      <c r="K1583" s="13"/>
      <c r="L1583" s="15">
        <v>0</v>
      </c>
    </row>
    <row r="1584" spans="1:12">
      <c r="A1584" s="12"/>
      <c r="E1584" s="14"/>
      <c r="F1584" s="14"/>
      <c r="G1584" s="13">
        <v>0</v>
      </c>
      <c r="H1584" s="13">
        <v>0</v>
      </c>
      <c r="I1584" s="13"/>
      <c r="J1584" s="13"/>
      <c r="K1584" s="13"/>
      <c r="L1584" s="15">
        <v>0</v>
      </c>
    </row>
    <row r="1585" spans="1:12">
      <c r="A1585" s="12"/>
      <c r="E1585" s="14"/>
      <c r="F1585" s="14"/>
      <c r="G1585" s="13">
        <v>0</v>
      </c>
      <c r="H1585" s="13">
        <v>0</v>
      </c>
      <c r="I1585" s="13"/>
      <c r="J1585" s="13"/>
      <c r="K1585" s="13"/>
      <c r="L1585" s="15">
        <v>0</v>
      </c>
    </row>
    <row r="1586" spans="1:12">
      <c r="A1586" s="12"/>
      <c r="E1586" s="14"/>
      <c r="F1586" s="14"/>
      <c r="G1586" s="13">
        <v>0</v>
      </c>
      <c r="H1586" s="13">
        <v>0</v>
      </c>
      <c r="I1586" s="13"/>
      <c r="J1586" s="13"/>
      <c r="K1586" s="13"/>
      <c r="L1586" s="15">
        <v>0</v>
      </c>
    </row>
    <row r="1587" spans="1:12">
      <c r="A1587" s="12"/>
      <c r="E1587" s="14"/>
      <c r="F1587" s="14"/>
      <c r="G1587" s="13">
        <v>0</v>
      </c>
      <c r="H1587" s="13">
        <v>0</v>
      </c>
      <c r="I1587" s="13"/>
      <c r="J1587" s="13"/>
      <c r="K1587" s="13"/>
      <c r="L1587" s="15">
        <v>0</v>
      </c>
    </row>
    <row r="1588" spans="1:12">
      <c r="A1588" s="12"/>
      <c r="E1588" s="14"/>
      <c r="F1588" s="14"/>
      <c r="G1588" s="13">
        <v>0</v>
      </c>
      <c r="H1588" s="13">
        <v>0</v>
      </c>
      <c r="I1588" s="13"/>
      <c r="J1588" s="13"/>
      <c r="K1588" s="13"/>
      <c r="L1588" s="15">
        <v>0</v>
      </c>
    </row>
    <row r="1589" spans="1:12">
      <c r="A1589" s="12"/>
      <c r="E1589" s="14"/>
      <c r="F1589" s="14"/>
      <c r="G1589" s="13">
        <v>0</v>
      </c>
      <c r="H1589" s="13">
        <v>0</v>
      </c>
      <c r="I1589" s="13"/>
      <c r="J1589" s="13"/>
      <c r="K1589" s="13"/>
      <c r="L1589" s="15">
        <v>0</v>
      </c>
    </row>
    <row r="1590" spans="1:12">
      <c r="A1590" s="12"/>
      <c r="E1590" s="14"/>
      <c r="F1590" s="14"/>
      <c r="G1590" s="13">
        <v>0</v>
      </c>
      <c r="H1590" s="13">
        <v>0</v>
      </c>
      <c r="I1590" s="13"/>
      <c r="J1590" s="13"/>
      <c r="K1590" s="13"/>
      <c r="L1590" s="15">
        <v>0</v>
      </c>
    </row>
    <row r="1591" spans="1:12">
      <c r="A1591" s="12"/>
      <c r="E1591" s="14"/>
      <c r="F1591" s="14"/>
      <c r="G1591" s="13">
        <v>0</v>
      </c>
      <c r="H1591" s="13">
        <v>0</v>
      </c>
      <c r="I1591" s="13"/>
      <c r="J1591" s="13"/>
      <c r="K1591" s="13"/>
      <c r="L1591" s="15">
        <v>0</v>
      </c>
    </row>
    <row r="1592" spans="1:12">
      <c r="A1592" s="12"/>
      <c r="E1592" s="14"/>
      <c r="F1592" s="14"/>
      <c r="G1592" s="13">
        <v>0</v>
      </c>
      <c r="H1592" s="13">
        <v>0</v>
      </c>
      <c r="I1592" s="13"/>
      <c r="J1592" s="13"/>
      <c r="K1592" s="13"/>
      <c r="L1592" s="15">
        <v>0</v>
      </c>
    </row>
    <row r="1593" spans="1:12">
      <c r="A1593" s="12"/>
      <c r="E1593" s="14"/>
      <c r="F1593" s="14"/>
      <c r="G1593" s="13">
        <v>0</v>
      </c>
      <c r="H1593" s="13">
        <v>0</v>
      </c>
      <c r="I1593" s="13"/>
      <c r="J1593" s="13"/>
      <c r="K1593" s="13"/>
      <c r="L1593" s="15">
        <v>0</v>
      </c>
    </row>
    <row r="1594" spans="1:12">
      <c r="A1594" s="12"/>
      <c r="E1594" s="14"/>
      <c r="F1594" s="14"/>
      <c r="G1594" s="13">
        <v>0</v>
      </c>
      <c r="H1594" s="13">
        <v>0</v>
      </c>
      <c r="I1594" s="13"/>
      <c r="J1594" s="13"/>
      <c r="K1594" s="13"/>
      <c r="L1594" s="15">
        <v>0</v>
      </c>
    </row>
    <row r="1595" spans="1:12">
      <c r="A1595" s="12"/>
      <c r="E1595" s="14"/>
      <c r="F1595" s="14"/>
      <c r="G1595" s="13">
        <v>0</v>
      </c>
      <c r="H1595" s="13">
        <v>0</v>
      </c>
      <c r="I1595" s="13"/>
      <c r="J1595" s="13"/>
      <c r="K1595" s="13"/>
      <c r="L1595" s="15">
        <v>0</v>
      </c>
    </row>
    <row r="1596" spans="1:12">
      <c r="A1596" s="12"/>
      <c r="E1596" s="14"/>
      <c r="F1596" s="14"/>
      <c r="G1596" s="13">
        <v>0</v>
      </c>
      <c r="H1596" s="13">
        <v>0</v>
      </c>
      <c r="I1596" s="13"/>
      <c r="J1596" s="13"/>
      <c r="K1596" s="13"/>
      <c r="L1596" s="15">
        <v>0</v>
      </c>
    </row>
    <row r="1597" spans="1:12">
      <c r="A1597" s="12"/>
      <c r="E1597" s="14"/>
      <c r="F1597" s="14"/>
      <c r="G1597" s="13">
        <v>0</v>
      </c>
      <c r="H1597" s="13">
        <v>0</v>
      </c>
      <c r="I1597" s="13"/>
      <c r="J1597" s="13"/>
      <c r="K1597" s="13"/>
      <c r="L1597" s="15">
        <v>0</v>
      </c>
    </row>
    <row r="1598" spans="1:12">
      <c r="A1598" s="12"/>
      <c r="E1598" s="14"/>
      <c r="F1598" s="14"/>
      <c r="G1598" s="13">
        <v>0</v>
      </c>
      <c r="H1598" s="13">
        <v>0</v>
      </c>
      <c r="I1598" s="13"/>
      <c r="J1598" s="13"/>
      <c r="K1598" s="13"/>
      <c r="L1598" s="15">
        <v>0</v>
      </c>
    </row>
    <row r="1599" spans="1:12">
      <c r="A1599" s="12"/>
      <c r="E1599" s="14"/>
      <c r="F1599" s="14"/>
      <c r="G1599" s="13">
        <v>0</v>
      </c>
      <c r="H1599" s="13">
        <v>0</v>
      </c>
      <c r="I1599" s="13"/>
      <c r="J1599" s="13"/>
      <c r="K1599" s="13"/>
      <c r="L1599" s="15">
        <v>0</v>
      </c>
    </row>
    <row r="1600" spans="1:12">
      <c r="A1600" s="12"/>
      <c r="E1600" s="14"/>
      <c r="F1600" s="14"/>
      <c r="G1600" s="13">
        <v>0</v>
      </c>
      <c r="H1600" s="13">
        <v>0</v>
      </c>
      <c r="I1600" s="13"/>
      <c r="J1600" s="13"/>
      <c r="K1600" s="13"/>
      <c r="L1600" s="15">
        <v>0</v>
      </c>
    </row>
    <row r="1601" spans="1:12">
      <c r="A1601" s="12"/>
      <c r="E1601" s="14"/>
      <c r="F1601" s="14"/>
      <c r="G1601" s="13">
        <v>0</v>
      </c>
      <c r="H1601" s="13">
        <v>0</v>
      </c>
      <c r="I1601" s="13"/>
      <c r="J1601" s="13"/>
      <c r="K1601" s="13"/>
      <c r="L1601" s="15">
        <v>0</v>
      </c>
    </row>
    <row r="1602" spans="1:12">
      <c r="A1602" s="12"/>
      <c r="E1602" s="14"/>
      <c r="F1602" s="14"/>
      <c r="G1602" s="13">
        <v>0</v>
      </c>
      <c r="H1602" s="13">
        <v>0</v>
      </c>
      <c r="I1602" s="13"/>
      <c r="J1602" s="13"/>
      <c r="K1602" s="13"/>
      <c r="L1602" s="15">
        <v>0</v>
      </c>
    </row>
    <row r="1603" spans="1:12">
      <c r="A1603" s="12"/>
      <c r="E1603" s="14"/>
      <c r="F1603" s="14"/>
      <c r="G1603" s="13">
        <v>0</v>
      </c>
      <c r="H1603" s="13">
        <v>0</v>
      </c>
      <c r="I1603" s="13"/>
      <c r="J1603" s="13"/>
      <c r="K1603" s="13"/>
      <c r="L1603" s="15">
        <v>0</v>
      </c>
    </row>
    <row r="1604" spans="1:12">
      <c r="A1604" s="12"/>
      <c r="E1604" s="14"/>
      <c r="F1604" s="14"/>
      <c r="G1604" s="13">
        <v>0</v>
      </c>
      <c r="H1604" s="13">
        <v>0</v>
      </c>
      <c r="I1604" s="13"/>
      <c r="J1604" s="13"/>
      <c r="K1604" s="13"/>
      <c r="L1604" s="15">
        <v>0</v>
      </c>
    </row>
    <row r="1605" spans="1:12">
      <c r="A1605" s="12"/>
      <c r="E1605" s="14"/>
      <c r="F1605" s="14"/>
      <c r="G1605" s="13">
        <v>0</v>
      </c>
      <c r="H1605" s="13">
        <v>0</v>
      </c>
      <c r="I1605" s="13"/>
      <c r="J1605" s="13"/>
      <c r="K1605" s="13"/>
      <c r="L1605" s="15">
        <v>0</v>
      </c>
    </row>
    <row r="1606" spans="1:12">
      <c r="A1606" s="12"/>
      <c r="E1606" s="14"/>
      <c r="F1606" s="14"/>
      <c r="G1606" s="13">
        <v>0</v>
      </c>
      <c r="H1606" s="13">
        <v>0</v>
      </c>
      <c r="I1606" s="13"/>
      <c r="J1606" s="13"/>
      <c r="K1606" s="13"/>
      <c r="L1606" s="15">
        <v>0</v>
      </c>
    </row>
    <row r="1607" spans="1:12">
      <c r="A1607" s="12"/>
      <c r="E1607" s="14"/>
      <c r="F1607" s="14"/>
      <c r="G1607" s="13">
        <v>0</v>
      </c>
      <c r="H1607" s="13">
        <v>0</v>
      </c>
      <c r="I1607" s="13"/>
      <c r="J1607" s="13"/>
      <c r="K1607" s="13"/>
      <c r="L1607" s="15">
        <v>0</v>
      </c>
    </row>
    <row r="1608" spans="1:12">
      <c r="A1608" s="12"/>
      <c r="E1608" s="14"/>
      <c r="F1608" s="14"/>
      <c r="G1608" s="13">
        <v>0</v>
      </c>
      <c r="H1608" s="13">
        <v>0</v>
      </c>
      <c r="I1608" s="13"/>
      <c r="J1608" s="13"/>
      <c r="K1608" s="13"/>
      <c r="L1608" s="15">
        <v>0</v>
      </c>
    </row>
    <row r="1609" spans="1:12">
      <c r="A1609" s="12"/>
      <c r="E1609" s="14"/>
      <c r="F1609" s="14"/>
      <c r="G1609" s="13">
        <v>0</v>
      </c>
      <c r="H1609" s="13">
        <v>0</v>
      </c>
      <c r="I1609" s="13"/>
      <c r="J1609" s="13"/>
      <c r="K1609" s="13"/>
      <c r="L1609" s="15">
        <v>0</v>
      </c>
    </row>
    <row r="1610" spans="1:12">
      <c r="A1610" s="12"/>
      <c r="E1610" s="14"/>
      <c r="F1610" s="14"/>
      <c r="G1610" s="13">
        <v>0</v>
      </c>
      <c r="H1610" s="13">
        <v>0</v>
      </c>
      <c r="I1610" s="13"/>
      <c r="J1610" s="13"/>
      <c r="K1610" s="13"/>
      <c r="L1610" s="15">
        <v>0</v>
      </c>
    </row>
    <row r="1611" spans="1:12">
      <c r="A1611" s="12"/>
      <c r="E1611" s="14"/>
      <c r="F1611" s="14"/>
      <c r="G1611" s="13">
        <v>0</v>
      </c>
      <c r="H1611" s="13">
        <v>0</v>
      </c>
      <c r="I1611" s="13"/>
      <c r="J1611" s="13"/>
      <c r="K1611" s="13"/>
      <c r="L1611" s="15">
        <v>0</v>
      </c>
    </row>
    <row r="1612" spans="1:12">
      <c r="A1612" s="12"/>
      <c r="E1612" s="14"/>
      <c r="F1612" s="14"/>
      <c r="G1612" s="13">
        <v>0</v>
      </c>
      <c r="H1612" s="13">
        <v>0</v>
      </c>
      <c r="I1612" s="13"/>
      <c r="J1612" s="13"/>
      <c r="K1612" s="13"/>
      <c r="L1612" s="15">
        <v>0</v>
      </c>
    </row>
    <row r="1613" spans="1:12">
      <c r="A1613" s="12"/>
      <c r="E1613" s="14"/>
      <c r="F1613" s="14"/>
      <c r="G1613" s="13">
        <v>0</v>
      </c>
      <c r="H1613" s="13">
        <v>0</v>
      </c>
      <c r="I1613" s="13"/>
      <c r="J1613" s="13"/>
      <c r="K1613" s="13"/>
      <c r="L1613" s="15">
        <v>0</v>
      </c>
    </row>
    <row r="1614" spans="1:12">
      <c r="A1614" s="12"/>
      <c r="E1614" s="14"/>
      <c r="F1614" s="14"/>
      <c r="G1614" s="13">
        <v>0</v>
      </c>
      <c r="H1614" s="13">
        <v>0</v>
      </c>
      <c r="I1614" s="13"/>
      <c r="J1614" s="13"/>
      <c r="K1614" s="13"/>
      <c r="L1614" s="15">
        <v>0</v>
      </c>
    </row>
    <row r="1615" spans="1:12">
      <c r="A1615" s="12"/>
      <c r="E1615" s="14"/>
      <c r="F1615" s="14"/>
      <c r="G1615" s="13">
        <v>0</v>
      </c>
      <c r="H1615" s="13">
        <v>0</v>
      </c>
      <c r="I1615" s="13"/>
      <c r="J1615" s="13"/>
      <c r="K1615" s="13"/>
      <c r="L1615" s="15">
        <v>0</v>
      </c>
    </row>
    <row r="1616" spans="1:12">
      <c r="A1616" s="12"/>
      <c r="E1616" s="14"/>
      <c r="F1616" s="14"/>
      <c r="G1616" s="13">
        <v>0</v>
      </c>
      <c r="H1616" s="13">
        <v>0</v>
      </c>
      <c r="I1616" s="13"/>
      <c r="J1616" s="13"/>
      <c r="K1616" s="13"/>
      <c r="L1616" s="15">
        <v>0</v>
      </c>
    </row>
    <row r="1617" spans="1:12">
      <c r="A1617" s="12"/>
      <c r="E1617" s="14"/>
      <c r="F1617" s="14"/>
      <c r="G1617" s="13">
        <v>0</v>
      </c>
      <c r="H1617" s="13">
        <v>0</v>
      </c>
      <c r="I1617" s="13"/>
      <c r="J1617" s="13"/>
      <c r="K1617" s="13"/>
      <c r="L1617" s="15">
        <v>0</v>
      </c>
    </row>
    <row r="1618" spans="1:12">
      <c r="A1618" s="12"/>
      <c r="E1618" s="14"/>
      <c r="F1618" s="14"/>
      <c r="G1618" s="13">
        <v>0</v>
      </c>
      <c r="H1618" s="13">
        <v>0</v>
      </c>
      <c r="I1618" s="13"/>
      <c r="J1618" s="13"/>
      <c r="K1618" s="13"/>
      <c r="L1618" s="15">
        <v>0</v>
      </c>
    </row>
    <row r="1619" spans="1:12">
      <c r="A1619" s="12"/>
      <c r="E1619" s="14"/>
      <c r="F1619" s="14"/>
      <c r="G1619" s="13">
        <v>0</v>
      </c>
      <c r="H1619" s="13">
        <v>0</v>
      </c>
      <c r="I1619" s="13"/>
      <c r="J1619" s="13"/>
      <c r="K1619" s="13"/>
      <c r="L1619" s="15">
        <v>0</v>
      </c>
    </row>
    <row r="1620" spans="1:12">
      <c r="A1620" s="12"/>
      <c r="E1620" s="14"/>
      <c r="F1620" s="14"/>
      <c r="G1620" s="13">
        <v>0</v>
      </c>
      <c r="H1620" s="13">
        <v>0</v>
      </c>
      <c r="I1620" s="13"/>
      <c r="J1620" s="13"/>
      <c r="K1620" s="13"/>
      <c r="L1620" s="15">
        <v>0</v>
      </c>
    </row>
    <row r="1621" spans="1:12">
      <c r="A1621" s="12"/>
      <c r="E1621" s="14"/>
      <c r="F1621" s="14"/>
      <c r="G1621" s="13">
        <v>0</v>
      </c>
      <c r="H1621" s="13">
        <v>0</v>
      </c>
      <c r="I1621" s="13"/>
      <c r="J1621" s="13"/>
      <c r="K1621" s="13"/>
      <c r="L1621" s="15">
        <v>0</v>
      </c>
    </row>
    <row r="1622" spans="1:12">
      <c r="A1622" s="12"/>
      <c r="E1622" s="14"/>
      <c r="F1622" s="14"/>
      <c r="G1622" s="13">
        <v>0</v>
      </c>
      <c r="H1622" s="13">
        <v>0</v>
      </c>
      <c r="I1622" s="13"/>
      <c r="J1622" s="13"/>
      <c r="K1622" s="13"/>
      <c r="L1622" s="15">
        <v>0</v>
      </c>
    </row>
    <row r="1623" spans="1:12">
      <c r="A1623" s="12"/>
      <c r="E1623" s="14"/>
      <c r="F1623" s="14"/>
      <c r="G1623" s="13">
        <v>0</v>
      </c>
      <c r="H1623" s="13">
        <v>0</v>
      </c>
      <c r="I1623" s="13"/>
      <c r="J1623" s="13"/>
      <c r="K1623" s="13"/>
      <c r="L1623" s="15">
        <v>0</v>
      </c>
    </row>
    <row r="1624" spans="1:12">
      <c r="A1624" s="12"/>
      <c r="E1624" s="14"/>
      <c r="F1624" s="14"/>
      <c r="G1624" s="13">
        <v>0</v>
      </c>
      <c r="H1624" s="13">
        <v>0</v>
      </c>
      <c r="I1624" s="13"/>
      <c r="J1624" s="13"/>
      <c r="K1624" s="13"/>
      <c r="L1624" s="15">
        <v>0</v>
      </c>
    </row>
    <row r="1625" spans="1:12">
      <c r="A1625" s="12"/>
      <c r="E1625" s="14"/>
      <c r="F1625" s="14"/>
      <c r="G1625" s="13">
        <v>0</v>
      </c>
      <c r="H1625" s="13">
        <v>0</v>
      </c>
      <c r="I1625" s="13"/>
      <c r="J1625" s="13"/>
      <c r="K1625" s="13"/>
      <c r="L1625" s="15">
        <v>0</v>
      </c>
    </row>
    <row r="1626" spans="1:12">
      <c r="A1626" s="12"/>
      <c r="E1626" s="14"/>
      <c r="F1626" s="14"/>
      <c r="G1626" s="13">
        <v>0</v>
      </c>
      <c r="H1626" s="13">
        <v>0</v>
      </c>
      <c r="I1626" s="13"/>
      <c r="J1626" s="13"/>
      <c r="K1626" s="13"/>
      <c r="L1626" s="15">
        <v>0</v>
      </c>
    </row>
    <row r="1627" spans="1:12">
      <c r="A1627" s="12"/>
      <c r="E1627" s="14"/>
      <c r="F1627" s="14"/>
      <c r="G1627" s="13">
        <v>0</v>
      </c>
      <c r="H1627" s="13">
        <v>0</v>
      </c>
      <c r="I1627" s="13"/>
      <c r="J1627" s="13"/>
      <c r="K1627" s="13"/>
      <c r="L1627" s="15">
        <v>0</v>
      </c>
    </row>
    <row r="1628" spans="1:12">
      <c r="A1628" s="12"/>
      <c r="E1628" s="14"/>
      <c r="F1628" s="14"/>
      <c r="G1628" s="13">
        <v>0</v>
      </c>
      <c r="H1628" s="13">
        <v>0</v>
      </c>
      <c r="I1628" s="13"/>
      <c r="J1628" s="13"/>
      <c r="K1628" s="13"/>
      <c r="L1628" s="15">
        <v>0</v>
      </c>
    </row>
    <row r="1629" spans="1:12">
      <c r="A1629" s="12"/>
      <c r="E1629" s="14"/>
      <c r="F1629" s="14"/>
      <c r="G1629" s="13">
        <v>0</v>
      </c>
      <c r="H1629" s="13">
        <v>0</v>
      </c>
      <c r="I1629" s="13"/>
      <c r="J1629" s="13"/>
      <c r="K1629" s="13"/>
      <c r="L1629" s="15">
        <v>0</v>
      </c>
    </row>
    <row r="1630" spans="1:12">
      <c r="A1630" s="12"/>
      <c r="E1630" s="14"/>
      <c r="F1630" s="14"/>
      <c r="G1630" s="13">
        <v>0</v>
      </c>
      <c r="H1630" s="13">
        <v>0</v>
      </c>
      <c r="I1630" s="13"/>
      <c r="J1630" s="13"/>
      <c r="K1630" s="13"/>
      <c r="L1630" s="15">
        <v>0</v>
      </c>
    </row>
    <row r="1631" spans="1:12">
      <c r="A1631" s="12"/>
      <c r="E1631" s="14"/>
      <c r="F1631" s="14"/>
      <c r="G1631" s="13">
        <v>0</v>
      </c>
      <c r="H1631" s="13">
        <v>0</v>
      </c>
      <c r="I1631" s="13"/>
      <c r="J1631" s="13"/>
      <c r="K1631" s="13"/>
      <c r="L1631" s="15">
        <v>0</v>
      </c>
    </row>
    <row r="1632" spans="1:12">
      <c r="A1632" s="12"/>
      <c r="E1632" s="14"/>
      <c r="F1632" s="14"/>
      <c r="G1632" s="13">
        <v>0</v>
      </c>
      <c r="H1632" s="13">
        <v>0</v>
      </c>
      <c r="I1632" s="13"/>
      <c r="J1632" s="13"/>
      <c r="K1632" s="13"/>
      <c r="L1632" s="15">
        <v>0</v>
      </c>
    </row>
    <row r="1633" spans="1:12">
      <c r="A1633" s="12"/>
      <c r="E1633" s="14"/>
      <c r="F1633" s="14"/>
      <c r="G1633" s="13">
        <v>0</v>
      </c>
      <c r="H1633" s="13">
        <v>0</v>
      </c>
      <c r="I1633" s="13"/>
      <c r="J1633" s="13"/>
      <c r="K1633" s="13"/>
      <c r="L1633" s="15">
        <v>0</v>
      </c>
    </row>
    <row r="1634" spans="1:12">
      <c r="A1634" s="12"/>
      <c r="E1634" s="14"/>
      <c r="F1634" s="14"/>
      <c r="G1634" s="13">
        <v>0</v>
      </c>
      <c r="H1634" s="13">
        <v>0</v>
      </c>
      <c r="I1634" s="13"/>
      <c r="J1634" s="13"/>
      <c r="K1634" s="13"/>
      <c r="L1634" s="15">
        <v>0</v>
      </c>
    </row>
    <row r="1635" spans="1:12">
      <c r="A1635" s="12"/>
      <c r="E1635" s="14"/>
      <c r="F1635" s="14"/>
      <c r="G1635" s="13">
        <v>0</v>
      </c>
      <c r="H1635" s="13">
        <v>0</v>
      </c>
      <c r="I1635" s="13"/>
      <c r="J1635" s="13"/>
      <c r="K1635" s="13"/>
      <c r="L1635" s="15">
        <v>0</v>
      </c>
    </row>
    <row r="1636" spans="1:12">
      <c r="A1636" s="12"/>
      <c r="E1636" s="14"/>
      <c r="F1636" s="14"/>
      <c r="G1636" s="13">
        <v>0</v>
      </c>
      <c r="H1636" s="13">
        <v>0</v>
      </c>
      <c r="I1636" s="13"/>
      <c r="J1636" s="13"/>
      <c r="K1636" s="13"/>
      <c r="L1636" s="15">
        <v>0</v>
      </c>
    </row>
    <row r="1637" spans="1:12">
      <c r="A1637" s="12"/>
      <c r="E1637" s="14"/>
      <c r="F1637" s="14"/>
      <c r="G1637" s="13">
        <v>0</v>
      </c>
      <c r="H1637" s="13">
        <v>0</v>
      </c>
      <c r="I1637" s="13"/>
      <c r="J1637" s="13"/>
      <c r="K1637" s="13"/>
      <c r="L1637" s="15">
        <v>0</v>
      </c>
    </row>
    <row r="1638" spans="1:12">
      <c r="A1638" s="12"/>
      <c r="E1638" s="14"/>
      <c r="F1638" s="14"/>
      <c r="G1638" s="13">
        <v>0</v>
      </c>
      <c r="H1638" s="13">
        <v>0</v>
      </c>
      <c r="I1638" s="13"/>
      <c r="J1638" s="13"/>
      <c r="K1638" s="13"/>
      <c r="L1638" s="15">
        <v>0</v>
      </c>
    </row>
    <row r="1639" spans="1:12">
      <c r="A1639" s="12"/>
      <c r="E1639" s="14"/>
      <c r="F1639" s="14"/>
      <c r="G1639" s="13">
        <v>0</v>
      </c>
      <c r="H1639" s="13">
        <v>0</v>
      </c>
      <c r="I1639" s="13"/>
      <c r="J1639" s="13"/>
      <c r="K1639" s="13"/>
      <c r="L1639" s="15">
        <v>0</v>
      </c>
    </row>
    <row r="1640" spans="1:12">
      <c r="A1640" s="12"/>
      <c r="E1640" s="14"/>
      <c r="F1640" s="14"/>
      <c r="G1640" s="13">
        <v>0</v>
      </c>
      <c r="H1640" s="13">
        <v>0</v>
      </c>
      <c r="I1640" s="13"/>
      <c r="J1640" s="13"/>
      <c r="K1640" s="13"/>
      <c r="L1640" s="15">
        <v>0</v>
      </c>
    </row>
    <row r="1641" spans="1:12">
      <c r="A1641" s="12"/>
      <c r="E1641" s="14"/>
      <c r="F1641" s="14"/>
      <c r="G1641" s="13">
        <v>0</v>
      </c>
      <c r="H1641" s="13">
        <v>0</v>
      </c>
      <c r="I1641" s="13"/>
      <c r="J1641" s="13"/>
      <c r="K1641" s="13"/>
      <c r="L1641" s="15">
        <v>0</v>
      </c>
    </row>
    <row r="1642" spans="1:12">
      <c r="A1642" s="12"/>
      <c r="E1642" s="14"/>
      <c r="F1642" s="14"/>
      <c r="G1642" s="13">
        <v>0</v>
      </c>
      <c r="H1642" s="13">
        <v>0</v>
      </c>
      <c r="I1642" s="13"/>
      <c r="J1642" s="13"/>
      <c r="K1642" s="13"/>
      <c r="L1642" s="15">
        <v>0</v>
      </c>
    </row>
    <row r="1643" spans="1:12">
      <c r="A1643" s="12"/>
      <c r="E1643" s="14"/>
      <c r="F1643" s="14"/>
      <c r="G1643" s="13">
        <v>0</v>
      </c>
      <c r="H1643" s="13">
        <v>0</v>
      </c>
      <c r="I1643" s="13"/>
      <c r="J1643" s="13"/>
      <c r="K1643" s="13"/>
      <c r="L1643" s="15">
        <v>0</v>
      </c>
    </row>
    <row r="1644" spans="1:12">
      <c r="A1644" s="12"/>
      <c r="E1644" s="14"/>
      <c r="F1644" s="14"/>
      <c r="G1644" s="13">
        <v>0</v>
      </c>
      <c r="H1644" s="13">
        <v>0</v>
      </c>
      <c r="I1644" s="13"/>
      <c r="J1644" s="13"/>
      <c r="K1644" s="13"/>
      <c r="L1644" s="15">
        <v>0</v>
      </c>
    </row>
    <row r="1645" spans="1:12">
      <c r="A1645" s="12"/>
      <c r="E1645" s="14"/>
      <c r="F1645" s="14"/>
      <c r="G1645" s="13">
        <v>0</v>
      </c>
      <c r="H1645" s="13">
        <v>0</v>
      </c>
      <c r="I1645" s="13"/>
      <c r="J1645" s="13"/>
      <c r="K1645" s="13"/>
      <c r="L1645" s="15">
        <v>0</v>
      </c>
    </row>
    <row r="1646" spans="1:12">
      <c r="A1646" s="12"/>
      <c r="E1646" s="14"/>
      <c r="F1646" s="14"/>
      <c r="G1646" s="13">
        <v>0</v>
      </c>
      <c r="H1646" s="13">
        <v>0</v>
      </c>
      <c r="I1646" s="13"/>
      <c r="J1646" s="13"/>
      <c r="K1646" s="13"/>
      <c r="L1646" s="15">
        <v>0</v>
      </c>
    </row>
    <row r="1647" spans="1:12">
      <c r="A1647" s="12"/>
      <c r="E1647" s="14"/>
      <c r="F1647" s="14"/>
      <c r="G1647" s="13">
        <v>0</v>
      </c>
      <c r="H1647" s="13">
        <v>0</v>
      </c>
      <c r="I1647" s="13"/>
      <c r="J1647" s="13"/>
      <c r="K1647" s="13"/>
      <c r="L1647" s="15">
        <v>0</v>
      </c>
    </row>
    <row r="1648" spans="1:12">
      <c r="A1648" s="12"/>
      <c r="E1648" s="14"/>
      <c r="F1648" s="14"/>
      <c r="G1648" s="13">
        <v>0</v>
      </c>
      <c r="H1648" s="13">
        <v>0</v>
      </c>
      <c r="I1648" s="13"/>
      <c r="J1648" s="13"/>
      <c r="K1648" s="13"/>
      <c r="L1648" s="15">
        <v>0</v>
      </c>
    </row>
    <row r="1649" spans="1:12">
      <c r="A1649" s="12"/>
      <c r="E1649" s="14"/>
      <c r="F1649" s="14"/>
      <c r="G1649" s="13">
        <v>0</v>
      </c>
      <c r="H1649" s="13">
        <v>0</v>
      </c>
      <c r="I1649" s="13"/>
      <c r="J1649" s="13"/>
      <c r="K1649" s="13"/>
      <c r="L1649" s="15">
        <v>0</v>
      </c>
    </row>
    <row r="1650" spans="1:12">
      <c r="A1650" s="12"/>
      <c r="E1650" s="14"/>
      <c r="F1650" s="14"/>
      <c r="G1650" s="13">
        <v>0</v>
      </c>
      <c r="H1650" s="13">
        <v>0</v>
      </c>
      <c r="I1650" s="13"/>
      <c r="J1650" s="13"/>
      <c r="K1650" s="13"/>
      <c r="L1650" s="15">
        <v>0</v>
      </c>
    </row>
    <row r="1651" spans="1:12">
      <c r="A1651" s="12"/>
      <c r="E1651" s="14"/>
      <c r="F1651" s="14"/>
      <c r="G1651" s="13">
        <v>0</v>
      </c>
      <c r="H1651" s="13">
        <v>0</v>
      </c>
      <c r="I1651" s="13"/>
      <c r="J1651" s="13"/>
      <c r="K1651" s="13"/>
      <c r="L1651" s="15">
        <v>0</v>
      </c>
    </row>
    <row r="1652" spans="1:12">
      <c r="A1652" s="12"/>
      <c r="E1652" s="14"/>
      <c r="F1652" s="14"/>
      <c r="G1652" s="13">
        <v>0</v>
      </c>
      <c r="H1652" s="13">
        <v>0</v>
      </c>
      <c r="I1652" s="13"/>
      <c r="J1652" s="13"/>
      <c r="K1652" s="13"/>
      <c r="L1652" s="15">
        <v>0</v>
      </c>
    </row>
    <row r="1653" spans="1:12">
      <c r="A1653" s="12"/>
      <c r="E1653" s="14"/>
      <c r="F1653" s="14"/>
      <c r="G1653" s="13">
        <v>0</v>
      </c>
      <c r="H1653" s="13">
        <v>0</v>
      </c>
      <c r="I1653" s="13"/>
      <c r="J1653" s="13"/>
      <c r="K1653" s="13"/>
      <c r="L1653" s="15">
        <v>0</v>
      </c>
    </row>
    <row r="1654" spans="1:12">
      <c r="A1654" s="12"/>
      <c r="E1654" s="14"/>
      <c r="F1654" s="14"/>
      <c r="G1654" s="13">
        <v>0</v>
      </c>
      <c r="H1654" s="13">
        <v>0</v>
      </c>
      <c r="I1654" s="13"/>
      <c r="J1654" s="13"/>
      <c r="K1654" s="13"/>
      <c r="L1654" s="15">
        <v>0</v>
      </c>
    </row>
    <row r="1655" spans="1:12">
      <c r="A1655" s="12"/>
      <c r="E1655" s="14"/>
      <c r="F1655" s="14"/>
      <c r="G1655" s="13">
        <v>0</v>
      </c>
      <c r="H1655" s="13">
        <v>0</v>
      </c>
      <c r="I1655" s="13"/>
      <c r="J1655" s="13"/>
      <c r="K1655" s="13"/>
      <c r="L1655" s="15">
        <v>0</v>
      </c>
    </row>
    <row r="1656" spans="1:12">
      <c r="A1656" s="12"/>
      <c r="E1656" s="14"/>
      <c r="F1656" s="14"/>
      <c r="G1656" s="13">
        <v>0</v>
      </c>
      <c r="H1656" s="13">
        <v>0</v>
      </c>
      <c r="I1656" s="13"/>
      <c r="J1656" s="13"/>
      <c r="K1656" s="13"/>
      <c r="L1656" s="15">
        <v>0</v>
      </c>
    </row>
    <row r="1657" spans="1:12">
      <c r="A1657" s="12"/>
      <c r="E1657" s="14"/>
      <c r="F1657" s="14"/>
      <c r="G1657" s="13">
        <v>0</v>
      </c>
      <c r="H1657" s="13">
        <v>0</v>
      </c>
      <c r="I1657" s="13"/>
      <c r="J1657" s="13"/>
      <c r="K1657" s="13"/>
      <c r="L1657" s="15">
        <v>0</v>
      </c>
    </row>
    <row r="1658" spans="1:12">
      <c r="A1658" s="12"/>
      <c r="E1658" s="14"/>
      <c r="F1658" s="14"/>
      <c r="G1658" s="13">
        <v>0</v>
      </c>
      <c r="H1658" s="13">
        <v>0</v>
      </c>
      <c r="I1658" s="13"/>
      <c r="J1658" s="13"/>
      <c r="K1658" s="13"/>
      <c r="L1658" s="15">
        <v>0</v>
      </c>
    </row>
    <row r="1659" spans="1:12">
      <c r="A1659" s="12"/>
      <c r="E1659" s="14"/>
      <c r="F1659" s="14"/>
      <c r="G1659" s="13">
        <v>0</v>
      </c>
      <c r="H1659" s="13">
        <v>0</v>
      </c>
      <c r="I1659" s="13"/>
      <c r="J1659" s="13"/>
      <c r="K1659" s="13"/>
      <c r="L1659" s="15">
        <v>0</v>
      </c>
    </row>
    <row r="1660" spans="1:12">
      <c r="A1660" s="12"/>
      <c r="E1660" s="14"/>
      <c r="F1660" s="14"/>
      <c r="G1660" s="13">
        <v>0</v>
      </c>
      <c r="H1660" s="13">
        <v>0</v>
      </c>
      <c r="I1660" s="13"/>
      <c r="J1660" s="13"/>
      <c r="K1660" s="13"/>
      <c r="L1660" s="15">
        <v>0</v>
      </c>
    </row>
    <row r="1661" spans="1:12">
      <c r="A1661" s="12"/>
      <c r="E1661" s="14"/>
      <c r="F1661" s="14"/>
      <c r="G1661" s="13">
        <v>0</v>
      </c>
      <c r="H1661" s="13">
        <v>0</v>
      </c>
      <c r="I1661" s="13"/>
      <c r="J1661" s="13"/>
      <c r="K1661" s="13"/>
      <c r="L1661" s="15">
        <v>0</v>
      </c>
    </row>
    <row r="1662" spans="1:12">
      <c r="A1662" s="12"/>
      <c r="E1662" s="14"/>
      <c r="F1662" s="14"/>
      <c r="G1662" s="13">
        <v>0</v>
      </c>
      <c r="H1662" s="13">
        <v>0</v>
      </c>
      <c r="I1662" s="13"/>
      <c r="J1662" s="13"/>
      <c r="K1662" s="13"/>
      <c r="L1662" s="15">
        <v>0</v>
      </c>
    </row>
    <row r="1663" spans="1:12">
      <c r="A1663" s="12"/>
      <c r="E1663" s="14"/>
      <c r="F1663" s="14"/>
      <c r="G1663" s="13">
        <v>0</v>
      </c>
      <c r="H1663" s="13">
        <v>0</v>
      </c>
      <c r="I1663" s="13"/>
      <c r="J1663" s="13"/>
      <c r="K1663" s="13"/>
      <c r="L1663" s="15">
        <v>0</v>
      </c>
    </row>
    <row r="1664" spans="1:12">
      <c r="A1664" s="12"/>
      <c r="E1664" s="14"/>
      <c r="F1664" s="14"/>
      <c r="G1664" s="13">
        <v>0</v>
      </c>
      <c r="H1664" s="13">
        <v>0</v>
      </c>
      <c r="I1664" s="13"/>
      <c r="J1664" s="13"/>
      <c r="K1664" s="13"/>
      <c r="L1664" s="15">
        <v>0</v>
      </c>
    </row>
    <row r="1665" spans="1:12">
      <c r="A1665" s="12"/>
      <c r="E1665" s="14"/>
      <c r="F1665" s="14"/>
      <c r="G1665" s="13">
        <v>0</v>
      </c>
      <c r="H1665" s="13">
        <v>0</v>
      </c>
      <c r="I1665" s="13"/>
      <c r="J1665" s="13"/>
      <c r="K1665" s="13"/>
      <c r="L1665" s="15">
        <v>0</v>
      </c>
    </row>
    <row r="1666" spans="1:12">
      <c r="A1666" s="12"/>
      <c r="E1666" s="14"/>
      <c r="F1666" s="14"/>
      <c r="G1666" s="13">
        <v>0</v>
      </c>
      <c r="H1666" s="13">
        <v>0</v>
      </c>
      <c r="I1666" s="13"/>
      <c r="J1666" s="13"/>
      <c r="K1666" s="13"/>
      <c r="L1666" s="15">
        <v>0</v>
      </c>
    </row>
    <row r="1667" spans="1:12">
      <c r="A1667" s="12"/>
      <c r="E1667" s="14"/>
      <c r="F1667" s="14"/>
      <c r="G1667" s="13">
        <v>0</v>
      </c>
      <c r="H1667" s="13">
        <v>0</v>
      </c>
      <c r="I1667" s="13"/>
      <c r="J1667" s="13"/>
      <c r="K1667" s="13"/>
      <c r="L1667" s="15">
        <v>0</v>
      </c>
    </row>
    <row r="1668" spans="1:12">
      <c r="A1668" s="12"/>
      <c r="E1668" s="14"/>
      <c r="F1668" s="14"/>
      <c r="G1668" s="13">
        <v>0</v>
      </c>
      <c r="H1668" s="13">
        <v>0</v>
      </c>
      <c r="I1668" s="13"/>
      <c r="J1668" s="13"/>
      <c r="K1668" s="13"/>
      <c r="L1668" s="15">
        <v>0</v>
      </c>
    </row>
    <row r="1669" spans="1:12">
      <c r="A1669" s="12"/>
      <c r="E1669" s="14"/>
      <c r="F1669" s="14"/>
      <c r="G1669" s="13">
        <v>0</v>
      </c>
      <c r="H1669" s="13">
        <v>0</v>
      </c>
      <c r="I1669" s="13"/>
      <c r="J1669" s="13"/>
      <c r="K1669" s="13"/>
      <c r="L1669" s="15">
        <v>0</v>
      </c>
    </row>
    <row r="1670" spans="1:12">
      <c r="A1670" s="12"/>
      <c r="E1670" s="14"/>
      <c r="F1670" s="14"/>
      <c r="G1670" s="13">
        <v>0</v>
      </c>
      <c r="H1670" s="13">
        <v>0</v>
      </c>
      <c r="I1670" s="13"/>
      <c r="J1670" s="13"/>
      <c r="K1670" s="13"/>
      <c r="L1670" s="15">
        <v>0</v>
      </c>
    </row>
    <row r="1671" spans="1:12">
      <c r="A1671" s="12"/>
      <c r="E1671" s="14"/>
      <c r="F1671" s="14"/>
      <c r="G1671" s="13">
        <v>0</v>
      </c>
      <c r="H1671" s="13">
        <v>0</v>
      </c>
      <c r="I1671" s="13"/>
      <c r="J1671" s="13"/>
      <c r="K1671" s="13"/>
      <c r="L1671" s="15">
        <v>0</v>
      </c>
    </row>
    <row r="1672" spans="1:12">
      <c r="A1672" s="12"/>
      <c r="E1672" s="14"/>
      <c r="F1672" s="14"/>
      <c r="G1672" s="13">
        <v>0</v>
      </c>
      <c r="H1672" s="13">
        <v>0</v>
      </c>
      <c r="I1672" s="13"/>
      <c r="J1672" s="13"/>
      <c r="K1672" s="13"/>
      <c r="L1672" s="15">
        <v>0</v>
      </c>
    </row>
    <row r="1673" spans="1:12">
      <c r="A1673" s="12"/>
      <c r="E1673" s="14"/>
      <c r="F1673" s="14"/>
      <c r="G1673" s="13">
        <v>0</v>
      </c>
      <c r="H1673" s="13">
        <v>0</v>
      </c>
      <c r="I1673" s="13"/>
      <c r="J1673" s="13"/>
      <c r="K1673" s="13"/>
      <c r="L1673" s="15">
        <v>0</v>
      </c>
    </row>
    <row r="1674" spans="1:12">
      <c r="A1674" s="12"/>
      <c r="E1674" s="14"/>
      <c r="F1674" s="14"/>
      <c r="G1674" s="13">
        <v>0</v>
      </c>
      <c r="H1674" s="13">
        <v>0</v>
      </c>
      <c r="I1674" s="13"/>
      <c r="J1674" s="13"/>
      <c r="K1674" s="13"/>
      <c r="L1674" s="15">
        <v>0</v>
      </c>
    </row>
    <row r="1675" spans="1:12">
      <c r="A1675" s="12"/>
      <c r="E1675" s="14"/>
      <c r="F1675" s="14"/>
      <c r="G1675" s="13">
        <v>0</v>
      </c>
      <c r="H1675" s="13">
        <v>0</v>
      </c>
      <c r="I1675" s="13"/>
      <c r="J1675" s="13"/>
      <c r="K1675" s="13"/>
      <c r="L1675" s="15">
        <v>0</v>
      </c>
    </row>
    <row r="1676" spans="1:12">
      <c r="A1676" s="12"/>
      <c r="E1676" s="14"/>
      <c r="F1676" s="14"/>
      <c r="G1676" s="13">
        <v>0</v>
      </c>
      <c r="H1676" s="13">
        <v>0</v>
      </c>
      <c r="I1676" s="13"/>
      <c r="J1676" s="13"/>
      <c r="K1676" s="13"/>
      <c r="L1676" s="15">
        <v>0</v>
      </c>
    </row>
    <row r="1677" spans="1:12">
      <c r="A1677" s="12"/>
      <c r="E1677" s="14"/>
      <c r="F1677" s="14"/>
      <c r="G1677" s="13">
        <v>0</v>
      </c>
      <c r="H1677" s="13">
        <v>0</v>
      </c>
      <c r="I1677" s="13"/>
      <c r="J1677" s="13"/>
      <c r="K1677" s="13"/>
      <c r="L1677" s="15">
        <v>0</v>
      </c>
    </row>
    <row r="1678" spans="1:12">
      <c r="A1678" s="12"/>
      <c r="E1678" s="14"/>
      <c r="F1678" s="14"/>
      <c r="G1678" s="13">
        <v>0</v>
      </c>
      <c r="H1678" s="13">
        <v>0</v>
      </c>
      <c r="I1678" s="13"/>
      <c r="J1678" s="13"/>
      <c r="K1678" s="13"/>
      <c r="L1678" s="15">
        <v>0</v>
      </c>
    </row>
    <row r="1679" spans="1:12">
      <c r="A1679" s="12"/>
      <c r="E1679" s="14"/>
      <c r="F1679" s="14"/>
      <c r="G1679" s="13">
        <v>0</v>
      </c>
      <c r="H1679" s="13">
        <v>0</v>
      </c>
      <c r="I1679" s="13"/>
      <c r="J1679" s="13"/>
      <c r="K1679" s="13"/>
      <c r="L1679" s="15">
        <v>0</v>
      </c>
    </row>
    <row r="1680" spans="1:12">
      <c r="A1680" s="12"/>
      <c r="E1680" s="14"/>
      <c r="F1680" s="14"/>
      <c r="G1680" s="13">
        <v>0</v>
      </c>
      <c r="H1680" s="13">
        <v>0</v>
      </c>
      <c r="I1680" s="13"/>
      <c r="J1680" s="13"/>
      <c r="K1680" s="13"/>
      <c r="L1680" s="15">
        <v>0</v>
      </c>
    </row>
    <row r="1681" spans="1:12">
      <c r="A1681" s="12"/>
      <c r="E1681" s="14"/>
      <c r="F1681" s="14"/>
      <c r="G1681" s="13">
        <v>0</v>
      </c>
      <c r="H1681" s="13">
        <v>0</v>
      </c>
      <c r="I1681" s="13"/>
      <c r="J1681" s="13"/>
      <c r="K1681" s="13"/>
      <c r="L1681" s="15">
        <v>0</v>
      </c>
    </row>
    <row r="1682" spans="1:12">
      <c r="A1682" s="12"/>
      <c r="E1682" s="14"/>
      <c r="F1682" s="14"/>
      <c r="G1682" s="13">
        <v>0</v>
      </c>
      <c r="H1682" s="13">
        <v>0</v>
      </c>
      <c r="I1682" s="13"/>
      <c r="J1682" s="13"/>
      <c r="K1682" s="13"/>
      <c r="L1682" s="15">
        <v>0</v>
      </c>
    </row>
    <row r="1683" spans="1:12">
      <c r="A1683" s="12"/>
      <c r="E1683" s="14"/>
      <c r="F1683" s="14"/>
      <c r="G1683" s="13">
        <v>0</v>
      </c>
      <c r="H1683" s="13">
        <v>0</v>
      </c>
      <c r="I1683" s="13"/>
      <c r="J1683" s="13"/>
      <c r="K1683" s="13"/>
      <c r="L1683" s="15">
        <v>0</v>
      </c>
    </row>
    <row r="1684" spans="1:12">
      <c r="A1684" s="12"/>
      <c r="E1684" s="14"/>
      <c r="F1684" s="14"/>
      <c r="G1684" s="13">
        <v>0</v>
      </c>
      <c r="H1684" s="13">
        <v>0</v>
      </c>
      <c r="I1684" s="13"/>
      <c r="J1684" s="13"/>
      <c r="K1684" s="13"/>
      <c r="L1684" s="15">
        <v>0</v>
      </c>
    </row>
    <row r="1685" spans="1:12">
      <c r="A1685" s="12"/>
      <c r="E1685" s="14"/>
      <c r="F1685" s="14"/>
      <c r="G1685" s="13">
        <v>0</v>
      </c>
      <c r="H1685" s="13">
        <v>0</v>
      </c>
      <c r="I1685" s="13"/>
      <c r="J1685" s="13"/>
      <c r="K1685" s="13"/>
      <c r="L1685" s="15">
        <v>0</v>
      </c>
    </row>
    <row r="1686" spans="1:12">
      <c r="A1686" s="12"/>
      <c r="E1686" s="14"/>
      <c r="F1686" s="14"/>
      <c r="G1686" s="13">
        <v>0</v>
      </c>
      <c r="H1686" s="13">
        <v>0</v>
      </c>
      <c r="I1686" s="13"/>
      <c r="J1686" s="13"/>
      <c r="K1686" s="13"/>
      <c r="L1686" s="15">
        <v>0</v>
      </c>
    </row>
    <row r="1687" spans="1:12">
      <c r="A1687" s="12"/>
      <c r="E1687" s="14"/>
      <c r="F1687" s="14"/>
      <c r="G1687" s="13">
        <v>0</v>
      </c>
      <c r="H1687" s="13">
        <v>0</v>
      </c>
      <c r="I1687" s="13"/>
      <c r="J1687" s="13"/>
      <c r="K1687" s="13"/>
      <c r="L1687" s="15">
        <v>0</v>
      </c>
    </row>
    <row r="1688" spans="1:12">
      <c r="A1688" s="12"/>
      <c r="E1688" s="14"/>
      <c r="F1688" s="14"/>
      <c r="G1688" s="13">
        <v>0</v>
      </c>
      <c r="H1688" s="13">
        <v>0</v>
      </c>
      <c r="I1688" s="13"/>
      <c r="J1688" s="13"/>
      <c r="K1688" s="13"/>
      <c r="L1688" s="15">
        <v>0</v>
      </c>
    </row>
    <row r="1689" spans="1:12">
      <c r="A1689" s="12"/>
      <c r="E1689" s="14"/>
      <c r="F1689" s="14"/>
      <c r="G1689" s="13">
        <v>0</v>
      </c>
      <c r="H1689" s="13">
        <v>0</v>
      </c>
      <c r="I1689" s="13"/>
      <c r="J1689" s="13"/>
      <c r="K1689" s="13"/>
      <c r="L1689" s="15">
        <v>0</v>
      </c>
    </row>
    <row r="1690" spans="1:12">
      <c r="A1690" s="12"/>
      <c r="E1690" s="14"/>
      <c r="F1690" s="14"/>
      <c r="G1690" s="13">
        <v>0</v>
      </c>
      <c r="H1690" s="13">
        <v>0</v>
      </c>
      <c r="I1690" s="13"/>
      <c r="J1690" s="13"/>
      <c r="K1690" s="13"/>
      <c r="L1690" s="15">
        <v>0</v>
      </c>
    </row>
    <row r="1691" spans="1:12">
      <c r="A1691" s="12"/>
      <c r="E1691" s="14"/>
      <c r="F1691" s="14"/>
      <c r="G1691" s="13">
        <v>0</v>
      </c>
      <c r="H1691" s="13">
        <v>0</v>
      </c>
      <c r="I1691" s="13"/>
      <c r="J1691" s="13"/>
      <c r="K1691" s="13"/>
      <c r="L1691" s="15">
        <v>0</v>
      </c>
    </row>
    <row r="1692" spans="1:12">
      <c r="A1692" s="12"/>
      <c r="E1692" s="14"/>
      <c r="F1692" s="14"/>
      <c r="G1692" s="13">
        <v>0</v>
      </c>
      <c r="H1692" s="13">
        <v>0</v>
      </c>
      <c r="I1692" s="13"/>
      <c r="J1692" s="13"/>
      <c r="K1692" s="13"/>
      <c r="L1692" s="15">
        <v>0</v>
      </c>
    </row>
    <row r="1693" spans="1:12">
      <c r="A1693" s="12"/>
      <c r="E1693" s="14"/>
      <c r="F1693" s="14"/>
      <c r="G1693" s="13">
        <v>0</v>
      </c>
      <c r="H1693" s="13">
        <v>0</v>
      </c>
      <c r="I1693" s="13"/>
      <c r="J1693" s="13"/>
      <c r="K1693" s="13"/>
      <c r="L1693" s="15">
        <v>0</v>
      </c>
    </row>
    <row r="1694" spans="1:12">
      <c r="A1694" s="12"/>
      <c r="E1694" s="14"/>
      <c r="F1694" s="14"/>
      <c r="G1694" s="13">
        <v>0</v>
      </c>
      <c r="H1694" s="13">
        <v>0</v>
      </c>
      <c r="I1694" s="13"/>
      <c r="J1694" s="13"/>
      <c r="K1694" s="13"/>
      <c r="L1694" s="15">
        <v>0</v>
      </c>
    </row>
    <row r="1695" spans="1:12">
      <c r="A1695" s="12"/>
      <c r="E1695" s="14"/>
      <c r="F1695" s="14"/>
      <c r="G1695" s="13">
        <v>0</v>
      </c>
      <c r="H1695" s="13">
        <v>0</v>
      </c>
      <c r="I1695" s="13"/>
      <c r="J1695" s="13"/>
      <c r="K1695" s="13"/>
      <c r="L1695" s="15">
        <v>0</v>
      </c>
    </row>
    <row r="1696" spans="1:12">
      <c r="A1696" s="12"/>
      <c r="E1696" s="14"/>
      <c r="F1696" s="14"/>
      <c r="G1696" s="13">
        <v>0</v>
      </c>
      <c r="H1696" s="13">
        <v>0</v>
      </c>
      <c r="I1696" s="13"/>
      <c r="J1696" s="13"/>
      <c r="K1696" s="13"/>
      <c r="L1696" s="15">
        <v>0</v>
      </c>
    </row>
    <row r="1697" spans="1:12">
      <c r="A1697" s="12"/>
      <c r="E1697" s="14"/>
      <c r="F1697" s="14"/>
      <c r="G1697" s="13">
        <v>0</v>
      </c>
      <c r="H1697" s="13">
        <v>0</v>
      </c>
      <c r="I1697" s="13"/>
      <c r="J1697" s="13"/>
      <c r="K1697" s="13"/>
      <c r="L1697" s="15">
        <v>0</v>
      </c>
    </row>
    <row r="1698" spans="1:12">
      <c r="A1698" s="12"/>
      <c r="E1698" s="14"/>
      <c r="F1698" s="14"/>
      <c r="G1698" s="13">
        <v>0</v>
      </c>
      <c r="H1698" s="13">
        <v>0</v>
      </c>
      <c r="I1698" s="13"/>
      <c r="J1698" s="13"/>
      <c r="K1698" s="13"/>
      <c r="L1698" s="15">
        <v>0</v>
      </c>
    </row>
    <row r="1699" spans="1:12">
      <c r="A1699" s="12"/>
      <c r="E1699" s="14"/>
      <c r="F1699" s="14"/>
      <c r="G1699" s="13">
        <v>0</v>
      </c>
      <c r="H1699" s="13">
        <v>0</v>
      </c>
      <c r="I1699" s="13"/>
      <c r="J1699" s="13"/>
      <c r="K1699" s="13"/>
      <c r="L1699" s="15">
        <v>0</v>
      </c>
    </row>
    <row r="1700" spans="1:12">
      <c r="A1700" s="12"/>
      <c r="E1700" s="14"/>
      <c r="F1700" s="14"/>
      <c r="G1700" s="13">
        <v>0</v>
      </c>
      <c r="H1700" s="13">
        <v>0</v>
      </c>
      <c r="I1700" s="13"/>
      <c r="J1700" s="13"/>
      <c r="K1700" s="13"/>
      <c r="L1700" s="15">
        <v>0</v>
      </c>
    </row>
    <row r="1701" spans="1:12">
      <c r="A1701" s="12"/>
      <c r="E1701" s="14"/>
      <c r="F1701" s="14"/>
      <c r="G1701" s="13">
        <v>0</v>
      </c>
      <c r="H1701" s="13">
        <v>0</v>
      </c>
      <c r="I1701" s="13"/>
      <c r="J1701" s="13"/>
      <c r="K1701" s="13"/>
      <c r="L1701" s="15">
        <v>0</v>
      </c>
    </row>
    <row r="1702" spans="1:12">
      <c r="A1702" s="12"/>
      <c r="E1702" s="14"/>
      <c r="F1702" s="14"/>
      <c r="G1702" s="13">
        <v>0</v>
      </c>
      <c r="H1702" s="13">
        <v>0</v>
      </c>
      <c r="I1702" s="13"/>
      <c r="J1702" s="13"/>
      <c r="K1702" s="13"/>
      <c r="L1702" s="15">
        <v>0</v>
      </c>
    </row>
    <row r="1703" spans="1:12">
      <c r="A1703" s="12"/>
      <c r="E1703" s="14"/>
      <c r="F1703" s="14"/>
      <c r="G1703" s="13">
        <v>0</v>
      </c>
      <c r="H1703" s="13">
        <v>0</v>
      </c>
      <c r="I1703" s="13"/>
      <c r="J1703" s="13"/>
      <c r="K1703" s="13"/>
      <c r="L1703" s="15">
        <v>0</v>
      </c>
    </row>
    <row r="1704" spans="1:12">
      <c r="A1704" s="12"/>
      <c r="E1704" s="14"/>
      <c r="F1704" s="14"/>
      <c r="G1704" s="13">
        <v>0</v>
      </c>
      <c r="H1704" s="13">
        <v>0</v>
      </c>
      <c r="I1704" s="13"/>
      <c r="J1704" s="13"/>
      <c r="K1704" s="13"/>
      <c r="L1704" s="15">
        <v>0</v>
      </c>
    </row>
    <row r="1705" spans="1:12">
      <c r="A1705" s="12"/>
      <c r="E1705" s="14"/>
      <c r="F1705" s="14"/>
      <c r="G1705" s="13">
        <v>0</v>
      </c>
      <c r="H1705" s="13">
        <v>0</v>
      </c>
      <c r="I1705" s="13"/>
      <c r="J1705" s="13"/>
      <c r="K1705" s="13"/>
      <c r="L1705" s="15">
        <v>0</v>
      </c>
    </row>
    <row r="1706" spans="1:12">
      <c r="A1706" s="12"/>
      <c r="E1706" s="14"/>
      <c r="F1706" s="14"/>
      <c r="G1706" s="13">
        <v>0</v>
      </c>
      <c r="H1706" s="13">
        <v>0</v>
      </c>
      <c r="I1706" s="13"/>
      <c r="J1706" s="13"/>
      <c r="K1706" s="13"/>
      <c r="L1706" s="15">
        <v>0</v>
      </c>
    </row>
    <row r="1707" spans="1:12">
      <c r="A1707" s="12"/>
      <c r="E1707" s="14"/>
      <c r="F1707" s="14"/>
      <c r="G1707" s="13">
        <v>0</v>
      </c>
      <c r="H1707" s="13">
        <v>0</v>
      </c>
      <c r="I1707" s="13"/>
      <c r="J1707" s="13"/>
      <c r="K1707" s="13"/>
      <c r="L1707" s="15">
        <v>0</v>
      </c>
    </row>
    <row r="1708" spans="1:12">
      <c r="A1708" s="12"/>
      <c r="E1708" s="14"/>
      <c r="F1708" s="14"/>
      <c r="G1708" s="13">
        <v>0</v>
      </c>
      <c r="H1708" s="13">
        <v>0</v>
      </c>
      <c r="I1708" s="13"/>
      <c r="J1708" s="13"/>
      <c r="K1708" s="13"/>
      <c r="L1708" s="15">
        <v>0</v>
      </c>
    </row>
    <row r="1709" spans="1:12">
      <c r="A1709" s="12"/>
      <c r="E1709" s="14"/>
      <c r="F1709" s="14"/>
      <c r="G1709" s="13">
        <v>0</v>
      </c>
      <c r="H1709" s="13">
        <v>0</v>
      </c>
      <c r="I1709" s="13"/>
      <c r="J1709" s="13"/>
      <c r="K1709" s="13"/>
      <c r="L1709" s="15">
        <v>0</v>
      </c>
    </row>
    <row r="1710" spans="1:12">
      <c r="A1710" s="12"/>
      <c r="E1710" s="14"/>
      <c r="F1710" s="14"/>
      <c r="G1710" s="13">
        <v>0</v>
      </c>
      <c r="H1710" s="13">
        <v>0</v>
      </c>
      <c r="I1710" s="13"/>
      <c r="J1710" s="13"/>
      <c r="K1710" s="13"/>
      <c r="L1710" s="15">
        <v>0</v>
      </c>
    </row>
    <row r="1711" spans="1:12">
      <c r="A1711" s="12"/>
      <c r="E1711" s="14"/>
      <c r="F1711" s="14"/>
      <c r="G1711" s="13">
        <v>0</v>
      </c>
      <c r="H1711" s="13">
        <v>0</v>
      </c>
      <c r="I1711" s="13"/>
      <c r="J1711" s="13"/>
      <c r="K1711" s="13"/>
      <c r="L1711" s="15">
        <v>0</v>
      </c>
    </row>
    <row r="1712" spans="1:12">
      <c r="A1712" s="12"/>
      <c r="E1712" s="14"/>
      <c r="F1712" s="14"/>
      <c r="G1712" s="13">
        <v>0</v>
      </c>
      <c r="H1712" s="13">
        <v>0</v>
      </c>
      <c r="I1712" s="13"/>
      <c r="J1712" s="13"/>
      <c r="K1712" s="13"/>
      <c r="L1712" s="15">
        <v>0</v>
      </c>
    </row>
    <row r="1713" spans="1:12">
      <c r="A1713" s="12"/>
      <c r="E1713" s="14"/>
      <c r="F1713" s="14"/>
      <c r="G1713" s="13">
        <v>0</v>
      </c>
      <c r="H1713" s="13">
        <v>0</v>
      </c>
      <c r="I1713" s="13"/>
      <c r="J1713" s="13"/>
      <c r="K1713" s="13"/>
      <c r="L1713" s="15">
        <v>0</v>
      </c>
    </row>
    <row r="1714" spans="1:12">
      <c r="A1714" s="12"/>
      <c r="E1714" s="14"/>
      <c r="F1714" s="14"/>
      <c r="G1714" s="13">
        <v>0</v>
      </c>
      <c r="H1714" s="13">
        <v>0</v>
      </c>
      <c r="I1714" s="13"/>
      <c r="J1714" s="13"/>
      <c r="K1714" s="13"/>
      <c r="L1714" s="15">
        <v>0</v>
      </c>
    </row>
    <row r="1715" spans="1:12">
      <c r="A1715" s="12"/>
      <c r="E1715" s="14"/>
      <c r="F1715" s="14"/>
      <c r="G1715" s="13">
        <v>0</v>
      </c>
      <c r="H1715" s="13">
        <v>0</v>
      </c>
      <c r="I1715" s="13"/>
      <c r="J1715" s="13"/>
      <c r="K1715" s="13"/>
      <c r="L1715" s="15">
        <v>0</v>
      </c>
    </row>
    <row r="1716" spans="1:12">
      <c r="A1716" s="12"/>
      <c r="E1716" s="14"/>
      <c r="F1716" s="14"/>
      <c r="G1716" s="13">
        <v>0</v>
      </c>
      <c r="H1716" s="13">
        <v>0</v>
      </c>
      <c r="I1716" s="13"/>
      <c r="J1716" s="13"/>
      <c r="K1716" s="13"/>
      <c r="L1716" s="15">
        <v>0</v>
      </c>
    </row>
    <row r="1717" spans="1:12">
      <c r="A1717" s="12"/>
      <c r="E1717" s="14"/>
      <c r="F1717" s="14"/>
      <c r="G1717" s="13">
        <v>0</v>
      </c>
      <c r="H1717" s="13">
        <v>0</v>
      </c>
      <c r="I1717" s="13"/>
      <c r="J1717" s="13"/>
      <c r="K1717" s="13"/>
      <c r="L1717" s="15">
        <v>0</v>
      </c>
    </row>
    <row r="1718" spans="1:12">
      <c r="A1718" s="12"/>
      <c r="E1718" s="14"/>
      <c r="F1718" s="14"/>
      <c r="G1718" s="13">
        <v>0</v>
      </c>
      <c r="H1718" s="13">
        <v>0</v>
      </c>
      <c r="I1718" s="13"/>
      <c r="J1718" s="13"/>
      <c r="K1718" s="13"/>
      <c r="L1718" s="15">
        <v>0</v>
      </c>
    </row>
    <row r="1719" spans="1:12">
      <c r="A1719" s="12"/>
      <c r="E1719" s="14"/>
      <c r="F1719" s="14"/>
      <c r="G1719" s="13">
        <v>0</v>
      </c>
      <c r="H1719" s="13">
        <v>0</v>
      </c>
      <c r="I1719" s="13"/>
      <c r="J1719" s="13"/>
      <c r="K1719" s="13"/>
      <c r="L1719" s="15">
        <v>0</v>
      </c>
    </row>
    <row r="1720" spans="1:12">
      <c r="A1720" s="12"/>
      <c r="E1720" s="14"/>
      <c r="F1720" s="14"/>
      <c r="G1720" s="13">
        <v>0</v>
      </c>
      <c r="H1720" s="13">
        <v>0</v>
      </c>
      <c r="I1720" s="13"/>
      <c r="J1720" s="13"/>
      <c r="K1720" s="13"/>
      <c r="L1720" s="15">
        <v>0</v>
      </c>
    </row>
    <row r="1721" spans="1:12">
      <c r="A1721" s="12"/>
      <c r="E1721" s="14"/>
      <c r="F1721" s="14"/>
      <c r="G1721" s="13">
        <v>0</v>
      </c>
      <c r="H1721" s="13">
        <v>0</v>
      </c>
      <c r="I1721" s="13"/>
      <c r="J1721" s="13"/>
      <c r="K1721" s="13"/>
      <c r="L1721" s="15">
        <v>0</v>
      </c>
    </row>
    <row r="1722" spans="1:12">
      <c r="A1722" s="12"/>
      <c r="E1722" s="14"/>
      <c r="F1722" s="14"/>
      <c r="G1722" s="13">
        <v>0</v>
      </c>
      <c r="H1722" s="13">
        <v>0</v>
      </c>
      <c r="I1722" s="13"/>
      <c r="J1722" s="13"/>
      <c r="K1722" s="13"/>
      <c r="L1722" s="15">
        <v>0</v>
      </c>
    </row>
    <row r="1723" spans="1:12">
      <c r="A1723" s="12"/>
      <c r="E1723" s="14"/>
      <c r="F1723" s="14"/>
      <c r="G1723" s="13">
        <v>0</v>
      </c>
      <c r="H1723" s="13">
        <v>0</v>
      </c>
      <c r="I1723" s="13"/>
      <c r="J1723" s="13"/>
      <c r="K1723" s="13"/>
      <c r="L1723" s="15">
        <v>0</v>
      </c>
    </row>
    <row r="1724" spans="1:12">
      <c r="A1724" s="12"/>
      <c r="E1724" s="14"/>
      <c r="F1724" s="14"/>
      <c r="G1724" s="13">
        <v>0</v>
      </c>
      <c r="H1724" s="13">
        <v>0</v>
      </c>
      <c r="I1724" s="13"/>
      <c r="J1724" s="13"/>
      <c r="K1724" s="13"/>
      <c r="L1724" s="15">
        <v>0</v>
      </c>
    </row>
    <row r="1725" spans="1:12">
      <c r="A1725" s="12"/>
      <c r="E1725" s="14"/>
      <c r="F1725" s="14"/>
      <c r="G1725" s="13">
        <v>0</v>
      </c>
      <c r="H1725" s="13">
        <v>0</v>
      </c>
      <c r="I1725" s="13"/>
      <c r="J1725" s="13"/>
      <c r="K1725" s="13"/>
      <c r="L1725" s="15">
        <v>0</v>
      </c>
    </row>
    <row r="1726" spans="1:12">
      <c r="A1726" s="12"/>
      <c r="E1726" s="14"/>
      <c r="F1726" s="14"/>
      <c r="G1726" s="13">
        <v>0</v>
      </c>
      <c r="H1726" s="13">
        <v>0</v>
      </c>
      <c r="I1726" s="13"/>
      <c r="J1726" s="13"/>
      <c r="K1726" s="13"/>
      <c r="L1726" s="15">
        <v>0</v>
      </c>
    </row>
    <row r="1727" spans="1:12">
      <c r="A1727" s="12"/>
      <c r="E1727" s="14"/>
      <c r="F1727" s="14"/>
      <c r="G1727" s="13">
        <v>0</v>
      </c>
      <c r="H1727" s="13">
        <v>0</v>
      </c>
      <c r="I1727" s="13"/>
      <c r="J1727" s="13"/>
      <c r="K1727" s="13"/>
      <c r="L1727" s="15">
        <v>0</v>
      </c>
    </row>
    <row r="1728" spans="1:12">
      <c r="A1728" s="12"/>
      <c r="E1728" s="14"/>
      <c r="F1728" s="14"/>
      <c r="G1728" s="13">
        <v>0</v>
      </c>
      <c r="H1728" s="13">
        <v>0</v>
      </c>
      <c r="I1728" s="13"/>
      <c r="J1728" s="13"/>
      <c r="K1728" s="13"/>
      <c r="L1728" s="15">
        <v>0</v>
      </c>
    </row>
    <row r="1729" spans="1:12">
      <c r="A1729" s="12"/>
      <c r="E1729" s="14"/>
      <c r="F1729" s="14"/>
      <c r="G1729" s="13">
        <v>0</v>
      </c>
      <c r="H1729" s="13">
        <v>0</v>
      </c>
      <c r="I1729" s="13"/>
      <c r="J1729" s="13"/>
      <c r="K1729" s="13"/>
      <c r="L1729" s="15">
        <v>0</v>
      </c>
    </row>
    <row r="1730" spans="1:12">
      <c r="A1730" s="12"/>
      <c r="E1730" s="14"/>
      <c r="F1730" s="14"/>
      <c r="G1730" s="13">
        <v>0</v>
      </c>
      <c r="H1730" s="13">
        <v>0</v>
      </c>
      <c r="I1730" s="13"/>
      <c r="J1730" s="13"/>
      <c r="K1730" s="13"/>
      <c r="L1730" s="15">
        <v>0</v>
      </c>
    </row>
    <row r="1731" spans="1:12">
      <c r="A1731" s="12"/>
      <c r="E1731" s="14"/>
      <c r="F1731" s="14"/>
      <c r="G1731" s="13">
        <v>0</v>
      </c>
      <c r="H1731" s="13">
        <v>0</v>
      </c>
      <c r="I1731" s="13"/>
      <c r="J1731" s="13"/>
      <c r="K1731" s="13"/>
      <c r="L1731" s="15">
        <v>0</v>
      </c>
    </row>
    <row r="1732" spans="1:12">
      <c r="A1732" s="12"/>
      <c r="E1732" s="14"/>
      <c r="F1732" s="14"/>
      <c r="G1732" s="13">
        <v>0</v>
      </c>
      <c r="H1732" s="13">
        <v>0</v>
      </c>
      <c r="I1732" s="13"/>
      <c r="J1732" s="13"/>
      <c r="K1732" s="13"/>
      <c r="L1732" s="15">
        <v>0</v>
      </c>
    </row>
    <row r="1733" spans="1:12">
      <c r="A1733" s="12"/>
      <c r="E1733" s="14"/>
      <c r="F1733" s="14"/>
      <c r="G1733" s="13">
        <v>0</v>
      </c>
      <c r="H1733" s="13">
        <v>0</v>
      </c>
      <c r="I1733" s="13"/>
      <c r="J1733" s="13"/>
      <c r="K1733" s="13"/>
      <c r="L1733" s="15">
        <v>0</v>
      </c>
    </row>
    <row r="1734" spans="1:12">
      <c r="A1734" s="12"/>
      <c r="E1734" s="14"/>
      <c r="F1734" s="14"/>
      <c r="G1734" s="13">
        <v>0</v>
      </c>
      <c r="H1734" s="13">
        <v>0</v>
      </c>
      <c r="I1734" s="13"/>
      <c r="J1734" s="13"/>
      <c r="K1734" s="13"/>
      <c r="L1734" s="15">
        <v>0</v>
      </c>
    </row>
    <row r="1735" spans="1:12">
      <c r="A1735" s="12"/>
      <c r="E1735" s="14"/>
      <c r="F1735" s="14"/>
      <c r="G1735" s="13">
        <v>0</v>
      </c>
      <c r="H1735" s="13">
        <v>0</v>
      </c>
      <c r="I1735" s="13"/>
      <c r="J1735" s="13"/>
      <c r="K1735" s="13"/>
      <c r="L1735" s="15">
        <v>0</v>
      </c>
    </row>
    <row r="1736" spans="1:12">
      <c r="A1736" s="12"/>
      <c r="E1736" s="14"/>
      <c r="F1736" s="14"/>
      <c r="G1736" s="13">
        <v>0</v>
      </c>
      <c r="H1736" s="13">
        <v>0</v>
      </c>
      <c r="I1736" s="13"/>
      <c r="J1736" s="13"/>
      <c r="K1736" s="13"/>
      <c r="L1736" s="15">
        <v>0</v>
      </c>
    </row>
    <row r="1737" spans="1:12">
      <c r="A1737" s="12"/>
      <c r="E1737" s="14"/>
      <c r="F1737" s="14"/>
      <c r="G1737" s="13">
        <v>0</v>
      </c>
      <c r="H1737" s="13">
        <v>0</v>
      </c>
      <c r="I1737" s="13"/>
      <c r="J1737" s="13"/>
      <c r="K1737" s="13"/>
      <c r="L1737" s="15">
        <v>0</v>
      </c>
    </row>
    <row r="1738" spans="1:12">
      <c r="A1738" s="12"/>
      <c r="E1738" s="14"/>
      <c r="F1738" s="14"/>
      <c r="G1738" s="13">
        <v>0</v>
      </c>
      <c r="H1738" s="13">
        <v>0</v>
      </c>
      <c r="I1738" s="13"/>
      <c r="J1738" s="13"/>
      <c r="K1738" s="13"/>
      <c r="L1738" s="15">
        <v>0</v>
      </c>
    </row>
    <row r="1739" spans="1:12">
      <c r="A1739" s="12"/>
      <c r="E1739" s="14"/>
      <c r="F1739" s="14"/>
      <c r="G1739" s="13">
        <v>0</v>
      </c>
      <c r="H1739" s="13">
        <v>0</v>
      </c>
      <c r="I1739" s="13"/>
      <c r="J1739" s="13"/>
      <c r="K1739" s="13"/>
      <c r="L1739" s="15">
        <v>0</v>
      </c>
    </row>
    <row r="1740" spans="1:12">
      <c r="A1740" s="12"/>
      <c r="E1740" s="14"/>
      <c r="F1740" s="14"/>
      <c r="G1740" s="13">
        <v>0</v>
      </c>
      <c r="H1740" s="13">
        <v>0</v>
      </c>
      <c r="I1740" s="13"/>
      <c r="J1740" s="13"/>
      <c r="K1740" s="13"/>
      <c r="L1740" s="15">
        <v>0</v>
      </c>
    </row>
    <row r="1741" spans="1:12">
      <c r="A1741" s="12"/>
      <c r="E1741" s="14"/>
      <c r="F1741" s="14"/>
      <c r="G1741" s="13">
        <v>0</v>
      </c>
      <c r="H1741" s="13">
        <v>0</v>
      </c>
      <c r="I1741" s="13"/>
      <c r="J1741" s="13"/>
      <c r="K1741" s="13"/>
      <c r="L1741" s="15">
        <v>0</v>
      </c>
    </row>
    <row r="1742" spans="1:12">
      <c r="A1742" s="12"/>
      <c r="E1742" s="14"/>
      <c r="F1742" s="14"/>
      <c r="G1742" s="13">
        <v>0</v>
      </c>
      <c r="H1742" s="13">
        <v>0</v>
      </c>
      <c r="I1742" s="13"/>
      <c r="J1742" s="13"/>
      <c r="K1742" s="13"/>
      <c r="L1742" s="15">
        <v>0</v>
      </c>
    </row>
    <row r="1743" spans="1:12">
      <c r="A1743" s="12"/>
      <c r="E1743" s="14"/>
      <c r="F1743" s="14"/>
      <c r="G1743" s="13">
        <v>0</v>
      </c>
      <c r="H1743" s="13">
        <v>0</v>
      </c>
      <c r="I1743" s="13"/>
      <c r="J1743" s="13"/>
      <c r="K1743" s="13"/>
      <c r="L1743" s="15">
        <v>0</v>
      </c>
    </row>
    <row r="1744" spans="1:12">
      <c r="A1744" s="12"/>
      <c r="E1744" s="14"/>
      <c r="F1744" s="14"/>
      <c r="G1744" s="13">
        <v>0</v>
      </c>
      <c r="H1744" s="13">
        <v>0</v>
      </c>
      <c r="I1744" s="13"/>
      <c r="J1744" s="13"/>
      <c r="K1744" s="13"/>
      <c r="L1744" s="15">
        <v>0</v>
      </c>
    </row>
    <row r="1745" spans="1:12">
      <c r="A1745" s="12"/>
      <c r="E1745" s="14"/>
      <c r="F1745" s="14"/>
      <c r="G1745" s="13">
        <v>0</v>
      </c>
      <c r="H1745" s="13">
        <v>0</v>
      </c>
      <c r="I1745" s="13"/>
      <c r="J1745" s="13"/>
      <c r="K1745" s="13"/>
      <c r="L1745" s="15">
        <v>0</v>
      </c>
    </row>
    <row r="1746" spans="1:12">
      <c r="A1746" s="12"/>
      <c r="E1746" s="14"/>
      <c r="F1746" s="14"/>
      <c r="G1746" s="13">
        <v>0</v>
      </c>
      <c r="H1746" s="13">
        <v>0</v>
      </c>
      <c r="I1746" s="13"/>
      <c r="J1746" s="13"/>
      <c r="K1746" s="13"/>
      <c r="L1746" s="15">
        <v>0</v>
      </c>
    </row>
    <row r="1747" spans="1:12">
      <c r="A1747" s="12"/>
      <c r="E1747" s="14"/>
      <c r="F1747" s="14"/>
      <c r="G1747" s="13">
        <v>0</v>
      </c>
      <c r="H1747" s="13">
        <v>0</v>
      </c>
      <c r="I1747" s="13"/>
      <c r="J1747" s="13"/>
      <c r="K1747" s="13"/>
      <c r="L1747" s="15">
        <v>0</v>
      </c>
    </row>
    <row r="1748" spans="1:12">
      <c r="A1748" s="12"/>
      <c r="E1748" s="14"/>
      <c r="F1748" s="14"/>
      <c r="G1748" s="13">
        <v>0</v>
      </c>
      <c r="H1748" s="13">
        <v>0</v>
      </c>
      <c r="I1748" s="13"/>
      <c r="J1748" s="13"/>
      <c r="K1748" s="13"/>
      <c r="L1748" s="15">
        <v>0</v>
      </c>
    </row>
    <row r="1749" spans="1:12">
      <c r="A1749" s="12"/>
      <c r="E1749" s="14"/>
      <c r="F1749" s="14"/>
      <c r="G1749" s="13">
        <v>0</v>
      </c>
      <c r="H1749" s="13">
        <v>0</v>
      </c>
      <c r="I1749" s="13"/>
      <c r="J1749" s="13"/>
      <c r="K1749" s="13"/>
      <c r="L1749" s="15">
        <v>0</v>
      </c>
    </row>
    <row r="1750" spans="1:12">
      <c r="A1750" s="12"/>
      <c r="E1750" s="14"/>
      <c r="F1750" s="14"/>
      <c r="G1750" s="13">
        <v>0</v>
      </c>
      <c r="H1750" s="13">
        <v>0</v>
      </c>
      <c r="I1750" s="13"/>
      <c r="J1750" s="13"/>
      <c r="K1750" s="13"/>
      <c r="L1750" s="15">
        <v>0</v>
      </c>
    </row>
    <row r="1751" spans="1:12">
      <c r="A1751" s="12"/>
      <c r="E1751" s="14"/>
      <c r="F1751" s="14"/>
      <c r="G1751" s="13">
        <v>0</v>
      </c>
      <c r="H1751" s="13">
        <v>0</v>
      </c>
      <c r="I1751" s="13"/>
      <c r="J1751" s="13"/>
      <c r="K1751" s="13"/>
      <c r="L1751" s="15">
        <v>0</v>
      </c>
    </row>
    <row r="1752" spans="1:12">
      <c r="A1752" s="12"/>
      <c r="E1752" s="14"/>
      <c r="F1752" s="14"/>
      <c r="G1752" s="13">
        <v>0</v>
      </c>
      <c r="H1752" s="13">
        <v>0</v>
      </c>
      <c r="I1752" s="13"/>
      <c r="J1752" s="13"/>
      <c r="K1752" s="13"/>
      <c r="L1752" s="15">
        <v>0</v>
      </c>
    </row>
    <row r="1753" spans="1:12">
      <c r="A1753" s="12"/>
      <c r="E1753" s="14"/>
      <c r="F1753" s="14"/>
      <c r="G1753" s="13">
        <v>0</v>
      </c>
      <c r="H1753" s="13">
        <v>0</v>
      </c>
      <c r="I1753" s="13"/>
      <c r="J1753" s="13"/>
      <c r="K1753" s="13"/>
      <c r="L1753" s="15">
        <v>0</v>
      </c>
    </row>
    <row r="1754" spans="1:12">
      <c r="A1754" s="12"/>
      <c r="E1754" s="14"/>
      <c r="F1754" s="14"/>
      <c r="G1754" s="13">
        <v>0</v>
      </c>
      <c r="H1754" s="13">
        <v>0</v>
      </c>
      <c r="I1754" s="13"/>
      <c r="J1754" s="13"/>
      <c r="K1754" s="13"/>
      <c r="L1754" s="15">
        <v>0</v>
      </c>
    </row>
    <row r="1755" spans="1:12">
      <c r="A1755" s="12"/>
      <c r="E1755" s="14"/>
      <c r="F1755" s="14"/>
      <c r="G1755" s="13">
        <v>0</v>
      </c>
      <c r="H1755" s="13">
        <v>0</v>
      </c>
      <c r="I1755" s="13"/>
      <c r="J1755" s="13"/>
      <c r="K1755" s="13"/>
      <c r="L1755" s="15">
        <v>0</v>
      </c>
    </row>
    <row r="1756" spans="1:12">
      <c r="A1756" s="12"/>
      <c r="E1756" s="14"/>
      <c r="F1756" s="14"/>
      <c r="G1756" s="13">
        <v>0</v>
      </c>
      <c r="H1756" s="13">
        <v>0</v>
      </c>
      <c r="I1756" s="13"/>
      <c r="J1756" s="13"/>
      <c r="K1756" s="13"/>
      <c r="L1756" s="15">
        <v>0</v>
      </c>
    </row>
    <row r="1757" spans="1:12">
      <c r="A1757" s="12"/>
      <c r="E1757" s="14"/>
      <c r="F1757" s="14"/>
      <c r="G1757" s="13">
        <v>0</v>
      </c>
      <c r="H1757" s="13">
        <v>0</v>
      </c>
      <c r="I1757" s="13"/>
      <c r="J1757" s="13"/>
      <c r="K1757" s="13"/>
      <c r="L1757" s="15">
        <v>0</v>
      </c>
    </row>
    <row r="1758" spans="1:12">
      <c r="A1758" s="12"/>
      <c r="E1758" s="14"/>
      <c r="F1758" s="14"/>
      <c r="G1758" s="13">
        <v>0</v>
      </c>
      <c r="H1758" s="13">
        <v>0</v>
      </c>
      <c r="I1758" s="13"/>
      <c r="J1758" s="13"/>
      <c r="K1758" s="13"/>
      <c r="L1758" s="15">
        <v>0</v>
      </c>
    </row>
    <row r="1759" spans="1:12">
      <c r="A1759" s="12"/>
      <c r="E1759" s="14"/>
      <c r="F1759" s="14"/>
      <c r="G1759" s="13">
        <v>0</v>
      </c>
      <c r="H1759" s="13">
        <v>0</v>
      </c>
      <c r="I1759" s="13"/>
      <c r="J1759" s="13"/>
      <c r="K1759" s="13"/>
      <c r="L1759" s="15">
        <v>0</v>
      </c>
    </row>
    <row r="1760" spans="1:12">
      <c r="A1760" s="12"/>
      <c r="E1760" s="14"/>
      <c r="F1760" s="14"/>
      <c r="G1760" s="13">
        <v>0</v>
      </c>
      <c r="H1760" s="13">
        <v>0</v>
      </c>
      <c r="I1760" s="13"/>
      <c r="J1760" s="13"/>
      <c r="K1760" s="13"/>
      <c r="L1760" s="15">
        <v>0</v>
      </c>
    </row>
    <row r="1761" spans="1:12">
      <c r="A1761" s="12"/>
      <c r="E1761" s="14"/>
      <c r="F1761" s="14"/>
      <c r="G1761" s="13">
        <v>0</v>
      </c>
      <c r="H1761" s="13">
        <v>0</v>
      </c>
      <c r="I1761" s="13"/>
      <c r="J1761" s="13"/>
      <c r="K1761" s="13"/>
      <c r="L1761" s="15">
        <v>0</v>
      </c>
    </row>
    <row r="1762" spans="1:12">
      <c r="A1762" s="12"/>
      <c r="E1762" s="14"/>
      <c r="F1762" s="14"/>
      <c r="G1762" s="13">
        <v>0</v>
      </c>
      <c r="H1762" s="13">
        <v>0</v>
      </c>
      <c r="I1762" s="13"/>
      <c r="J1762" s="13"/>
      <c r="K1762" s="13"/>
      <c r="L1762" s="15">
        <v>0</v>
      </c>
    </row>
    <row r="1763" spans="1:12">
      <c r="A1763" s="12"/>
      <c r="E1763" s="14"/>
      <c r="F1763" s="14"/>
      <c r="G1763" s="13">
        <v>0</v>
      </c>
      <c r="H1763" s="13">
        <v>0</v>
      </c>
      <c r="I1763" s="13"/>
      <c r="J1763" s="13"/>
      <c r="K1763" s="13"/>
      <c r="L1763" s="15">
        <v>0</v>
      </c>
    </row>
    <row r="1764" spans="1:12">
      <c r="A1764" s="12"/>
      <c r="E1764" s="14"/>
      <c r="F1764" s="14"/>
      <c r="G1764" s="13">
        <v>0</v>
      </c>
      <c r="H1764" s="13">
        <v>0</v>
      </c>
      <c r="I1764" s="13"/>
      <c r="J1764" s="13"/>
      <c r="K1764" s="13"/>
      <c r="L1764" s="15">
        <v>0</v>
      </c>
    </row>
    <row r="1765" spans="1:12">
      <c r="A1765" s="12"/>
      <c r="E1765" s="14"/>
      <c r="F1765" s="14"/>
      <c r="G1765" s="13">
        <v>0</v>
      </c>
      <c r="H1765" s="13">
        <v>0</v>
      </c>
      <c r="I1765" s="13"/>
      <c r="J1765" s="13"/>
      <c r="K1765" s="13"/>
      <c r="L1765" s="15">
        <v>0</v>
      </c>
    </row>
    <row r="1766" spans="1:12">
      <c r="A1766" s="12"/>
      <c r="E1766" s="14"/>
      <c r="F1766" s="14"/>
      <c r="G1766" s="13">
        <v>0</v>
      </c>
      <c r="H1766" s="13">
        <v>0</v>
      </c>
      <c r="I1766" s="13"/>
      <c r="J1766" s="13"/>
      <c r="K1766" s="13"/>
      <c r="L1766" s="15">
        <v>0</v>
      </c>
    </row>
    <row r="1767" spans="1:12">
      <c r="A1767" s="12"/>
      <c r="E1767" s="14"/>
      <c r="F1767" s="14"/>
      <c r="G1767" s="13">
        <v>0</v>
      </c>
      <c r="H1767" s="13">
        <v>0</v>
      </c>
      <c r="I1767" s="13"/>
      <c r="J1767" s="13"/>
      <c r="K1767" s="13"/>
      <c r="L1767" s="15">
        <v>0</v>
      </c>
    </row>
    <row r="1768" spans="1:12">
      <c r="A1768" s="12"/>
      <c r="E1768" s="14"/>
      <c r="F1768" s="14"/>
      <c r="G1768" s="13">
        <v>0</v>
      </c>
      <c r="H1768" s="13">
        <v>0</v>
      </c>
      <c r="I1768" s="13"/>
      <c r="J1768" s="13"/>
      <c r="K1768" s="13"/>
      <c r="L1768" s="15">
        <v>0</v>
      </c>
    </row>
    <row r="1769" spans="1:12">
      <c r="A1769" s="12"/>
      <c r="E1769" s="14"/>
      <c r="F1769" s="14"/>
      <c r="G1769" s="13">
        <v>0</v>
      </c>
      <c r="H1769" s="13">
        <v>0</v>
      </c>
      <c r="I1769" s="13"/>
      <c r="J1769" s="13"/>
      <c r="K1769" s="13"/>
      <c r="L1769" s="15">
        <v>0</v>
      </c>
    </row>
    <row r="1770" spans="1:12">
      <c r="A1770" s="12"/>
      <c r="E1770" s="14"/>
      <c r="F1770" s="14"/>
      <c r="G1770" s="13">
        <v>0</v>
      </c>
      <c r="H1770" s="13">
        <v>0</v>
      </c>
      <c r="I1770" s="13"/>
      <c r="J1770" s="13"/>
      <c r="K1770" s="13"/>
      <c r="L1770" s="15">
        <v>0</v>
      </c>
    </row>
    <row r="1771" spans="1:12">
      <c r="A1771" s="12"/>
      <c r="E1771" s="14"/>
      <c r="F1771" s="14"/>
      <c r="G1771" s="13">
        <v>0</v>
      </c>
      <c r="H1771" s="13">
        <v>0</v>
      </c>
      <c r="I1771" s="13"/>
      <c r="J1771" s="13"/>
      <c r="K1771" s="13"/>
      <c r="L1771" s="15">
        <v>0</v>
      </c>
    </row>
    <row r="1772" spans="1:12">
      <c r="A1772" s="12"/>
      <c r="E1772" s="14"/>
      <c r="F1772" s="14"/>
      <c r="G1772" s="13">
        <v>0</v>
      </c>
      <c r="H1772" s="13">
        <v>0</v>
      </c>
      <c r="I1772" s="13"/>
      <c r="J1772" s="13"/>
      <c r="K1772" s="13"/>
      <c r="L1772" s="15">
        <v>0</v>
      </c>
    </row>
    <row r="1773" spans="1:12">
      <c r="A1773" s="12"/>
      <c r="E1773" s="14"/>
      <c r="F1773" s="14"/>
      <c r="G1773" s="13">
        <v>0</v>
      </c>
      <c r="H1773" s="13">
        <v>0</v>
      </c>
      <c r="I1773" s="13"/>
      <c r="J1773" s="13"/>
      <c r="K1773" s="13"/>
      <c r="L1773" s="15">
        <v>0</v>
      </c>
    </row>
    <row r="1774" spans="1:12">
      <c r="A1774" s="12"/>
      <c r="E1774" s="14"/>
      <c r="F1774" s="14"/>
      <c r="G1774" s="13">
        <v>0</v>
      </c>
      <c r="H1774" s="13">
        <v>0</v>
      </c>
      <c r="I1774" s="13"/>
      <c r="J1774" s="13"/>
      <c r="K1774" s="13"/>
      <c r="L1774" s="15">
        <v>0</v>
      </c>
    </row>
    <row r="1775" spans="1:12">
      <c r="A1775" s="12"/>
      <c r="E1775" s="14"/>
      <c r="F1775" s="14"/>
      <c r="G1775" s="13">
        <v>0</v>
      </c>
      <c r="H1775" s="13">
        <v>0</v>
      </c>
      <c r="I1775" s="13"/>
      <c r="J1775" s="13"/>
      <c r="K1775" s="13"/>
      <c r="L1775" s="15">
        <v>0</v>
      </c>
    </row>
    <row r="1776" spans="1:12">
      <c r="A1776" s="12"/>
      <c r="E1776" s="14"/>
      <c r="F1776" s="14"/>
      <c r="G1776" s="13">
        <v>0</v>
      </c>
      <c r="H1776" s="13">
        <v>0</v>
      </c>
      <c r="I1776" s="13"/>
      <c r="J1776" s="13"/>
      <c r="K1776" s="13"/>
      <c r="L1776" s="15">
        <v>0</v>
      </c>
    </row>
    <row r="1777" spans="1:12">
      <c r="A1777" s="12"/>
      <c r="E1777" s="14"/>
      <c r="F1777" s="14"/>
      <c r="G1777" s="13">
        <v>0</v>
      </c>
      <c r="H1777" s="13">
        <v>0</v>
      </c>
      <c r="I1777" s="13"/>
      <c r="J1777" s="13"/>
      <c r="K1777" s="13"/>
      <c r="L1777" s="15">
        <v>0</v>
      </c>
    </row>
    <row r="1778" spans="1:12">
      <c r="A1778" s="12"/>
      <c r="E1778" s="14"/>
      <c r="F1778" s="14"/>
      <c r="G1778" s="13">
        <v>0</v>
      </c>
      <c r="H1778" s="13">
        <v>0</v>
      </c>
      <c r="I1778" s="13"/>
      <c r="J1778" s="13"/>
      <c r="K1778" s="13"/>
      <c r="L1778" s="15">
        <v>0</v>
      </c>
    </row>
    <row r="1779" spans="1:12">
      <c r="A1779" s="12"/>
      <c r="E1779" s="14"/>
      <c r="F1779" s="14"/>
      <c r="G1779" s="13">
        <v>0</v>
      </c>
      <c r="H1779" s="13">
        <v>0</v>
      </c>
      <c r="I1779" s="13"/>
      <c r="J1779" s="13"/>
      <c r="K1779" s="13"/>
      <c r="L1779" s="15">
        <v>0</v>
      </c>
    </row>
    <row r="1780" spans="1:12">
      <c r="A1780" s="12"/>
      <c r="E1780" s="14"/>
      <c r="F1780" s="14"/>
      <c r="G1780" s="13">
        <v>0</v>
      </c>
      <c r="H1780" s="13">
        <v>0</v>
      </c>
      <c r="I1780" s="13"/>
      <c r="J1780" s="13"/>
      <c r="K1780" s="13"/>
      <c r="L1780" s="15">
        <v>0</v>
      </c>
    </row>
    <row r="1781" spans="1:12">
      <c r="A1781" s="12"/>
      <c r="E1781" s="14"/>
      <c r="F1781" s="14"/>
      <c r="G1781" s="13">
        <v>0</v>
      </c>
      <c r="H1781" s="13">
        <v>0</v>
      </c>
      <c r="I1781" s="13"/>
      <c r="J1781" s="13"/>
      <c r="K1781" s="13"/>
      <c r="L1781" s="15">
        <v>0</v>
      </c>
    </row>
    <row r="1782" spans="1:12">
      <c r="A1782" s="12"/>
      <c r="E1782" s="14"/>
      <c r="F1782" s="14"/>
      <c r="G1782" s="13">
        <v>0</v>
      </c>
      <c r="H1782" s="13">
        <v>0</v>
      </c>
      <c r="I1782" s="13"/>
      <c r="J1782" s="13"/>
      <c r="K1782" s="13"/>
      <c r="L1782" s="15">
        <v>0</v>
      </c>
    </row>
    <row r="1783" spans="1:12">
      <c r="A1783" s="12"/>
      <c r="E1783" s="14"/>
      <c r="F1783" s="14"/>
      <c r="G1783" s="13">
        <v>0</v>
      </c>
      <c r="H1783" s="13">
        <v>0</v>
      </c>
      <c r="I1783" s="13"/>
      <c r="J1783" s="13"/>
      <c r="K1783" s="13"/>
      <c r="L1783" s="15">
        <v>0</v>
      </c>
    </row>
    <row r="1784" spans="1:12">
      <c r="A1784" s="12"/>
      <c r="E1784" s="14"/>
      <c r="F1784" s="14"/>
      <c r="G1784" s="13">
        <v>0</v>
      </c>
      <c r="H1784" s="13">
        <v>0</v>
      </c>
      <c r="I1784" s="13"/>
      <c r="J1784" s="13"/>
      <c r="K1784" s="13"/>
      <c r="L1784" s="15">
        <v>0</v>
      </c>
    </row>
    <row r="1785" spans="1:12">
      <c r="A1785" s="12"/>
      <c r="E1785" s="14"/>
      <c r="F1785" s="14"/>
      <c r="G1785" s="13">
        <v>0</v>
      </c>
      <c r="H1785" s="13">
        <v>0</v>
      </c>
      <c r="I1785" s="13"/>
      <c r="J1785" s="13"/>
      <c r="K1785" s="13"/>
      <c r="L1785" s="15">
        <v>0</v>
      </c>
    </row>
    <row r="1786" spans="1:12">
      <c r="A1786" s="12"/>
      <c r="E1786" s="14"/>
      <c r="F1786" s="14"/>
      <c r="G1786" s="13">
        <v>0</v>
      </c>
      <c r="H1786" s="13">
        <v>0</v>
      </c>
      <c r="I1786" s="13"/>
      <c r="J1786" s="13"/>
      <c r="K1786" s="13"/>
      <c r="L1786" s="15">
        <v>0</v>
      </c>
    </row>
    <row r="1787" spans="1:12">
      <c r="A1787" s="12"/>
      <c r="E1787" s="14"/>
      <c r="F1787" s="14"/>
      <c r="G1787" s="13">
        <v>0</v>
      </c>
      <c r="H1787" s="13">
        <v>0</v>
      </c>
      <c r="I1787" s="13"/>
      <c r="J1787" s="13"/>
      <c r="K1787" s="13"/>
      <c r="L1787" s="15">
        <v>0</v>
      </c>
    </row>
    <row r="1788" spans="1:12">
      <c r="A1788" s="12"/>
      <c r="E1788" s="14"/>
      <c r="F1788" s="14"/>
      <c r="G1788" s="13">
        <v>0</v>
      </c>
      <c r="H1788" s="13">
        <v>0</v>
      </c>
      <c r="I1788" s="13"/>
      <c r="J1788" s="13"/>
      <c r="K1788" s="13"/>
      <c r="L1788" s="15">
        <v>0</v>
      </c>
    </row>
    <row r="1789" spans="1:12">
      <c r="A1789" s="12"/>
      <c r="E1789" s="14"/>
      <c r="F1789" s="14"/>
      <c r="G1789" s="13">
        <v>0</v>
      </c>
      <c r="H1789" s="13">
        <v>0</v>
      </c>
      <c r="I1789" s="13"/>
      <c r="J1789" s="13"/>
      <c r="K1789" s="13"/>
      <c r="L1789" s="15">
        <v>0</v>
      </c>
    </row>
    <row r="1790" spans="1:12">
      <c r="A1790" s="12"/>
      <c r="E1790" s="14"/>
      <c r="F1790" s="14"/>
      <c r="G1790" s="13">
        <v>0</v>
      </c>
      <c r="H1790" s="13">
        <v>0</v>
      </c>
      <c r="I1790" s="13"/>
      <c r="J1790" s="13"/>
      <c r="K1790" s="13"/>
      <c r="L1790" s="15">
        <v>0</v>
      </c>
    </row>
    <row r="1791" spans="1:12">
      <c r="A1791" s="12"/>
      <c r="E1791" s="14"/>
      <c r="F1791" s="14"/>
      <c r="G1791" s="13">
        <v>0</v>
      </c>
      <c r="H1791" s="13">
        <v>0</v>
      </c>
      <c r="I1791" s="13"/>
      <c r="J1791" s="13"/>
      <c r="K1791" s="13"/>
      <c r="L1791" s="15">
        <v>0</v>
      </c>
    </row>
    <row r="1792" spans="1:12">
      <c r="A1792" s="12"/>
      <c r="E1792" s="14"/>
      <c r="F1792" s="14"/>
      <c r="G1792" s="13">
        <v>0</v>
      </c>
      <c r="H1792" s="13">
        <v>0</v>
      </c>
      <c r="I1792" s="13"/>
      <c r="J1792" s="13"/>
      <c r="K1792" s="13"/>
      <c r="L1792" s="15">
        <v>0</v>
      </c>
    </row>
    <row r="1793" spans="1:12">
      <c r="A1793" s="12"/>
      <c r="E1793" s="14"/>
      <c r="F1793" s="14"/>
      <c r="G1793" s="13">
        <v>0</v>
      </c>
      <c r="H1793" s="13">
        <v>0</v>
      </c>
      <c r="I1793" s="13"/>
      <c r="J1793" s="13"/>
      <c r="K1793" s="13"/>
      <c r="L1793" s="15">
        <v>0</v>
      </c>
    </row>
    <row r="1794" spans="1:12">
      <c r="A1794" s="12"/>
      <c r="E1794" s="14"/>
      <c r="F1794" s="14"/>
      <c r="G1794" s="13">
        <v>0</v>
      </c>
      <c r="H1794" s="13">
        <v>0</v>
      </c>
      <c r="I1794" s="13"/>
      <c r="J1794" s="13"/>
      <c r="K1794" s="13"/>
      <c r="L1794" s="15">
        <v>0</v>
      </c>
    </row>
    <row r="1795" spans="1:12">
      <c r="A1795" s="12"/>
      <c r="E1795" s="14"/>
      <c r="F1795" s="14"/>
      <c r="G1795" s="13">
        <v>0</v>
      </c>
      <c r="H1795" s="13">
        <v>0</v>
      </c>
      <c r="I1795" s="13"/>
      <c r="J1795" s="13"/>
      <c r="K1795" s="13"/>
      <c r="L1795" s="15">
        <v>0</v>
      </c>
    </row>
    <row r="1796" spans="1:12">
      <c r="A1796" s="12"/>
      <c r="E1796" s="14"/>
      <c r="F1796" s="14"/>
      <c r="G1796" s="13">
        <v>0</v>
      </c>
      <c r="H1796" s="13">
        <v>0</v>
      </c>
      <c r="I1796" s="13"/>
      <c r="J1796" s="13"/>
      <c r="K1796" s="13"/>
      <c r="L1796" s="15">
        <v>0</v>
      </c>
    </row>
    <row r="1797" spans="1:12">
      <c r="A1797" s="12"/>
      <c r="E1797" s="14"/>
      <c r="F1797" s="14"/>
      <c r="G1797" s="13">
        <v>0</v>
      </c>
      <c r="H1797" s="13">
        <v>0</v>
      </c>
      <c r="I1797" s="13"/>
      <c r="J1797" s="13"/>
      <c r="K1797" s="13"/>
      <c r="L1797" s="15">
        <v>0</v>
      </c>
    </row>
    <row r="1798" spans="1:12">
      <c r="A1798" s="12"/>
      <c r="E1798" s="14"/>
      <c r="F1798" s="14"/>
      <c r="G1798" s="13">
        <v>0</v>
      </c>
      <c r="H1798" s="13">
        <v>0</v>
      </c>
      <c r="I1798" s="13"/>
      <c r="J1798" s="13"/>
      <c r="K1798" s="13"/>
      <c r="L1798" s="15">
        <v>0</v>
      </c>
    </row>
    <row r="1799" spans="1:12">
      <c r="A1799" s="12"/>
      <c r="E1799" s="14"/>
      <c r="F1799" s="14"/>
      <c r="G1799" s="13">
        <v>0</v>
      </c>
      <c r="H1799" s="13">
        <v>0</v>
      </c>
      <c r="I1799" s="13"/>
      <c r="J1799" s="13"/>
      <c r="K1799" s="13"/>
      <c r="L1799" s="15">
        <v>0</v>
      </c>
    </row>
    <row r="1800" spans="1:12">
      <c r="A1800" s="12"/>
      <c r="E1800" s="14"/>
      <c r="F1800" s="14"/>
      <c r="G1800" s="13">
        <v>0</v>
      </c>
      <c r="H1800" s="13">
        <v>0</v>
      </c>
      <c r="I1800" s="13"/>
      <c r="J1800" s="13"/>
      <c r="K1800" s="13"/>
      <c r="L1800" s="15">
        <v>0</v>
      </c>
    </row>
    <row r="1801" spans="1:12">
      <c r="A1801" s="12"/>
      <c r="E1801" s="14"/>
      <c r="F1801" s="14"/>
      <c r="G1801" s="13">
        <v>0</v>
      </c>
      <c r="H1801" s="13">
        <v>0</v>
      </c>
      <c r="I1801" s="13"/>
      <c r="J1801" s="13"/>
      <c r="K1801" s="13"/>
      <c r="L1801" s="15">
        <v>0</v>
      </c>
    </row>
    <row r="1802" spans="1:12">
      <c r="A1802" s="12"/>
      <c r="E1802" s="14"/>
      <c r="F1802" s="14"/>
      <c r="G1802" s="13">
        <v>0</v>
      </c>
      <c r="H1802" s="13">
        <v>0</v>
      </c>
      <c r="I1802" s="13"/>
      <c r="J1802" s="13"/>
      <c r="K1802" s="13"/>
      <c r="L1802" s="15">
        <v>0</v>
      </c>
    </row>
    <row r="1803" spans="1:12">
      <c r="A1803" s="12"/>
      <c r="E1803" s="14"/>
      <c r="F1803" s="14"/>
      <c r="G1803" s="13">
        <v>0</v>
      </c>
      <c r="H1803" s="13">
        <v>0</v>
      </c>
      <c r="I1803" s="13"/>
      <c r="J1803" s="13"/>
      <c r="K1803" s="13"/>
      <c r="L1803" s="15">
        <v>0</v>
      </c>
    </row>
    <row r="1804" spans="1:12">
      <c r="A1804" s="12"/>
      <c r="E1804" s="14"/>
      <c r="F1804" s="14"/>
      <c r="G1804" s="13">
        <v>0</v>
      </c>
      <c r="H1804" s="13">
        <v>0</v>
      </c>
      <c r="I1804" s="13"/>
      <c r="J1804" s="13"/>
      <c r="K1804" s="13"/>
      <c r="L1804" s="15">
        <v>0</v>
      </c>
    </row>
    <row r="1805" spans="1:12">
      <c r="A1805" s="12"/>
      <c r="E1805" s="14"/>
      <c r="F1805" s="14"/>
      <c r="G1805" s="13">
        <v>0</v>
      </c>
      <c r="H1805" s="13">
        <v>0</v>
      </c>
      <c r="I1805" s="13"/>
      <c r="J1805" s="13"/>
      <c r="K1805" s="13"/>
      <c r="L1805" s="15">
        <v>0</v>
      </c>
    </row>
    <row r="1806" spans="1:12">
      <c r="A1806" s="12"/>
      <c r="E1806" s="14"/>
      <c r="F1806" s="14"/>
      <c r="G1806" s="13">
        <v>0</v>
      </c>
      <c r="H1806" s="13">
        <v>0</v>
      </c>
      <c r="I1806" s="13"/>
      <c r="J1806" s="13"/>
      <c r="K1806" s="13"/>
      <c r="L1806" s="15">
        <v>0</v>
      </c>
    </row>
    <row r="1807" spans="1:12">
      <c r="A1807" s="12"/>
      <c r="E1807" s="14"/>
      <c r="F1807" s="14"/>
      <c r="G1807" s="13">
        <v>0</v>
      </c>
      <c r="H1807" s="13">
        <v>0</v>
      </c>
      <c r="I1807" s="13"/>
      <c r="J1807" s="13"/>
      <c r="K1807" s="13"/>
      <c r="L1807" s="15">
        <v>0</v>
      </c>
    </row>
    <row r="1808" spans="1:12">
      <c r="A1808" s="12"/>
      <c r="E1808" s="14"/>
      <c r="F1808" s="14"/>
      <c r="G1808" s="13">
        <v>0</v>
      </c>
      <c r="H1808" s="13">
        <v>0</v>
      </c>
      <c r="I1808" s="13"/>
      <c r="J1808" s="13"/>
      <c r="K1808" s="13"/>
      <c r="L1808" s="15">
        <v>0</v>
      </c>
    </row>
    <row r="1809" spans="1:12">
      <c r="A1809" s="12"/>
      <c r="E1809" s="14"/>
      <c r="F1809" s="14"/>
      <c r="G1809" s="13">
        <v>0</v>
      </c>
      <c r="H1809" s="13">
        <v>0</v>
      </c>
      <c r="I1809" s="13"/>
      <c r="J1809" s="13"/>
      <c r="K1809" s="13"/>
      <c r="L1809" s="15">
        <v>0</v>
      </c>
    </row>
    <row r="1810" spans="1:12">
      <c r="A1810" s="12"/>
      <c r="E1810" s="14"/>
      <c r="F1810" s="14"/>
      <c r="G1810" s="13">
        <v>0</v>
      </c>
      <c r="H1810" s="13">
        <v>0</v>
      </c>
      <c r="I1810" s="13"/>
      <c r="J1810" s="13"/>
      <c r="K1810" s="13"/>
      <c r="L1810" s="15">
        <v>0</v>
      </c>
    </row>
    <row r="1811" spans="1:12">
      <c r="A1811" s="12"/>
      <c r="E1811" s="14"/>
      <c r="F1811" s="14"/>
      <c r="G1811" s="13">
        <v>0</v>
      </c>
      <c r="H1811" s="13">
        <v>0</v>
      </c>
      <c r="I1811" s="13"/>
      <c r="J1811" s="13"/>
      <c r="K1811" s="13"/>
      <c r="L1811" s="15">
        <v>0</v>
      </c>
    </row>
    <row r="1812" spans="1:12">
      <c r="A1812" s="12"/>
      <c r="E1812" s="14"/>
      <c r="F1812" s="14"/>
      <c r="G1812" s="13">
        <v>0</v>
      </c>
      <c r="H1812" s="13">
        <v>0</v>
      </c>
      <c r="I1812" s="13"/>
      <c r="J1812" s="13"/>
      <c r="K1812" s="13"/>
      <c r="L1812" s="15">
        <v>0</v>
      </c>
    </row>
    <row r="1813" spans="1:12">
      <c r="A1813" s="12"/>
      <c r="E1813" s="14"/>
      <c r="F1813" s="14"/>
      <c r="G1813" s="13">
        <v>0</v>
      </c>
      <c r="H1813" s="13">
        <v>0</v>
      </c>
      <c r="I1813" s="13"/>
      <c r="J1813" s="13"/>
      <c r="K1813" s="13"/>
      <c r="L1813" s="15">
        <v>0</v>
      </c>
    </row>
    <row r="1814" spans="1:12">
      <c r="A1814" s="12"/>
      <c r="E1814" s="14"/>
      <c r="F1814" s="14"/>
      <c r="G1814" s="13">
        <v>0</v>
      </c>
      <c r="H1814" s="13">
        <v>0</v>
      </c>
      <c r="I1814" s="13"/>
      <c r="J1814" s="13"/>
      <c r="K1814" s="13"/>
      <c r="L1814" s="15">
        <v>0</v>
      </c>
    </row>
    <row r="1815" spans="1:12">
      <c r="A1815" s="12"/>
      <c r="E1815" s="14"/>
      <c r="F1815" s="14"/>
      <c r="G1815" s="13">
        <v>0</v>
      </c>
      <c r="H1815" s="13">
        <v>0</v>
      </c>
      <c r="I1815" s="13"/>
      <c r="J1815" s="13"/>
      <c r="K1815" s="13"/>
      <c r="L1815" s="15">
        <v>0</v>
      </c>
    </row>
    <row r="1816" spans="1:12">
      <c r="A1816" s="12"/>
      <c r="E1816" s="14"/>
      <c r="F1816" s="14"/>
      <c r="G1816" s="13">
        <v>0</v>
      </c>
      <c r="H1816" s="13">
        <v>0</v>
      </c>
      <c r="I1816" s="13"/>
      <c r="J1816" s="13"/>
      <c r="K1816" s="13"/>
      <c r="L1816" s="15">
        <v>0</v>
      </c>
    </row>
    <row r="1817" spans="1:12">
      <c r="A1817" s="12"/>
      <c r="E1817" s="14"/>
      <c r="F1817" s="14"/>
      <c r="G1817" s="13">
        <v>0</v>
      </c>
      <c r="H1817" s="13">
        <v>0</v>
      </c>
      <c r="I1817" s="13"/>
      <c r="J1817" s="13"/>
      <c r="K1817" s="13"/>
      <c r="L1817" s="15">
        <v>0</v>
      </c>
    </row>
    <row r="1818" spans="1:12">
      <c r="A1818" s="12"/>
      <c r="E1818" s="14"/>
      <c r="F1818" s="14"/>
      <c r="G1818" s="13">
        <v>0</v>
      </c>
      <c r="H1818" s="13">
        <v>0</v>
      </c>
      <c r="I1818" s="13"/>
      <c r="J1818" s="13"/>
      <c r="K1818" s="13"/>
      <c r="L1818" s="15">
        <v>0</v>
      </c>
    </row>
    <row r="1819" spans="1:12">
      <c r="A1819" s="12"/>
      <c r="E1819" s="14"/>
      <c r="F1819" s="14"/>
      <c r="G1819" s="13">
        <v>0</v>
      </c>
      <c r="H1819" s="13">
        <v>0</v>
      </c>
      <c r="I1819" s="13"/>
      <c r="J1819" s="13"/>
      <c r="K1819" s="13"/>
      <c r="L1819" s="15">
        <v>0</v>
      </c>
    </row>
    <row r="1820" spans="1:12">
      <c r="A1820" s="12"/>
      <c r="E1820" s="14"/>
      <c r="F1820" s="14"/>
      <c r="G1820" s="13">
        <v>0</v>
      </c>
      <c r="H1820" s="13">
        <v>0</v>
      </c>
      <c r="I1820" s="13"/>
      <c r="J1820" s="13"/>
      <c r="K1820" s="13"/>
      <c r="L1820" s="15">
        <v>0</v>
      </c>
    </row>
    <row r="1821" spans="1:12">
      <c r="A1821" s="12"/>
      <c r="E1821" s="14"/>
      <c r="F1821" s="14"/>
      <c r="G1821" s="13">
        <v>0</v>
      </c>
      <c r="H1821" s="13">
        <v>0</v>
      </c>
      <c r="I1821" s="13"/>
      <c r="J1821" s="13"/>
      <c r="K1821" s="13"/>
      <c r="L1821" s="15">
        <v>0</v>
      </c>
    </row>
    <row r="1822" spans="1:12">
      <c r="A1822" s="12"/>
      <c r="E1822" s="14"/>
      <c r="F1822" s="14"/>
      <c r="G1822" s="13">
        <v>0</v>
      </c>
      <c r="H1822" s="13">
        <v>0</v>
      </c>
      <c r="I1822" s="13"/>
      <c r="J1822" s="13"/>
      <c r="K1822" s="13"/>
      <c r="L1822" s="15">
        <v>0</v>
      </c>
    </row>
    <row r="1823" spans="1:12">
      <c r="A1823" s="12"/>
      <c r="E1823" s="14"/>
      <c r="F1823" s="14"/>
      <c r="G1823" s="13">
        <v>0</v>
      </c>
      <c r="H1823" s="13">
        <v>0</v>
      </c>
      <c r="I1823" s="13"/>
      <c r="J1823" s="13"/>
      <c r="K1823" s="13"/>
      <c r="L1823" s="15">
        <v>0</v>
      </c>
    </row>
    <row r="1824" spans="1:12">
      <c r="A1824" s="12"/>
      <c r="E1824" s="14"/>
      <c r="F1824" s="14"/>
      <c r="G1824" s="13">
        <v>0</v>
      </c>
      <c r="H1824" s="13">
        <v>0</v>
      </c>
      <c r="I1824" s="13"/>
      <c r="J1824" s="13"/>
      <c r="K1824" s="13"/>
      <c r="L1824" s="15">
        <v>0</v>
      </c>
    </row>
    <row r="1825" spans="1:12">
      <c r="A1825" s="12"/>
      <c r="E1825" s="14"/>
      <c r="F1825" s="14"/>
      <c r="G1825" s="13">
        <v>0</v>
      </c>
      <c r="H1825" s="13">
        <v>0</v>
      </c>
      <c r="I1825" s="13"/>
      <c r="J1825" s="13"/>
      <c r="K1825" s="13"/>
      <c r="L1825" s="15">
        <v>0</v>
      </c>
    </row>
    <row r="1826" spans="1:12">
      <c r="A1826" s="12"/>
      <c r="E1826" s="14"/>
      <c r="F1826" s="14"/>
      <c r="G1826" s="13">
        <v>0</v>
      </c>
      <c r="H1826" s="13">
        <v>0</v>
      </c>
      <c r="I1826" s="13"/>
      <c r="J1826" s="13"/>
      <c r="K1826" s="13"/>
      <c r="L1826" s="15">
        <v>0</v>
      </c>
    </row>
    <row r="1827" spans="1:12">
      <c r="A1827" s="12"/>
      <c r="E1827" s="14"/>
      <c r="F1827" s="14"/>
      <c r="G1827" s="13">
        <v>0</v>
      </c>
      <c r="H1827" s="13">
        <v>0</v>
      </c>
      <c r="I1827" s="13"/>
      <c r="J1827" s="13"/>
      <c r="K1827" s="13"/>
      <c r="L1827" s="15">
        <v>0</v>
      </c>
    </row>
    <row r="1828" spans="1:12">
      <c r="A1828" s="12"/>
      <c r="E1828" s="14"/>
      <c r="F1828" s="14"/>
      <c r="G1828" s="13">
        <v>0</v>
      </c>
      <c r="H1828" s="13">
        <v>0</v>
      </c>
      <c r="I1828" s="13"/>
      <c r="J1828" s="13"/>
      <c r="K1828" s="13"/>
      <c r="L1828" s="15">
        <v>0</v>
      </c>
    </row>
    <row r="1829" spans="1:12">
      <c r="A1829" s="12"/>
      <c r="E1829" s="14"/>
      <c r="F1829" s="14"/>
      <c r="G1829" s="13">
        <v>0</v>
      </c>
      <c r="H1829" s="13">
        <v>0</v>
      </c>
      <c r="I1829" s="13"/>
      <c r="J1829" s="13"/>
      <c r="K1829" s="13"/>
      <c r="L1829" s="15">
        <v>0</v>
      </c>
    </row>
    <row r="1830" spans="1:12">
      <c r="A1830" s="12"/>
      <c r="E1830" s="14"/>
      <c r="F1830" s="14"/>
      <c r="G1830" s="13">
        <v>0</v>
      </c>
      <c r="H1830" s="13">
        <v>0</v>
      </c>
      <c r="I1830" s="13"/>
      <c r="J1830" s="13"/>
      <c r="K1830" s="13"/>
      <c r="L1830" s="15">
        <v>0</v>
      </c>
    </row>
    <row r="1831" spans="1:12">
      <c r="A1831" s="12"/>
      <c r="E1831" s="14"/>
      <c r="F1831" s="14"/>
      <c r="G1831" s="13">
        <v>0</v>
      </c>
      <c r="H1831" s="13">
        <v>0</v>
      </c>
      <c r="I1831" s="13"/>
      <c r="J1831" s="13"/>
      <c r="K1831" s="13"/>
      <c r="L1831" s="15">
        <v>0</v>
      </c>
    </row>
    <row r="1832" spans="1:12">
      <c r="A1832" s="12"/>
      <c r="E1832" s="14"/>
      <c r="F1832" s="14"/>
      <c r="G1832" s="13">
        <v>0</v>
      </c>
      <c r="H1832" s="13">
        <v>0</v>
      </c>
      <c r="I1832" s="13"/>
      <c r="J1832" s="13"/>
      <c r="K1832" s="13"/>
      <c r="L1832" s="15">
        <v>0</v>
      </c>
    </row>
    <row r="1833" spans="1:12">
      <c r="A1833" s="12"/>
      <c r="E1833" s="14"/>
      <c r="F1833" s="14"/>
      <c r="G1833" s="13">
        <v>0</v>
      </c>
      <c r="H1833" s="13">
        <v>0</v>
      </c>
      <c r="I1833" s="13"/>
      <c r="J1833" s="13"/>
      <c r="K1833" s="13"/>
      <c r="L1833" s="15">
        <v>0</v>
      </c>
    </row>
    <row r="1834" spans="1:12">
      <c r="A1834" s="12"/>
      <c r="E1834" s="14"/>
      <c r="F1834" s="14"/>
      <c r="G1834" s="13">
        <v>0</v>
      </c>
      <c r="H1834" s="13">
        <v>0</v>
      </c>
      <c r="I1834" s="13"/>
      <c r="J1834" s="13"/>
      <c r="K1834" s="13"/>
      <c r="L1834" s="15">
        <v>0</v>
      </c>
    </row>
    <row r="1835" spans="1:12">
      <c r="A1835" s="12"/>
      <c r="E1835" s="14"/>
      <c r="F1835" s="14"/>
      <c r="G1835" s="13">
        <v>0</v>
      </c>
      <c r="H1835" s="13">
        <v>0</v>
      </c>
      <c r="I1835" s="13"/>
      <c r="J1835" s="13"/>
      <c r="K1835" s="13"/>
      <c r="L1835" s="15">
        <v>0</v>
      </c>
    </row>
    <row r="1836" spans="1:12">
      <c r="A1836" s="12"/>
      <c r="E1836" s="14"/>
      <c r="F1836" s="14"/>
      <c r="G1836" s="13">
        <v>0</v>
      </c>
      <c r="H1836" s="13">
        <v>0</v>
      </c>
      <c r="I1836" s="13"/>
      <c r="J1836" s="13"/>
      <c r="K1836" s="13"/>
      <c r="L1836" s="15">
        <v>0</v>
      </c>
    </row>
    <row r="1837" spans="1:12">
      <c r="A1837" s="12"/>
      <c r="E1837" s="14"/>
      <c r="F1837" s="14"/>
      <c r="G1837" s="13">
        <v>0</v>
      </c>
      <c r="H1837" s="13">
        <v>0</v>
      </c>
      <c r="I1837" s="13"/>
      <c r="J1837" s="13"/>
      <c r="K1837" s="13"/>
      <c r="L1837" s="15">
        <v>0</v>
      </c>
    </row>
    <row r="1838" spans="1:12">
      <c r="A1838" s="12"/>
      <c r="E1838" s="14"/>
      <c r="F1838" s="14"/>
      <c r="G1838" s="13">
        <v>0</v>
      </c>
      <c r="H1838" s="13">
        <v>0</v>
      </c>
      <c r="I1838" s="13"/>
      <c r="J1838" s="13"/>
      <c r="K1838" s="13"/>
      <c r="L1838" s="15">
        <v>0</v>
      </c>
    </row>
    <row r="1839" spans="1:12">
      <c r="A1839" s="12"/>
      <c r="E1839" s="14"/>
      <c r="F1839" s="14"/>
      <c r="G1839" s="13">
        <v>0</v>
      </c>
      <c r="H1839" s="13">
        <v>0</v>
      </c>
      <c r="I1839" s="13"/>
      <c r="J1839" s="13"/>
      <c r="K1839" s="13"/>
      <c r="L1839" s="15">
        <v>0</v>
      </c>
    </row>
    <row r="1840" spans="1:12">
      <c r="A1840" s="12"/>
      <c r="E1840" s="14"/>
      <c r="F1840" s="14"/>
      <c r="G1840" s="13">
        <v>0</v>
      </c>
      <c r="H1840" s="13">
        <v>0</v>
      </c>
      <c r="I1840" s="13"/>
      <c r="J1840" s="13"/>
      <c r="K1840" s="13"/>
      <c r="L1840" s="15">
        <v>0</v>
      </c>
    </row>
    <row r="1841" spans="1:12">
      <c r="A1841" s="12"/>
      <c r="E1841" s="14"/>
      <c r="F1841" s="14"/>
      <c r="G1841" s="13">
        <v>0</v>
      </c>
      <c r="H1841" s="13">
        <v>0</v>
      </c>
      <c r="I1841" s="13"/>
      <c r="J1841" s="13"/>
      <c r="K1841" s="13"/>
      <c r="L1841" s="15">
        <v>0</v>
      </c>
    </row>
    <row r="1842" spans="1:12">
      <c r="A1842" s="12"/>
      <c r="E1842" s="14"/>
      <c r="F1842" s="14"/>
      <c r="G1842" s="13">
        <v>0</v>
      </c>
      <c r="H1842" s="13">
        <v>0</v>
      </c>
      <c r="I1842" s="13"/>
      <c r="J1842" s="13"/>
      <c r="K1842" s="13"/>
      <c r="L1842" s="15">
        <v>0</v>
      </c>
    </row>
    <row r="1843" spans="1:12">
      <c r="A1843" s="12"/>
      <c r="E1843" s="14"/>
      <c r="F1843" s="14"/>
      <c r="G1843" s="13">
        <v>0</v>
      </c>
      <c r="H1843" s="13">
        <v>0</v>
      </c>
      <c r="I1843" s="13"/>
      <c r="J1843" s="13"/>
      <c r="K1843" s="13"/>
      <c r="L1843" s="15">
        <v>0</v>
      </c>
    </row>
    <row r="1844" spans="1:12">
      <c r="A1844" s="12"/>
      <c r="E1844" s="14"/>
      <c r="F1844" s="14"/>
      <c r="G1844" s="13">
        <v>0</v>
      </c>
      <c r="H1844" s="13">
        <v>0</v>
      </c>
      <c r="I1844" s="13"/>
      <c r="J1844" s="13"/>
      <c r="K1844" s="13"/>
      <c r="L1844" s="15">
        <v>0</v>
      </c>
    </row>
    <row r="1845" spans="1:12">
      <c r="A1845" s="12"/>
      <c r="E1845" s="14"/>
      <c r="F1845" s="14"/>
      <c r="G1845" s="13">
        <v>0</v>
      </c>
      <c r="H1845" s="13">
        <v>0</v>
      </c>
      <c r="I1845" s="13"/>
      <c r="J1845" s="13"/>
      <c r="K1845" s="13"/>
      <c r="L1845" s="15">
        <v>0</v>
      </c>
    </row>
    <row r="1846" spans="1:12">
      <c r="A1846" s="12"/>
      <c r="E1846" s="14"/>
      <c r="F1846" s="14"/>
      <c r="G1846" s="13">
        <v>0</v>
      </c>
      <c r="H1846" s="13">
        <v>0</v>
      </c>
      <c r="I1846" s="13"/>
      <c r="J1846" s="13"/>
      <c r="K1846" s="13"/>
      <c r="L1846" s="15">
        <v>0</v>
      </c>
    </row>
    <row r="1847" spans="1:12">
      <c r="A1847" s="12"/>
      <c r="E1847" s="14"/>
      <c r="F1847" s="14"/>
      <c r="G1847" s="13">
        <v>0</v>
      </c>
      <c r="H1847" s="13">
        <v>0</v>
      </c>
      <c r="I1847" s="13"/>
      <c r="J1847" s="13"/>
      <c r="K1847" s="13"/>
      <c r="L1847" s="15">
        <v>0</v>
      </c>
    </row>
    <row r="1848" spans="1:12">
      <c r="A1848" s="12"/>
      <c r="E1848" s="14"/>
      <c r="F1848" s="14"/>
      <c r="G1848" s="13">
        <v>0</v>
      </c>
      <c r="H1848" s="13">
        <v>0</v>
      </c>
      <c r="I1848" s="13"/>
      <c r="J1848" s="13"/>
      <c r="K1848" s="13"/>
      <c r="L1848" s="15">
        <v>0</v>
      </c>
    </row>
    <row r="1849" spans="1:12">
      <c r="A1849" s="12"/>
      <c r="E1849" s="14"/>
      <c r="F1849" s="14"/>
      <c r="G1849" s="13">
        <v>0</v>
      </c>
      <c r="H1849" s="13">
        <v>0</v>
      </c>
      <c r="I1849" s="13"/>
      <c r="J1849" s="13"/>
      <c r="K1849" s="13"/>
      <c r="L1849" s="15">
        <v>0</v>
      </c>
    </row>
    <row r="1850" spans="1:12">
      <c r="A1850" s="12"/>
      <c r="E1850" s="14"/>
      <c r="F1850" s="14"/>
      <c r="G1850" s="13">
        <v>0</v>
      </c>
      <c r="H1850" s="13">
        <v>0</v>
      </c>
      <c r="I1850" s="13"/>
      <c r="J1850" s="13"/>
      <c r="K1850" s="13"/>
      <c r="L1850" s="15">
        <v>0</v>
      </c>
    </row>
    <row r="1851" spans="1:12">
      <c r="A1851" s="12"/>
      <c r="E1851" s="14"/>
      <c r="F1851" s="14"/>
      <c r="G1851" s="13">
        <v>0</v>
      </c>
      <c r="H1851" s="13">
        <v>0</v>
      </c>
      <c r="I1851" s="13"/>
      <c r="J1851" s="13"/>
      <c r="K1851" s="13"/>
      <c r="L1851" s="15">
        <v>0</v>
      </c>
    </row>
    <row r="1852" spans="1:12">
      <c r="A1852" s="12"/>
      <c r="E1852" s="14"/>
      <c r="F1852" s="14"/>
      <c r="G1852" s="13">
        <v>0</v>
      </c>
      <c r="H1852" s="13">
        <v>0</v>
      </c>
      <c r="I1852" s="13"/>
      <c r="J1852" s="13"/>
      <c r="K1852" s="13"/>
      <c r="L1852" s="15">
        <v>0</v>
      </c>
    </row>
    <row r="1853" spans="1:12">
      <c r="A1853" s="12"/>
      <c r="E1853" s="14"/>
      <c r="F1853" s="14"/>
      <c r="G1853" s="13">
        <v>0</v>
      </c>
      <c r="H1853" s="13">
        <v>0</v>
      </c>
      <c r="I1853" s="13"/>
      <c r="J1853" s="13"/>
      <c r="K1853" s="13"/>
      <c r="L1853" s="15">
        <v>0</v>
      </c>
    </row>
    <row r="1854" spans="1:12">
      <c r="A1854" s="12"/>
      <c r="E1854" s="14"/>
      <c r="F1854" s="14"/>
      <c r="G1854" s="13">
        <v>0</v>
      </c>
      <c r="H1854" s="13">
        <v>0</v>
      </c>
      <c r="I1854" s="13"/>
      <c r="J1854" s="13"/>
      <c r="K1854" s="13"/>
      <c r="L1854" s="15">
        <v>0</v>
      </c>
    </row>
    <row r="1855" spans="1:12">
      <c r="A1855" s="12"/>
      <c r="E1855" s="14"/>
      <c r="F1855" s="14"/>
      <c r="G1855" s="13">
        <v>0</v>
      </c>
      <c r="H1855" s="13">
        <v>0</v>
      </c>
      <c r="I1855" s="13"/>
      <c r="J1855" s="13"/>
      <c r="K1855" s="13"/>
      <c r="L1855" s="15">
        <v>0</v>
      </c>
    </row>
    <row r="1856" spans="1:12">
      <c r="A1856" s="12"/>
      <c r="E1856" s="14"/>
      <c r="F1856" s="14"/>
      <c r="G1856" s="13">
        <v>0</v>
      </c>
      <c r="H1856" s="13">
        <v>0</v>
      </c>
      <c r="I1856" s="13"/>
      <c r="J1856" s="13"/>
      <c r="K1856" s="13"/>
      <c r="L1856" s="15">
        <v>0</v>
      </c>
    </row>
    <row r="1857" spans="1:12">
      <c r="A1857" s="12"/>
      <c r="E1857" s="14"/>
      <c r="F1857" s="14"/>
      <c r="G1857" s="13">
        <v>0</v>
      </c>
      <c r="H1857" s="13">
        <v>0</v>
      </c>
      <c r="I1857" s="13"/>
      <c r="J1857" s="13"/>
      <c r="K1857" s="13"/>
      <c r="L1857" s="15">
        <v>0</v>
      </c>
    </row>
    <row r="1858" spans="1:12">
      <c r="A1858" s="12"/>
      <c r="E1858" s="14"/>
      <c r="F1858" s="14"/>
      <c r="G1858" s="13">
        <v>0</v>
      </c>
      <c r="H1858" s="13">
        <v>0</v>
      </c>
      <c r="I1858" s="13"/>
      <c r="J1858" s="13"/>
      <c r="K1858" s="13"/>
      <c r="L1858" s="15">
        <v>0</v>
      </c>
    </row>
    <row r="1859" spans="1:12">
      <c r="A1859" s="12"/>
      <c r="E1859" s="14"/>
      <c r="F1859" s="14"/>
      <c r="G1859" s="13">
        <v>0</v>
      </c>
      <c r="H1859" s="13">
        <v>0</v>
      </c>
      <c r="I1859" s="13"/>
      <c r="J1859" s="13"/>
      <c r="K1859" s="13"/>
      <c r="L1859" s="15">
        <v>0</v>
      </c>
    </row>
    <row r="1860" spans="1:12">
      <c r="A1860" s="12"/>
      <c r="E1860" s="14"/>
      <c r="F1860" s="14"/>
      <c r="G1860" s="13">
        <v>0</v>
      </c>
      <c r="H1860" s="13">
        <v>0</v>
      </c>
      <c r="I1860" s="13"/>
      <c r="J1860" s="13"/>
      <c r="K1860" s="13"/>
      <c r="L1860" s="15">
        <v>0</v>
      </c>
    </row>
    <row r="1861" spans="1:12">
      <c r="A1861" s="12"/>
      <c r="E1861" s="14"/>
      <c r="F1861" s="14"/>
      <c r="G1861" s="13">
        <v>0</v>
      </c>
      <c r="H1861" s="13">
        <v>0</v>
      </c>
      <c r="I1861" s="13"/>
      <c r="J1861" s="13"/>
      <c r="K1861" s="13"/>
      <c r="L1861" s="15">
        <v>0</v>
      </c>
    </row>
    <row r="1862" spans="1:12">
      <c r="A1862" s="12"/>
      <c r="E1862" s="14"/>
      <c r="F1862" s="14"/>
      <c r="G1862" s="13">
        <v>0</v>
      </c>
      <c r="H1862" s="13">
        <v>0</v>
      </c>
      <c r="I1862" s="13"/>
      <c r="J1862" s="13"/>
      <c r="K1862" s="13"/>
      <c r="L1862" s="15">
        <v>0</v>
      </c>
    </row>
    <row r="1863" spans="1:12">
      <c r="A1863" s="12"/>
      <c r="E1863" s="14"/>
      <c r="F1863" s="14"/>
      <c r="G1863" s="13">
        <v>0</v>
      </c>
      <c r="H1863" s="13">
        <v>0</v>
      </c>
      <c r="I1863" s="13"/>
      <c r="J1863" s="13"/>
      <c r="K1863" s="13"/>
      <c r="L1863" s="15">
        <v>0</v>
      </c>
    </row>
    <row r="1864" spans="1:12">
      <c r="A1864" s="12"/>
      <c r="E1864" s="14"/>
      <c r="F1864" s="14"/>
      <c r="G1864" s="13">
        <v>0</v>
      </c>
      <c r="H1864" s="13">
        <v>0</v>
      </c>
      <c r="I1864" s="13"/>
      <c r="J1864" s="13"/>
      <c r="K1864" s="13"/>
      <c r="L1864" s="15">
        <v>0</v>
      </c>
    </row>
    <row r="1865" spans="1:12">
      <c r="A1865" s="12"/>
      <c r="E1865" s="14"/>
      <c r="F1865" s="14"/>
      <c r="G1865" s="13">
        <v>0</v>
      </c>
      <c r="H1865" s="13">
        <v>0</v>
      </c>
      <c r="I1865" s="13"/>
      <c r="J1865" s="13"/>
      <c r="K1865" s="13"/>
      <c r="L1865" s="15">
        <v>0</v>
      </c>
    </row>
    <row r="1866" spans="1:12">
      <c r="A1866" s="12"/>
      <c r="E1866" s="14"/>
      <c r="F1866" s="14"/>
      <c r="G1866" s="13">
        <v>0</v>
      </c>
      <c r="H1866" s="13">
        <v>0</v>
      </c>
      <c r="I1866" s="13"/>
      <c r="J1866" s="13"/>
      <c r="K1866" s="13"/>
      <c r="L1866" s="15">
        <v>0</v>
      </c>
    </row>
    <row r="1867" spans="1:12">
      <c r="A1867" s="12"/>
      <c r="E1867" s="14"/>
      <c r="F1867" s="14"/>
      <c r="G1867" s="13">
        <v>0</v>
      </c>
      <c r="H1867" s="13">
        <v>0</v>
      </c>
      <c r="I1867" s="13"/>
      <c r="J1867" s="13"/>
      <c r="K1867" s="13"/>
      <c r="L1867" s="15">
        <v>0</v>
      </c>
    </row>
    <row r="1868" spans="1:12">
      <c r="A1868" s="12"/>
      <c r="E1868" s="14"/>
      <c r="F1868" s="14"/>
      <c r="G1868" s="13">
        <v>0</v>
      </c>
      <c r="H1868" s="13">
        <v>0</v>
      </c>
      <c r="I1868" s="13"/>
      <c r="J1868" s="13"/>
      <c r="K1868" s="13"/>
      <c r="L1868" s="15">
        <v>0</v>
      </c>
    </row>
    <row r="1869" spans="1:12">
      <c r="A1869" s="12"/>
      <c r="E1869" s="14"/>
      <c r="F1869" s="14"/>
      <c r="G1869" s="13">
        <v>0</v>
      </c>
      <c r="H1869" s="13">
        <v>0</v>
      </c>
      <c r="I1869" s="13"/>
      <c r="J1869" s="13"/>
      <c r="K1869" s="13"/>
      <c r="L1869" s="15">
        <v>0</v>
      </c>
    </row>
    <row r="1870" spans="1:12">
      <c r="A1870" s="12"/>
      <c r="E1870" s="14"/>
      <c r="F1870" s="14"/>
      <c r="G1870" s="13">
        <v>0</v>
      </c>
      <c r="H1870" s="13">
        <v>0</v>
      </c>
      <c r="I1870" s="13"/>
      <c r="J1870" s="13"/>
      <c r="K1870" s="13"/>
      <c r="L1870" s="15">
        <v>0</v>
      </c>
    </row>
    <row r="1871" spans="1:12">
      <c r="A1871" s="12"/>
      <c r="E1871" s="14"/>
      <c r="F1871" s="14"/>
      <c r="G1871" s="13">
        <v>0</v>
      </c>
      <c r="H1871" s="13">
        <v>0</v>
      </c>
      <c r="I1871" s="13"/>
      <c r="J1871" s="13"/>
      <c r="K1871" s="13"/>
      <c r="L1871" s="15">
        <v>0</v>
      </c>
    </row>
    <row r="1872" spans="1:12">
      <c r="A1872" s="12"/>
      <c r="E1872" s="14"/>
      <c r="F1872" s="14"/>
      <c r="G1872" s="13">
        <v>0</v>
      </c>
      <c r="H1872" s="13">
        <v>0</v>
      </c>
      <c r="I1872" s="13"/>
      <c r="J1872" s="13"/>
      <c r="K1872" s="13"/>
      <c r="L1872" s="15">
        <v>0</v>
      </c>
    </row>
    <row r="1873" spans="1:12">
      <c r="A1873" s="12"/>
      <c r="E1873" s="14"/>
      <c r="F1873" s="14"/>
      <c r="G1873" s="13">
        <v>0</v>
      </c>
      <c r="H1873" s="13">
        <v>0</v>
      </c>
      <c r="I1873" s="13"/>
      <c r="J1873" s="13"/>
      <c r="K1873" s="13"/>
      <c r="L1873" s="15">
        <v>0</v>
      </c>
    </row>
    <row r="1874" spans="1:12">
      <c r="A1874" s="12"/>
      <c r="E1874" s="14"/>
      <c r="F1874" s="14"/>
      <c r="G1874" s="13">
        <v>0</v>
      </c>
      <c r="H1874" s="13">
        <v>0</v>
      </c>
      <c r="I1874" s="13"/>
      <c r="J1874" s="13"/>
      <c r="K1874" s="13"/>
      <c r="L1874" s="15">
        <v>0</v>
      </c>
    </row>
    <row r="1875" spans="1:12">
      <c r="A1875" s="12"/>
      <c r="E1875" s="14"/>
      <c r="F1875" s="14"/>
      <c r="G1875" s="13">
        <v>0</v>
      </c>
      <c r="H1875" s="13">
        <v>0</v>
      </c>
      <c r="I1875" s="13"/>
      <c r="J1875" s="13"/>
      <c r="K1875" s="13"/>
      <c r="L1875" s="15">
        <v>0</v>
      </c>
    </row>
    <row r="1876" spans="1:12">
      <c r="A1876" s="12"/>
      <c r="E1876" s="14"/>
      <c r="F1876" s="14"/>
      <c r="G1876" s="13">
        <v>0</v>
      </c>
      <c r="H1876" s="13">
        <v>0</v>
      </c>
      <c r="I1876" s="13"/>
      <c r="J1876" s="13"/>
      <c r="K1876" s="13"/>
      <c r="L1876" s="15">
        <v>0</v>
      </c>
    </row>
    <row r="1877" spans="1:12">
      <c r="A1877" s="12"/>
      <c r="E1877" s="14"/>
      <c r="F1877" s="14"/>
      <c r="G1877" s="13">
        <v>0</v>
      </c>
      <c r="H1877" s="13">
        <v>0</v>
      </c>
      <c r="I1877" s="13"/>
      <c r="J1877" s="13"/>
      <c r="K1877" s="13"/>
      <c r="L1877" s="15">
        <v>0</v>
      </c>
    </row>
    <row r="1878" spans="1:12">
      <c r="A1878" s="12"/>
      <c r="E1878" s="14"/>
      <c r="F1878" s="14"/>
      <c r="G1878" s="13">
        <v>0</v>
      </c>
      <c r="H1878" s="13">
        <v>0</v>
      </c>
      <c r="I1878" s="13"/>
      <c r="J1878" s="13"/>
      <c r="K1878" s="13"/>
      <c r="L1878" s="15">
        <v>0</v>
      </c>
    </row>
    <row r="1879" spans="1:12">
      <c r="A1879" s="12"/>
      <c r="E1879" s="14"/>
      <c r="F1879" s="14"/>
      <c r="G1879" s="13">
        <v>0</v>
      </c>
      <c r="H1879" s="13">
        <v>0</v>
      </c>
      <c r="I1879" s="13"/>
      <c r="J1879" s="13"/>
      <c r="K1879" s="13"/>
      <c r="L1879" s="15">
        <v>0</v>
      </c>
    </row>
    <row r="1880" spans="1:12">
      <c r="A1880" s="12"/>
      <c r="E1880" s="14"/>
      <c r="F1880" s="14"/>
      <c r="G1880" s="13">
        <v>0</v>
      </c>
      <c r="H1880" s="13">
        <v>0</v>
      </c>
      <c r="I1880" s="13"/>
      <c r="J1880" s="13"/>
      <c r="K1880" s="13"/>
      <c r="L1880" s="15">
        <v>0</v>
      </c>
    </row>
    <row r="1881" spans="1:12">
      <c r="A1881" s="12"/>
      <c r="E1881" s="14"/>
      <c r="F1881" s="14"/>
      <c r="G1881" s="13">
        <v>0</v>
      </c>
      <c r="H1881" s="13">
        <v>0</v>
      </c>
      <c r="I1881" s="13"/>
      <c r="J1881" s="13"/>
      <c r="K1881" s="13"/>
      <c r="L1881" s="15">
        <v>0</v>
      </c>
    </row>
    <row r="1882" spans="1:12">
      <c r="A1882" s="12"/>
      <c r="E1882" s="14"/>
      <c r="F1882" s="14"/>
      <c r="G1882" s="13">
        <v>0</v>
      </c>
      <c r="H1882" s="13">
        <v>0</v>
      </c>
      <c r="I1882" s="13"/>
      <c r="J1882" s="13"/>
      <c r="K1882" s="13"/>
      <c r="L1882" s="15">
        <v>0</v>
      </c>
    </row>
    <row r="1883" spans="1:12">
      <c r="A1883" s="12"/>
      <c r="E1883" s="14"/>
      <c r="F1883" s="14"/>
      <c r="G1883" s="13">
        <v>0</v>
      </c>
      <c r="H1883" s="13">
        <v>0</v>
      </c>
      <c r="I1883" s="13"/>
      <c r="J1883" s="13"/>
      <c r="K1883" s="13"/>
      <c r="L1883" s="15">
        <v>0</v>
      </c>
    </row>
    <row r="1884" spans="1:12">
      <c r="A1884" s="12"/>
      <c r="E1884" s="14"/>
      <c r="F1884" s="14"/>
      <c r="G1884" s="13">
        <v>0</v>
      </c>
      <c r="H1884" s="13">
        <v>0</v>
      </c>
      <c r="I1884" s="13"/>
      <c r="J1884" s="13"/>
      <c r="K1884" s="13"/>
      <c r="L1884" s="15">
        <v>0</v>
      </c>
    </row>
    <row r="1885" spans="1:12">
      <c r="A1885" s="12"/>
      <c r="E1885" s="14"/>
      <c r="F1885" s="14"/>
      <c r="G1885" s="13">
        <v>0</v>
      </c>
      <c r="H1885" s="13">
        <v>0</v>
      </c>
      <c r="I1885" s="13"/>
      <c r="J1885" s="13"/>
      <c r="K1885" s="13"/>
      <c r="L1885" s="15">
        <v>0</v>
      </c>
    </row>
    <row r="1886" spans="1:12">
      <c r="A1886" s="12"/>
      <c r="E1886" s="14"/>
      <c r="F1886" s="14"/>
      <c r="G1886" s="13">
        <v>0</v>
      </c>
      <c r="H1886" s="13">
        <v>0</v>
      </c>
      <c r="I1886" s="13"/>
      <c r="J1886" s="13"/>
      <c r="K1886" s="13"/>
      <c r="L1886" s="15">
        <v>0</v>
      </c>
    </row>
    <row r="1887" spans="1:12">
      <c r="A1887" s="12"/>
      <c r="E1887" s="14"/>
      <c r="F1887" s="14"/>
      <c r="G1887" s="13">
        <v>0</v>
      </c>
      <c r="H1887" s="13">
        <v>0</v>
      </c>
      <c r="I1887" s="13"/>
      <c r="J1887" s="13"/>
      <c r="K1887" s="13"/>
      <c r="L1887" s="15">
        <v>0</v>
      </c>
    </row>
    <row r="1888" spans="1:12">
      <c r="A1888" s="12"/>
      <c r="E1888" s="14"/>
      <c r="F1888" s="14"/>
      <c r="G1888" s="13">
        <v>0</v>
      </c>
      <c r="H1888" s="13">
        <v>0</v>
      </c>
      <c r="I1888" s="13"/>
      <c r="J1888" s="13"/>
      <c r="K1888" s="13"/>
      <c r="L1888" s="15">
        <v>0</v>
      </c>
    </row>
    <row r="1889" spans="1:12">
      <c r="A1889" s="12"/>
      <c r="E1889" s="14"/>
      <c r="F1889" s="14"/>
      <c r="G1889" s="13">
        <v>0</v>
      </c>
      <c r="H1889" s="13">
        <v>0</v>
      </c>
      <c r="I1889" s="13"/>
      <c r="J1889" s="13"/>
      <c r="K1889" s="13"/>
      <c r="L1889" s="15">
        <v>0</v>
      </c>
    </row>
    <row r="1890" spans="1:12">
      <c r="A1890" s="12"/>
      <c r="E1890" s="14"/>
      <c r="F1890" s="14"/>
      <c r="G1890" s="13">
        <v>0</v>
      </c>
      <c r="H1890" s="13">
        <v>0</v>
      </c>
      <c r="I1890" s="13"/>
      <c r="J1890" s="13"/>
      <c r="K1890" s="13"/>
      <c r="L1890" s="15">
        <v>0</v>
      </c>
    </row>
    <row r="1891" spans="1:12">
      <c r="A1891" s="12"/>
      <c r="E1891" s="14"/>
      <c r="F1891" s="14"/>
      <c r="G1891" s="13">
        <v>0</v>
      </c>
      <c r="H1891" s="13">
        <v>0</v>
      </c>
      <c r="I1891" s="13"/>
      <c r="J1891" s="13"/>
      <c r="K1891" s="13"/>
      <c r="L1891" s="15">
        <v>0</v>
      </c>
    </row>
    <row r="1892" spans="1:12">
      <c r="A1892" s="12"/>
      <c r="E1892" s="14"/>
      <c r="F1892" s="14"/>
      <c r="G1892" s="13">
        <v>0</v>
      </c>
      <c r="H1892" s="13">
        <v>0</v>
      </c>
      <c r="I1892" s="13"/>
      <c r="J1892" s="13"/>
      <c r="K1892" s="13"/>
      <c r="L1892" s="15">
        <v>0</v>
      </c>
    </row>
    <row r="1893" spans="1:12">
      <c r="A1893" s="12"/>
      <c r="E1893" s="14"/>
      <c r="F1893" s="14"/>
      <c r="G1893" s="13">
        <v>0</v>
      </c>
      <c r="H1893" s="13">
        <v>0</v>
      </c>
      <c r="I1893" s="13"/>
      <c r="J1893" s="13"/>
      <c r="K1893" s="13"/>
      <c r="L1893" s="15">
        <v>0</v>
      </c>
    </row>
    <row r="1894" spans="1:12">
      <c r="A1894" s="12"/>
      <c r="E1894" s="14"/>
      <c r="F1894" s="14"/>
      <c r="G1894" s="13">
        <v>0</v>
      </c>
      <c r="H1894" s="13">
        <v>0</v>
      </c>
      <c r="I1894" s="13"/>
      <c r="J1894" s="13"/>
      <c r="K1894" s="13"/>
      <c r="L1894" s="15">
        <v>0</v>
      </c>
    </row>
    <row r="1895" spans="1:12">
      <c r="A1895" s="12"/>
      <c r="E1895" s="14"/>
      <c r="F1895" s="14"/>
      <c r="G1895" s="13">
        <v>0</v>
      </c>
      <c r="H1895" s="13">
        <v>0</v>
      </c>
      <c r="I1895" s="13"/>
      <c r="J1895" s="13"/>
      <c r="K1895" s="13"/>
      <c r="L1895" s="15">
        <v>0</v>
      </c>
    </row>
    <row r="1896" spans="1:12">
      <c r="A1896" s="12"/>
      <c r="E1896" s="14"/>
      <c r="F1896" s="14"/>
      <c r="G1896" s="13">
        <v>0</v>
      </c>
      <c r="H1896" s="13">
        <v>0</v>
      </c>
      <c r="I1896" s="13"/>
      <c r="J1896" s="13"/>
      <c r="K1896" s="13"/>
      <c r="L1896" s="15">
        <v>0</v>
      </c>
    </row>
    <row r="1897" spans="1:12">
      <c r="A1897" s="12"/>
      <c r="E1897" s="14"/>
      <c r="F1897" s="14"/>
      <c r="G1897" s="13">
        <v>0</v>
      </c>
      <c r="H1897" s="13">
        <v>0</v>
      </c>
      <c r="I1897" s="13"/>
      <c r="J1897" s="13"/>
      <c r="K1897" s="13"/>
      <c r="L1897" s="15">
        <v>0</v>
      </c>
    </row>
    <row r="1898" spans="1:12">
      <c r="A1898" s="12"/>
      <c r="E1898" s="14"/>
      <c r="F1898" s="14"/>
      <c r="G1898" s="13">
        <v>0</v>
      </c>
      <c r="H1898" s="13">
        <v>0</v>
      </c>
      <c r="I1898" s="13"/>
      <c r="J1898" s="13"/>
      <c r="K1898" s="13"/>
      <c r="L1898" s="15">
        <v>0</v>
      </c>
    </row>
    <row r="1899" spans="1:12">
      <c r="A1899" s="12"/>
      <c r="E1899" s="14"/>
      <c r="F1899" s="14"/>
      <c r="G1899" s="13">
        <v>0</v>
      </c>
      <c r="H1899" s="13">
        <v>0</v>
      </c>
      <c r="I1899" s="13"/>
      <c r="J1899" s="13"/>
      <c r="K1899" s="13"/>
      <c r="L1899" s="15">
        <v>0</v>
      </c>
    </row>
    <row r="1900" spans="1:12">
      <c r="A1900" s="12"/>
      <c r="E1900" s="14"/>
      <c r="F1900" s="14"/>
      <c r="G1900" s="13">
        <v>0</v>
      </c>
      <c r="H1900" s="13">
        <v>0</v>
      </c>
      <c r="I1900" s="13"/>
      <c r="J1900" s="13"/>
      <c r="K1900" s="13"/>
      <c r="L1900" s="15">
        <v>0</v>
      </c>
    </row>
    <row r="1901" spans="1:12">
      <c r="A1901" s="12"/>
      <c r="E1901" s="14"/>
      <c r="F1901" s="14"/>
      <c r="G1901" s="13">
        <v>0</v>
      </c>
      <c r="H1901" s="13">
        <v>0</v>
      </c>
      <c r="I1901" s="13"/>
      <c r="J1901" s="13"/>
      <c r="K1901" s="13"/>
      <c r="L1901" s="15">
        <v>0</v>
      </c>
    </row>
    <row r="1902" spans="1:12">
      <c r="A1902" s="12"/>
      <c r="E1902" s="14"/>
      <c r="F1902" s="14"/>
      <c r="G1902" s="13">
        <v>0</v>
      </c>
      <c r="H1902" s="13">
        <v>0</v>
      </c>
      <c r="I1902" s="13"/>
      <c r="J1902" s="13"/>
      <c r="K1902" s="13"/>
      <c r="L1902" s="15">
        <v>0</v>
      </c>
    </row>
    <row r="1903" spans="1:12">
      <c r="A1903" s="12"/>
      <c r="E1903" s="14"/>
      <c r="F1903" s="14"/>
      <c r="G1903" s="13">
        <v>0</v>
      </c>
      <c r="H1903" s="13">
        <v>0</v>
      </c>
      <c r="I1903" s="13"/>
      <c r="J1903" s="13"/>
      <c r="K1903" s="13"/>
      <c r="L1903" s="15">
        <v>0</v>
      </c>
    </row>
    <row r="1904" spans="1:12">
      <c r="A1904" s="12"/>
      <c r="E1904" s="14"/>
      <c r="F1904" s="14"/>
      <c r="G1904" s="13">
        <v>0</v>
      </c>
      <c r="H1904" s="13">
        <v>0</v>
      </c>
      <c r="I1904" s="13"/>
      <c r="J1904" s="13"/>
      <c r="K1904" s="13"/>
      <c r="L1904" s="15">
        <v>0</v>
      </c>
    </row>
    <row r="1905" spans="1:12">
      <c r="A1905" s="12"/>
      <c r="E1905" s="14"/>
      <c r="F1905" s="14"/>
      <c r="G1905" s="13">
        <v>0</v>
      </c>
      <c r="H1905" s="13">
        <v>0</v>
      </c>
      <c r="I1905" s="13"/>
      <c r="J1905" s="13"/>
      <c r="K1905" s="13"/>
      <c r="L1905" s="15">
        <v>0</v>
      </c>
    </row>
    <row r="1906" spans="1:12">
      <c r="A1906" s="12"/>
      <c r="E1906" s="14"/>
      <c r="F1906" s="14"/>
      <c r="G1906" s="13">
        <v>0</v>
      </c>
      <c r="H1906" s="13">
        <v>0</v>
      </c>
      <c r="I1906" s="13"/>
      <c r="J1906" s="13"/>
      <c r="K1906" s="13"/>
      <c r="L1906" s="15">
        <v>0</v>
      </c>
    </row>
    <row r="1907" spans="1:12">
      <c r="A1907" s="12"/>
      <c r="E1907" s="14"/>
      <c r="F1907" s="14"/>
      <c r="G1907" s="13">
        <v>0</v>
      </c>
      <c r="H1907" s="13">
        <v>0</v>
      </c>
      <c r="I1907" s="13"/>
      <c r="J1907" s="13"/>
      <c r="K1907" s="13"/>
      <c r="L1907" s="15">
        <v>0</v>
      </c>
    </row>
    <row r="1908" spans="1:12">
      <c r="A1908" s="12"/>
      <c r="E1908" s="14"/>
      <c r="F1908" s="14"/>
      <c r="G1908" s="13">
        <v>0</v>
      </c>
      <c r="H1908" s="13">
        <v>0</v>
      </c>
      <c r="I1908" s="13"/>
      <c r="J1908" s="13"/>
      <c r="K1908" s="13"/>
      <c r="L1908" s="15">
        <v>0</v>
      </c>
    </row>
    <row r="1909" spans="1:12">
      <c r="A1909" s="12"/>
      <c r="E1909" s="14"/>
      <c r="F1909" s="14"/>
      <c r="G1909" s="13">
        <v>0</v>
      </c>
      <c r="H1909" s="13">
        <v>0</v>
      </c>
      <c r="I1909" s="13"/>
      <c r="J1909" s="13"/>
      <c r="K1909" s="13"/>
      <c r="L1909" s="15">
        <v>0</v>
      </c>
    </row>
    <row r="1910" spans="1:12">
      <c r="A1910" s="12"/>
      <c r="E1910" s="14"/>
      <c r="F1910" s="14"/>
      <c r="G1910" s="13">
        <v>0</v>
      </c>
      <c r="H1910" s="13">
        <v>0</v>
      </c>
      <c r="I1910" s="13"/>
      <c r="J1910" s="13"/>
      <c r="K1910" s="13"/>
      <c r="L1910" s="15">
        <v>0</v>
      </c>
    </row>
    <row r="1911" spans="1:12">
      <c r="A1911" s="12"/>
      <c r="E1911" s="14"/>
      <c r="F1911" s="14"/>
      <c r="G1911" s="13">
        <v>0</v>
      </c>
      <c r="H1911" s="13">
        <v>0</v>
      </c>
      <c r="I1911" s="13"/>
      <c r="J1911" s="13"/>
      <c r="K1911" s="13"/>
      <c r="L1911" s="15">
        <v>0</v>
      </c>
    </row>
    <row r="1912" spans="1:12">
      <c r="A1912" s="12"/>
      <c r="E1912" s="14"/>
      <c r="F1912" s="14"/>
      <c r="G1912" s="13">
        <v>0</v>
      </c>
      <c r="H1912" s="13">
        <v>0</v>
      </c>
      <c r="I1912" s="13"/>
      <c r="J1912" s="13"/>
      <c r="K1912" s="13"/>
      <c r="L1912" s="15">
        <v>0</v>
      </c>
    </row>
    <row r="1913" spans="1:12">
      <c r="A1913" s="12"/>
      <c r="E1913" s="14"/>
      <c r="F1913" s="14"/>
      <c r="G1913" s="13">
        <v>0</v>
      </c>
      <c r="H1913" s="13">
        <v>0</v>
      </c>
      <c r="I1913" s="13"/>
      <c r="J1913" s="13"/>
      <c r="K1913" s="13"/>
      <c r="L1913" s="15">
        <v>0</v>
      </c>
    </row>
    <row r="1914" spans="1:12">
      <c r="A1914" s="12"/>
      <c r="E1914" s="14"/>
      <c r="F1914" s="14"/>
      <c r="G1914" s="13">
        <v>0</v>
      </c>
      <c r="H1914" s="13">
        <v>0</v>
      </c>
      <c r="I1914" s="13"/>
      <c r="J1914" s="13"/>
      <c r="K1914" s="13"/>
      <c r="L1914" s="15">
        <v>0</v>
      </c>
    </row>
    <row r="1915" spans="1:12">
      <c r="A1915" s="12"/>
      <c r="E1915" s="14"/>
      <c r="F1915" s="14"/>
      <c r="G1915" s="13">
        <v>0</v>
      </c>
      <c r="H1915" s="13">
        <v>0</v>
      </c>
      <c r="I1915" s="13"/>
      <c r="J1915" s="13"/>
      <c r="K1915" s="13"/>
      <c r="L1915" s="15">
        <v>0</v>
      </c>
    </row>
    <row r="1916" spans="1:12">
      <c r="A1916" s="12"/>
      <c r="E1916" s="14"/>
      <c r="F1916" s="14"/>
      <c r="G1916" s="13">
        <v>0</v>
      </c>
      <c r="H1916" s="13">
        <v>0</v>
      </c>
      <c r="I1916" s="13"/>
      <c r="J1916" s="13"/>
      <c r="K1916" s="13"/>
      <c r="L1916" s="15">
        <v>0</v>
      </c>
    </row>
    <row r="1917" spans="1:12">
      <c r="A1917" s="12"/>
      <c r="E1917" s="14"/>
      <c r="F1917" s="14"/>
      <c r="G1917" s="13">
        <v>0</v>
      </c>
      <c r="H1917" s="13">
        <v>0</v>
      </c>
      <c r="I1917" s="13"/>
      <c r="J1917" s="13"/>
      <c r="K1917" s="13"/>
      <c r="L1917" s="15">
        <v>0</v>
      </c>
    </row>
    <row r="1918" spans="1:12">
      <c r="A1918" s="12"/>
      <c r="E1918" s="14"/>
      <c r="F1918" s="14"/>
      <c r="G1918" s="13">
        <v>0</v>
      </c>
      <c r="H1918" s="13">
        <v>0</v>
      </c>
      <c r="I1918" s="13"/>
      <c r="J1918" s="13"/>
      <c r="K1918" s="13"/>
      <c r="L1918" s="15">
        <v>0</v>
      </c>
    </row>
    <row r="1919" spans="1:12">
      <c r="A1919" s="12"/>
      <c r="E1919" s="14"/>
      <c r="F1919" s="14"/>
      <c r="G1919" s="13">
        <v>0</v>
      </c>
      <c r="H1919" s="13">
        <v>0</v>
      </c>
      <c r="I1919" s="13"/>
      <c r="J1919" s="13"/>
      <c r="K1919" s="13"/>
      <c r="L1919" s="15">
        <v>0</v>
      </c>
    </row>
    <row r="1920" spans="1:12">
      <c r="A1920" s="12"/>
      <c r="E1920" s="14"/>
      <c r="F1920" s="14"/>
      <c r="G1920" s="13">
        <v>0</v>
      </c>
      <c r="H1920" s="13">
        <v>0</v>
      </c>
      <c r="I1920" s="13"/>
      <c r="J1920" s="13"/>
      <c r="K1920" s="13"/>
      <c r="L1920" s="15">
        <v>0</v>
      </c>
    </row>
    <row r="1921" spans="1:12">
      <c r="A1921" s="12"/>
      <c r="E1921" s="14"/>
      <c r="F1921" s="14"/>
      <c r="G1921" s="13">
        <v>0</v>
      </c>
      <c r="H1921" s="13">
        <v>0</v>
      </c>
      <c r="I1921" s="13"/>
      <c r="J1921" s="13"/>
      <c r="K1921" s="13"/>
      <c r="L1921" s="15">
        <v>0</v>
      </c>
    </row>
    <row r="1922" spans="1:12">
      <c r="A1922" s="12"/>
      <c r="E1922" s="14"/>
      <c r="F1922" s="14"/>
      <c r="G1922" s="13">
        <v>0</v>
      </c>
      <c r="H1922" s="13">
        <v>0</v>
      </c>
      <c r="I1922" s="13"/>
      <c r="J1922" s="13"/>
      <c r="K1922" s="13"/>
      <c r="L1922" s="15">
        <v>0</v>
      </c>
    </row>
    <row r="1923" spans="1:12">
      <c r="A1923" s="12"/>
      <c r="E1923" s="14"/>
      <c r="F1923" s="14"/>
      <c r="G1923" s="13">
        <v>0</v>
      </c>
      <c r="H1923" s="13">
        <v>0</v>
      </c>
      <c r="I1923" s="13"/>
      <c r="J1923" s="13"/>
      <c r="K1923" s="13"/>
      <c r="L1923" s="15">
        <v>0</v>
      </c>
    </row>
    <row r="1924" spans="1:12">
      <c r="A1924" s="12"/>
      <c r="E1924" s="14"/>
      <c r="F1924" s="14"/>
      <c r="G1924" s="13">
        <v>0</v>
      </c>
      <c r="H1924" s="13">
        <v>0</v>
      </c>
      <c r="I1924" s="13"/>
      <c r="J1924" s="13"/>
      <c r="K1924" s="13"/>
      <c r="L1924" s="15">
        <v>0</v>
      </c>
    </row>
    <row r="1925" spans="1:12">
      <c r="A1925" s="12"/>
      <c r="E1925" s="14"/>
      <c r="F1925" s="14"/>
      <c r="G1925" s="13">
        <v>0</v>
      </c>
      <c r="H1925" s="13">
        <v>0</v>
      </c>
      <c r="I1925" s="13"/>
      <c r="J1925" s="13"/>
      <c r="K1925" s="13"/>
      <c r="L1925" s="15">
        <v>0</v>
      </c>
    </row>
    <row r="1926" spans="1:12">
      <c r="A1926" s="12"/>
      <c r="E1926" s="14"/>
      <c r="F1926" s="14"/>
      <c r="G1926" s="13">
        <v>0</v>
      </c>
      <c r="H1926" s="13">
        <v>0</v>
      </c>
      <c r="I1926" s="13"/>
      <c r="J1926" s="13"/>
      <c r="K1926" s="13"/>
      <c r="L1926" s="15">
        <v>0</v>
      </c>
    </row>
    <row r="1927" spans="1:12">
      <c r="A1927" s="12"/>
      <c r="E1927" s="14"/>
      <c r="F1927" s="14"/>
      <c r="G1927" s="13">
        <v>0</v>
      </c>
      <c r="H1927" s="13">
        <v>0</v>
      </c>
      <c r="I1927" s="13"/>
      <c r="J1927" s="13"/>
      <c r="K1927" s="13"/>
      <c r="L1927" s="15">
        <v>0</v>
      </c>
    </row>
    <row r="1928" spans="1:12">
      <c r="A1928" s="12"/>
      <c r="E1928" s="14"/>
      <c r="F1928" s="14"/>
      <c r="G1928" s="13">
        <v>0</v>
      </c>
      <c r="H1928" s="13">
        <v>0</v>
      </c>
      <c r="I1928" s="13"/>
      <c r="J1928" s="13"/>
      <c r="K1928" s="13"/>
      <c r="L1928" s="15">
        <v>0</v>
      </c>
    </row>
    <row r="1929" spans="1:12">
      <c r="A1929" s="12"/>
      <c r="E1929" s="14"/>
      <c r="F1929" s="14"/>
      <c r="G1929" s="13">
        <v>0</v>
      </c>
      <c r="H1929" s="13">
        <v>0</v>
      </c>
      <c r="I1929" s="13"/>
      <c r="J1929" s="13"/>
      <c r="K1929" s="13"/>
      <c r="L1929" s="15">
        <v>0</v>
      </c>
    </row>
    <row r="1930" spans="1:12">
      <c r="A1930" s="12"/>
      <c r="E1930" s="14"/>
      <c r="F1930" s="14"/>
      <c r="G1930" s="13">
        <v>0</v>
      </c>
      <c r="H1930" s="13">
        <v>0</v>
      </c>
      <c r="I1930" s="13"/>
      <c r="J1930" s="13"/>
      <c r="K1930" s="13"/>
      <c r="L1930" s="15">
        <v>0</v>
      </c>
    </row>
    <row r="1931" spans="1:12">
      <c r="A1931" s="12"/>
      <c r="E1931" s="14"/>
      <c r="F1931" s="14"/>
      <c r="G1931" s="13">
        <v>0</v>
      </c>
      <c r="H1931" s="13">
        <v>0</v>
      </c>
      <c r="I1931" s="13"/>
      <c r="J1931" s="13"/>
      <c r="K1931" s="13"/>
      <c r="L1931" s="15">
        <v>0</v>
      </c>
    </row>
    <row r="1932" spans="1:12">
      <c r="A1932" s="12"/>
      <c r="E1932" s="14"/>
      <c r="F1932" s="14"/>
      <c r="G1932" s="13">
        <v>0</v>
      </c>
      <c r="H1932" s="13">
        <v>0</v>
      </c>
      <c r="I1932" s="13"/>
      <c r="J1932" s="13"/>
      <c r="K1932" s="13"/>
      <c r="L1932" s="15">
        <v>0</v>
      </c>
    </row>
    <row r="1933" spans="1:12">
      <c r="A1933" s="12"/>
      <c r="E1933" s="14"/>
      <c r="F1933" s="14"/>
      <c r="G1933" s="13">
        <v>0</v>
      </c>
      <c r="H1933" s="13">
        <v>0</v>
      </c>
      <c r="I1933" s="13"/>
      <c r="J1933" s="13"/>
      <c r="K1933" s="13"/>
      <c r="L1933" s="15">
        <v>0</v>
      </c>
    </row>
    <row r="1934" spans="1:12">
      <c r="A1934" s="12"/>
      <c r="E1934" s="14"/>
      <c r="F1934" s="14"/>
      <c r="G1934" s="13">
        <v>0</v>
      </c>
      <c r="H1934" s="13">
        <v>0</v>
      </c>
      <c r="I1934" s="13"/>
      <c r="J1934" s="13"/>
      <c r="K1934" s="13"/>
      <c r="L1934" s="15">
        <v>0</v>
      </c>
    </row>
    <row r="1935" spans="1:12">
      <c r="A1935" s="12"/>
      <c r="E1935" s="14"/>
      <c r="F1935" s="14"/>
      <c r="G1935" s="13">
        <v>0</v>
      </c>
      <c r="H1935" s="13">
        <v>0</v>
      </c>
      <c r="I1935" s="13"/>
      <c r="J1935" s="13"/>
      <c r="K1935" s="13"/>
      <c r="L1935" s="15">
        <v>0</v>
      </c>
    </row>
    <row r="1936" spans="1:12">
      <c r="A1936" s="12"/>
      <c r="E1936" s="14"/>
      <c r="F1936" s="14"/>
      <c r="G1936" s="13">
        <v>0</v>
      </c>
      <c r="H1936" s="13">
        <v>0</v>
      </c>
      <c r="I1936" s="13"/>
      <c r="J1936" s="13"/>
      <c r="K1936" s="13"/>
      <c r="L1936" s="15">
        <v>0</v>
      </c>
    </row>
    <row r="1937" spans="1:12">
      <c r="A1937" s="12"/>
      <c r="E1937" s="14"/>
      <c r="F1937" s="14"/>
      <c r="G1937" s="13">
        <v>0</v>
      </c>
      <c r="H1937" s="13">
        <v>0</v>
      </c>
      <c r="I1937" s="13"/>
      <c r="J1937" s="13"/>
      <c r="K1937" s="13"/>
      <c r="L1937" s="15">
        <v>0</v>
      </c>
    </row>
    <row r="1938" spans="1:12">
      <c r="A1938" s="12"/>
      <c r="E1938" s="14"/>
      <c r="F1938" s="14"/>
      <c r="G1938" s="13">
        <v>0</v>
      </c>
      <c r="H1938" s="13">
        <v>0</v>
      </c>
      <c r="I1938" s="13"/>
      <c r="J1938" s="13"/>
      <c r="K1938" s="13"/>
      <c r="L1938" s="15">
        <v>0</v>
      </c>
    </row>
    <row r="1939" spans="1:12">
      <c r="A1939" s="12"/>
      <c r="E1939" s="14"/>
      <c r="F1939" s="14"/>
      <c r="G1939" s="13">
        <v>0</v>
      </c>
      <c r="H1939" s="13">
        <v>0</v>
      </c>
      <c r="I1939" s="13"/>
      <c r="J1939" s="13"/>
      <c r="K1939" s="13"/>
      <c r="L1939" s="15">
        <v>0</v>
      </c>
    </row>
    <row r="1940" spans="1:12">
      <c r="A1940" s="12"/>
      <c r="E1940" s="14"/>
      <c r="F1940" s="14"/>
      <c r="G1940" s="13">
        <v>0</v>
      </c>
      <c r="H1940" s="13">
        <v>0</v>
      </c>
      <c r="I1940" s="13"/>
      <c r="J1940" s="13"/>
      <c r="K1940" s="13"/>
      <c r="L1940" s="15">
        <v>0</v>
      </c>
    </row>
    <row r="1941" spans="1:12">
      <c r="A1941" s="12"/>
      <c r="E1941" s="14"/>
      <c r="F1941" s="14"/>
      <c r="G1941" s="13">
        <v>0</v>
      </c>
      <c r="H1941" s="13">
        <v>0</v>
      </c>
      <c r="I1941" s="13"/>
      <c r="J1941" s="13"/>
      <c r="K1941" s="13"/>
      <c r="L1941" s="15">
        <v>0</v>
      </c>
    </row>
    <row r="1942" spans="1:12">
      <c r="A1942" s="12"/>
      <c r="E1942" s="14"/>
      <c r="F1942" s="14"/>
      <c r="G1942" s="13">
        <v>0</v>
      </c>
      <c r="H1942" s="13">
        <v>0</v>
      </c>
      <c r="I1942" s="13"/>
      <c r="J1942" s="13"/>
      <c r="K1942" s="13"/>
      <c r="L1942" s="15">
        <v>0</v>
      </c>
    </row>
    <row r="1943" spans="1:12">
      <c r="A1943" s="12"/>
      <c r="E1943" s="14"/>
      <c r="F1943" s="14"/>
      <c r="G1943" s="13">
        <v>0</v>
      </c>
      <c r="H1943" s="13">
        <v>0</v>
      </c>
      <c r="I1943" s="13"/>
      <c r="J1943" s="13"/>
      <c r="K1943" s="13"/>
      <c r="L1943" s="15">
        <v>0</v>
      </c>
    </row>
    <row r="1944" spans="1:12">
      <c r="A1944" s="12"/>
      <c r="E1944" s="14"/>
      <c r="F1944" s="14"/>
      <c r="G1944" s="13">
        <v>0</v>
      </c>
      <c r="H1944" s="13">
        <v>0</v>
      </c>
      <c r="I1944" s="13"/>
      <c r="J1944" s="13"/>
      <c r="K1944" s="13"/>
      <c r="L1944" s="15">
        <v>0</v>
      </c>
    </row>
    <row r="1945" spans="1:12">
      <c r="A1945" s="12"/>
      <c r="E1945" s="14"/>
      <c r="F1945" s="14"/>
      <c r="G1945" s="13">
        <v>0</v>
      </c>
      <c r="H1945" s="13">
        <v>0</v>
      </c>
      <c r="I1945" s="13"/>
      <c r="J1945" s="13"/>
      <c r="K1945" s="13"/>
      <c r="L1945" s="15">
        <v>0</v>
      </c>
    </row>
    <row r="1946" spans="1:12">
      <c r="A1946" s="12"/>
      <c r="E1946" s="14"/>
      <c r="F1946" s="14"/>
      <c r="G1946" s="13">
        <v>0</v>
      </c>
      <c r="H1946" s="13">
        <v>0</v>
      </c>
      <c r="I1946" s="13"/>
      <c r="J1946" s="13"/>
      <c r="K1946" s="13"/>
      <c r="L1946" s="15">
        <v>0</v>
      </c>
    </row>
    <row r="1947" spans="1:12">
      <c r="A1947" s="12"/>
      <c r="E1947" s="14"/>
      <c r="F1947" s="14"/>
      <c r="G1947" s="13">
        <v>0</v>
      </c>
      <c r="H1947" s="13">
        <v>0</v>
      </c>
      <c r="I1947" s="13"/>
      <c r="J1947" s="13"/>
      <c r="K1947" s="13"/>
      <c r="L1947" s="15">
        <v>0</v>
      </c>
    </row>
    <row r="1948" spans="1:12">
      <c r="A1948" s="12"/>
      <c r="E1948" s="14"/>
      <c r="F1948" s="14"/>
      <c r="G1948" s="13">
        <v>0</v>
      </c>
      <c r="H1948" s="13">
        <v>0</v>
      </c>
      <c r="I1948" s="13"/>
      <c r="J1948" s="13"/>
      <c r="K1948" s="13"/>
      <c r="L1948" s="15">
        <v>0</v>
      </c>
    </row>
    <row r="1949" spans="1:12">
      <c r="A1949" s="12"/>
      <c r="E1949" s="14"/>
      <c r="F1949" s="14"/>
      <c r="G1949" s="13">
        <v>0</v>
      </c>
      <c r="H1949" s="13">
        <v>0</v>
      </c>
      <c r="I1949" s="13"/>
      <c r="J1949" s="13"/>
      <c r="K1949" s="13"/>
      <c r="L1949" s="15">
        <v>0</v>
      </c>
    </row>
    <row r="1950" spans="1:12">
      <c r="A1950" s="12"/>
      <c r="E1950" s="14"/>
      <c r="F1950" s="14"/>
      <c r="G1950" s="13">
        <v>0</v>
      </c>
      <c r="H1950" s="13">
        <v>0</v>
      </c>
      <c r="I1950" s="13"/>
      <c r="J1950" s="13"/>
      <c r="K1950" s="13"/>
      <c r="L1950" s="15">
        <v>0</v>
      </c>
    </row>
    <row r="1951" spans="1:12">
      <c r="A1951" s="12"/>
      <c r="E1951" s="14"/>
      <c r="F1951" s="14"/>
      <c r="G1951" s="13">
        <v>0</v>
      </c>
      <c r="H1951" s="13">
        <v>0</v>
      </c>
      <c r="I1951" s="13"/>
      <c r="J1951" s="13"/>
      <c r="K1951" s="13"/>
      <c r="L1951" s="15">
        <v>0</v>
      </c>
    </row>
    <row r="1952" spans="1:12">
      <c r="A1952" s="12"/>
      <c r="E1952" s="14"/>
      <c r="F1952" s="14"/>
      <c r="G1952" s="13">
        <v>0</v>
      </c>
      <c r="H1952" s="13">
        <v>0</v>
      </c>
      <c r="I1952" s="13"/>
      <c r="J1952" s="13"/>
      <c r="K1952" s="13"/>
      <c r="L1952" s="15">
        <v>0</v>
      </c>
    </row>
    <row r="1953" spans="1:12">
      <c r="A1953" s="12"/>
      <c r="E1953" s="14"/>
      <c r="F1953" s="14"/>
      <c r="G1953" s="13">
        <v>0</v>
      </c>
      <c r="H1953" s="13">
        <v>0</v>
      </c>
      <c r="I1953" s="13"/>
      <c r="J1953" s="13"/>
      <c r="K1953" s="13"/>
      <c r="L1953" s="15">
        <v>0</v>
      </c>
    </row>
    <row r="1954" spans="1:12">
      <c r="A1954" s="12"/>
      <c r="E1954" s="14"/>
      <c r="F1954" s="14"/>
      <c r="G1954" s="13">
        <v>0</v>
      </c>
      <c r="H1954" s="13">
        <v>0</v>
      </c>
      <c r="I1954" s="13"/>
      <c r="J1954" s="13"/>
      <c r="K1954" s="13"/>
      <c r="L1954" s="15">
        <v>0</v>
      </c>
    </row>
    <row r="1955" spans="1:12">
      <c r="A1955" s="12"/>
      <c r="E1955" s="14"/>
      <c r="F1955" s="14"/>
      <c r="G1955" s="13">
        <v>0</v>
      </c>
      <c r="H1955" s="13">
        <v>0</v>
      </c>
      <c r="I1955" s="13"/>
      <c r="J1955" s="13"/>
      <c r="K1955" s="13"/>
      <c r="L1955" s="15">
        <v>0</v>
      </c>
    </row>
    <row r="1956" spans="1:12">
      <c r="A1956" s="12"/>
      <c r="E1956" s="14"/>
      <c r="F1956" s="14"/>
      <c r="G1956" s="13">
        <v>0</v>
      </c>
      <c r="H1956" s="13">
        <v>0</v>
      </c>
      <c r="I1956" s="13"/>
      <c r="J1956" s="13"/>
      <c r="K1956" s="13"/>
      <c r="L1956" s="15">
        <v>0</v>
      </c>
    </row>
    <row r="1957" spans="1:12">
      <c r="A1957" s="12"/>
      <c r="E1957" s="14"/>
      <c r="F1957" s="14"/>
      <c r="G1957" s="13">
        <v>0</v>
      </c>
      <c r="H1957" s="13">
        <v>0</v>
      </c>
      <c r="I1957" s="13"/>
      <c r="J1957" s="13"/>
      <c r="K1957" s="13"/>
      <c r="L1957" s="15">
        <v>0</v>
      </c>
    </row>
    <row r="1958" spans="1:12">
      <c r="A1958" s="12"/>
      <c r="E1958" s="14"/>
      <c r="F1958" s="14"/>
      <c r="G1958" s="13">
        <v>0</v>
      </c>
      <c r="H1958" s="13">
        <v>0</v>
      </c>
      <c r="I1958" s="13"/>
      <c r="J1958" s="13"/>
      <c r="K1958" s="13"/>
      <c r="L1958" s="15">
        <v>0</v>
      </c>
    </row>
    <row r="1959" spans="1:12">
      <c r="A1959" s="12"/>
      <c r="E1959" s="14"/>
      <c r="F1959" s="14"/>
      <c r="G1959" s="13">
        <v>0</v>
      </c>
      <c r="H1959" s="13">
        <v>0</v>
      </c>
      <c r="I1959" s="13"/>
      <c r="J1959" s="13"/>
      <c r="K1959" s="13"/>
      <c r="L1959" s="15">
        <v>0</v>
      </c>
    </row>
    <row r="1960" spans="1:12">
      <c r="A1960" s="12"/>
      <c r="E1960" s="14"/>
      <c r="F1960" s="14"/>
      <c r="G1960" s="13">
        <v>0</v>
      </c>
      <c r="H1960" s="13">
        <v>0</v>
      </c>
      <c r="I1960" s="13"/>
      <c r="J1960" s="13"/>
      <c r="K1960" s="13"/>
      <c r="L1960" s="15">
        <v>0</v>
      </c>
    </row>
    <row r="1961" spans="1:12">
      <c r="A1961" s="12"/>
      <c r="E1961" s="14"/>
      <c r="F1961" s="14"/>
      <c r="G1961" s="13">
        <v>0</v>
      </c>
      <c r="H1961" s="13">
        <v>0</v>
      </c>
      <c r="I1961" s="13"/>
      <c r="J1961" s="13"/>
      <c r="K1961" s="13"/>
      <c r="L1961" s="15">
        <v>0</v>
      </c>
    </row>
    <row r="1962" spans="1:12">
      <c r="A1962" s="12"/>
      <c r="E1962" s="14"/>
      <c r="F1962" s="14"/>
      <c r="G1962" s="13">
        <v>0</v>
      </c>
      <c r="H1962" s="13">
        <v>0</v>
      </c>
      <c r="I1962" s="13"/>
      <c r="J1962" s="13"/>
      <c r="K1962" s="13"/>
      <c r="L1962" s="15">
        <v>0</v>
      </c>
    </row>
    <row r="1963" spans="1:12">
      <c r="A1963" s="12"/>
      <c r="E1963" s="14"/>
      <c r="F1963" s="14"/>
      <c r="G1963" s="13">
        <v>0</v>
      </c>
      <c r="H1963" s="13">
        <v>0</v>
      </c>
      <c r="I1963" s="13"/>
      <c r="J1963" s="13"/>
      <c r="K1963" s="13"/>
      <c r="L1963" s="15">
        <v>0</v>
      </c>
    </row>
    <row r="1964" spans="1:12">
      <c r="A1964" s="12"/>
      <c r="E1964" s="14"/>
      <c r="F1964" s="14"/>
      <c r="G1964" s="13">
        <v>0</v>
      </c>
      <c r="H1964" s="13">
        <v>0</v>
      </c>
      <c r="I1964" s="13"/>
      <c r="J1964" s="13"/>
      <c r="K1964" s="13"/>
      <c r="L1964" s="15">
        <v>0</v>
      </c>
    </row>
    <row r="1965" spans="1:12">
      <c r="A1965" s="12"/>
      <c r="E1965" s="14"/>
      <c r="F1965" s="14"/>
      <c r="G1965" s="13">
        <v>0</v>
      </c>
      <c r="H1965" s="13">
        <v>0</v>
      </c>
      <c r="I1965" s="13"/>
      <c r="J1965" s="13"/>
      <c r="K1965" s="13"/>
      <c r="L1965" s="15">
        <v>0</v>
      </c>
    </row>
    <row r="1966" spans="1:12">
      <c r="A1966" s="12"/>
      <c r="E1966" s="14"/>
      <c r="F1966" s="14"/>
      <c r="G1966" s="13">
        <v>0</v>
      </c>
      <c r="H1966" s="13">
        <v>0</v>
      </c>
      <c r="I1966" s="13"/>
      <c r="J1966" s="13"/>
      <c r="K1966" s="13"/>
      <c r="L1966" s="15">
        <v>0</v>
      </c>
    </row>
    <row r="1967" spans="1:12">
      <c r="A1967" s="12"/>
      <c r="E1967" s="14"/>
      <c r="F1967" s="14"/>
      <c r="G1967" s="13">
        <v>0</v>
      </c>
      <c r="H1967" s="13">
        <v>0</v>
      </c>
      <c r="I1967" s="13"/>
      <c r="J1967" s="13"/>
      <c r="K1967" s="13"/>
      <c r="L1967" s="15">
        <v>0</v>
      </c>
    </row>
    <row r="1968" spans="1:12">
      <c r="A1968" s="12"/>
      <c r="E1968" s="14"/>
      <c r="F1968" s="14"/>
      <c r="G1968" s="13">
        <v>0</v>
      </c>
      <c r="H1968" s="13">
        <v>0</v>
      </c>
      <c r="I1968" s="13"/>
      <c r="J1968" s="13"/>
      <c r="K1968" s="13"/>
      <c r="L1968" s="15">
        <v>0</v>
      </c>
    </row>
    <row r="1969" spans="1:12">
      <c r="A1969" s="12"/>
      <c r="E1969" s="14"/>
      <c r="F1969" s="14"/>
      <c r="G1969" s="13">
        <v>0</v>
      </c>
      <c r="H1969" s="13">
        <v>0</v>
      </c>
      <c r="I1969" s="13"/>
      <c r="J1969" s="13"/>
      <c r="K1969" s="13"/>
      <c r="L1969" s="15">
        <v>0</v>
      </c>
    </row>
    <row r="1970" spans="1:12">
      <c r="A1970" s="12"/>
      <c r="E1970" s="14"/>
      <c r="F1970" s="14"/>
      <c r="G1970" s="13">
        <v>0</v>
      </c>
      <c r="H1970" s="13">
        <v>0</v>
      </c>
      <c r="I1970" s="13"/>
      <c r="J1970" s="13"/>
      <c r="K1970" s="13"/>
      <c r="L1970" s="15">
        <v>0</v>
      </c>
    </row>
    <row r="1971" spans="1:12">
      <c r="A1971" s="12"/>
      <c r="E1971" s="14"/>
      <c r="F1971" s="14"/>
      <c r="G1971" s="13">
        <v>0</v>
      </c>
      <c r="H1971" s="13">
        <v>0</v>
      </c>
      <c r="I1971" s="13"/>
      <c r="J1971" s="13"/>
      <c r="K1971" s="13"/>
      <c r="L1971" s="15">
        <v>0</v>
      </c>
    </row>
    <row r="1972" spans="1:12">
      <c r="A1972" s="12"/>
      <c r="E1972" s="14"/>
      <c r="F1972" s="14"/>
      <c r="G1972" s="13">
        <v>0</v>
      </c>
      <c r="H1972" s="13">
        <v>0</v>
      </c>
      <c r="I1972" s="13"/>
      <c r="J1972" s="13"/>
      <c r="K1972" s="13"/>
      <c r="L1972" s="15">
        <v>0</v>
      </c>
    </row>
    <row r="1973" spans="1:12">
      <c r="A1973" s="12"/>
      <c r="E1973" s="14"/>
      <c r="F1973" s="14"/>
      <c r="G1973" s="13">
        <v>0</v>
      </c>
      <c r="H1973" s="13">
        <v>0</v>
      </c>
      <c r="I1973" s="13"/>
      <c r="J1973" s="13"/>
      <c r="K1973" s="13"/>
      <c r="L1973" s="15">
        <v>0</v>
      </c>
    </row>
    <row r="1974" spans="1:12">
      <c r="A1974" s="12"/>
      <c r="E1974" s="14"/>
      <c r="F1974" s="14"/>
      <c r="G1974" s="13">
        <v>0</v>
      </c>
      <c r="H1974" s="13">
        <v>0</v>
      </c>
      <c r="I1974" s="13"/>
      <c r="J1974" s="13"/>
      <c r="K1974" s="13"/>
      <c r="L1974" s="15">
        <v>0</v>
      </c>
    </row>
    <row r="1975" spans="1:12">
      <c r="A1975" s="12"/>
      <c r="E1975" s="14"/>
      <c r="F1975" s="14"/>
      <c r="G1975" s="13">
        <v>0</v>
      </c>
      <c r="H1975" s="13">
        <v>0</v>
      </c>
      <c r="I1975" s="13"/>
      <c r="J1975" s="13"/>
      <c r="K1975" s="13"/>
      <c r="L1975" s="15">
        <v>0</v>
      </c>
    </row>
    <row r="1976" spans="1:12">
      <c r="A1976" s="12"/>
      <c r="E1976" s="14"/>
      <c r="F1976" s="14"/>
      <c r="G1976" s="13">
        <v>0</v>
      </c>
      <c r="H1976" s="13">
        <v>0</v>
      </c>
      <c r="I1976" s="13"/>
      <c r="J1976" s="13"/>
      <c r="K1976" s="13"/>
      <c r="L1976" s="15">
        <v>0</v>
      </c>
    </row>
    <row r="1977" spans="1:12">
      <c r="A1977" s="12"/>
      <c r="E1977" s="14"/>
      <c r="F1977" s="14"/>
      <c r="G1977" s="13">
        <v>0</v>
      </c>
      <c r="H1977" s="13">
        <v>0</v>
      </c>
      <c r="I1977" s="13"/>
      <c r="J1977" s="13"/>
      <c r="K1977" s="13"/>
      <c r="L1977" s="15">
        <v>0</v>
      </c>
    </row>
    <row r="1978" spans="1:12">
      <c r="A1978" s="12"/>
      <c r="E1978" s="14"/>
      <c r="F1978" s="14"/>
      <c r="G1978" s="13">
        <v>0</v>
      </c>
      <c r="H1978" s="13">
        <v>0</v>
      </c>
      <c r="I1978" s="13"/>
      <c r="J1978" s="13"/>
      <c r="K1978" s="13"/>
      <c r="L1978" s="15">
        <v>0</v>
      </c>
    </row>
    <row r="1979" spans="1:12">
      <c r="A1979" s="12"/>
      <c r="E1979" s="14"/>
      <c r="F1979" s="14"/>
      <c r="G1979" s="13">
        <v>0</v>
      </c>
      <c r="H1979" s="13">
        <v>0</v>
      </c>
      <c r="I1979" s="13"/>
      <c r="J1979" s="13"/>
      <c r="K1979" s="13"/>
      <c r="L1979" s="15">
        <v>0</v>
      </c>
    </row>
    <row r="1980" spans="1:12">
      <c r="A1980" s="12"/>
      <c r="E1980" s="14"/>
      <c r="F1980" s="14"/>
      <c r="G1980" s="13">
        <v>0</v>
      </c>
      <c r="H1980" s="13">
        <v>0</v>
      </c>
      <c r="I1980" s="13"/>
      <c r="J1980" s="13"/>
      <c r="K1980" s="13"/>
      <c r="L1980" s="15">
        <v>0</v>
      </c>
    </row>
    <row r="1981" spans="1:12">
      <c r="A1981" s="12"/>
      <c r="E1981" s="14"/>
      <c r="F1981" s="14"/>
      <c r="G1981" s="13">
        <v>0</v>
      </c>
      <c r="H1981" s="13">
        <v>0</v>
      </c>
      <c r="I1981" s="13"/>
      <c r="J1981" s="13"/>
      <c r="K1981" s="13"/>
      <c r="L1981" s="15">
        <v>0</v>
      </c>
    </row>
    <row r="1982" spans="1:12">
      <c r="A1982" s="12"/>
      <c r="E1982" s="14"/>
      <c r="F1982" s="14"/>
      <c r="G1982" s="13">
        <v>0</v>
      </c>
      <c r="H1982" s="13">
        <v>0</v>
      </c>
      <c r="I1982" s="13"/>
      <c r="J1982" s="13"/>
      <c r="K1982" s="13"/>
      <c r="L1982" s="15">
        <v>0</v>
      </c>
    </row>
    <row r="1983" spans="1:12">
      <c r="A1983" s="12"/>
      <c r="E1983" s="14"/>
      <c r="F1983" s="14"/>
      <c r="G1983" s="13">
        <v>0</v>
      </c>
      <c r="H1983" s="13">
        <v>0</v>
      </c>
      <c r="I1983" s="13"/>
      <c r="J1983" s="13"/>
      <c r="K1983" s="13"/>
      <c r="L1983" s="15">
        <v>0</v>
      </c>
    </row>
    <row r="1984" spans="1:12">
      <c r="A1984" s="12"/>
      <c r="E1984" s="14"/>
      <c r="F1984" s="14"/>
      <c r="G1984" s="13">
        <v>0</v>
      </c>
      <c r="H1984" s="13">
        <v>0</v>
      </c>
      <c r="I1984" s="13"/>
      <c r="J1984" s="13"/>
      <c r="K1984" s="13"/>
      <c r="L1984" s="15">
        <v>0</v>
      </c>
    </row>
    <row r="1985" spans="1:12">
      <c r="A1985" s="12"/>
      <c r="E1985" s="14"/>
      <c r="F1985" s="14"/>
      <c r="G1985" s="13">
        <v>0</v>
      </c>
      <c r="H1985" s="13">
        <v>0</v>
      </c>
      <c r="I1985" s="13"/>
      <c r="J1985" s="13"/>
      <c r="K1985" s="13"/>
      <c r="L1985" s="15">
        <v>0</v>
      </c>
    </row>
    <row r="1986" spans="1:12">
      <c r="A1986" s="12"/>
      <c r="E1986" s="14"/>
      <c r="F1986" s="14"/>
      <c r="G1986" s="13">
        <v>0</v>
      </c>
      <c r="H1986" s="13">
        <v>0</v>
      </c>
      <c r="I1986" s="13"/>
      <c r="J1986" s="13"/>
      <c r="K1986" s="13"/>
      <c r="L1986" s="15">
        <v>0</v>
      </c>
    </row>
    <row r="1987" spans="1:12">
      <c r="A1987" s="12"/>
      <c r="E1987" s="14"/>
      <c r="F1987" s="14"/>
      <c r="G1987" s="13">
        <v>0</v>
      </c>
      <c r="H1987" s="13">
        <v>0</v>
      </c>
      <c r="I1987" s="13"/>
      <c r="J1987" s="13"/>
      <c r="K1987" s="13"/>
      <c r="L1987" s="15">
        <v>0</v>
      </c>
    </row>
    <row r="1988" spans="1:12">
      <c r="A1988" s="12"/>
      <c r="E1988" s="14"/>
      <c r="F1988" s="14"/>
      <c r="G1988" s="13">
        <v>0</v>
      </c>
      <c r="H1988" s="13">
        <v>0</v>
      </c>
      <c r="I1988" s="13"/>
      <c r="J1988" s="13"/>
      <c r="K1988" s="13"/>
      <c r="L1988" s="15">
        <v>0</v>
      </c>
    </row>
    <row r="1989" spans="1:12">
      <c r="A1989" s="12"/>
      <c r="E1989" s="14"/>
      <c r="F1989" s="14"/>
      <c r="G1989" s="13">
        <v>0</v>
      </c>
      <c r="H1989" s="13">
        <v>0</v>
      </c>
      <c r="I1989" s="13"/>
      <c r="J1989" s="13"/>
      <c r="K1989" s="13"/>
      <c r="L1989" s="15">
        <v>0</v>
      </c>
    </row>
    <row r="1990" spans="1:12">
      <c r="A1990" s="12"/>
      <c r="E1990" s="14"/>
      <c r="F1990" s="14"/>
      <c r="G1990" s="13">
        <v>0</v>
      </c>
      <c r="H1990" s="13">
        <v>0</v>
      </c>
      <c r="I1990" s="13"/>
      <c r="J1990" s="13"/>
      <c r="K1990" s="13"/>
      <c r="L1990" s="15">
        <v>0</v>
      </c>
    </row>
    <row r="1991" spans="1:12">
      <c r="A1991" s="12"/>
      <c r="E1991" s="14"/>
      <c r="F1991" s="14"/>
      <c r="G1991" s="13">
        <v>0</v>
      </c>
      <c r="H1991" s="13">
        <v>0</v>
      </c>
      <c r="I1991" s="13"/>
      <c r="J1991" s="13"/>
      <c r="K1991" s="13"/>
      <c r="L1991" s="15">
        <v>0</v>
      </c>
    </row>
    <row r="1992" spans="1:12">
      <c r="A1992" s="12"/>
      <c r="E1992" s="14"/>
      <c r="F1992" s="14"/>
      <c r="G1992" s="13">
        <v>0</v>
      </c>
      <c r="H1992" s="13">
        <v>0</v>
      </c>
      <c r="I1992" s="13"/>
      <c r="J1992" s="13"/>
      <c r="K1992" s="13"/>
      <c r="L1992" s="15">
        <v>0</v>
      </c>
    </row>
    <row r="1993" spans="1:12">
      <c r="A1993" s="12"/>
      <c r="E1993" s="14"/>
      <c r="F1993" s="14"/>
      <c r="G1993" s="13">
        <v>0</v>
      </c>
      <c r="H1993" s="13">
        <v>0</v>
      </c>
      <c r="I1993" s="13"/>
      <c r="J1993" s="13"/>
      <c r="K1993" s="13"/>
      <c r="L1993" s="15">
        <v>0</v>
      </c>
    </row>
    <row r="1994" spans="1:12">
      <c r="A1994" s="12"/>
      <c r="E1994" s="14"/>
      <c r="F1994" s="14"/>
      <c r="G1994" s="13">
        <v>0</v>
      </c>
      <c r="H1994" s="13">
        <v>0</v>
      </c>
      <c r="I1994" s="13"/>
      <c r="J1994" s="13"/>
      <c r="K1994" s="13"/>
      <c r="L1994" s="15">
        <v>0</v>
      </c>
    </row>
    <row r="1995" spans="1:12">
      <c r="A1995" s="12"/>
      <c r="E1995" s="14"/>
      <c r="F1995" s="14"/>
      <c r="G1995" s="13">
        <v>0</v>
      </c>
      <c r="H1995" s="13">
        <v>0</v>
      </c>
      <c r="I1995" s="13"/>
      <c r="J1995" s="13"/>
      <c r="K1995" s="13"/>
      <c r="L1995" s="15">
        <v>0</v>
      </c>
    </row>
    <row r="1996" spans="1:12">
      <c r="A1996" s="12"/>
      <c r="E1996" s="14"/>
      <c r="F1996" s="14"/>
      <c r="G1996" s="13">
        <v>0</v>
      </c>
      <c r="H1996" s="13">
        <v>0</v>
      </c>
      <c r="I1996" s="13"/>
      <c r="J1996" s="13"/>
      <c r="K1996" s="13"/>
      <c r="L1996" s="15">
        <v>0</v>
      </c>
    </row>
    <row r="1997" spans="1:12">
      <c r="A1997" s="12"/>
      <c r="E1997" s="14"/>
      <c r="F1997" s="14"/>
      <c r="G1997" s="13">
        <v>0</v>
      </c>
      <c r="H1997" s="13">
        <v>0</v>
      </c>
      <c r="I1997" s="13"/>
      <c r="J1997" s="13"/>
      <c r="K1997" s="13"/>
      <c r="L1997" s="15">
        <v>0</v>
      </c>
    </row>
    <row r="1998" spans="1:12">
      <c r="A1998" s="12"/>
      <c r="E1998" s="14"/>
      <c r="F1998" s="14"/>
      <c r="G1998" s="13">
        <v>0</v>
      </c>
      <c r="H1998" s="13">
        <v>0</v>
      </c>
      <c r="I1998" s="13"/>
      <c r="J1998" s="13"/>
      <c r="K1998" s="13"/>
      <c r="L1998" s="15">
        <v>0</v>
      </c>
    </row>
    <row r="1999" spans="1:12">
      <c r="A1999" s="12"/>
      <c r="E1999" s="14"/>
      <c r="F1999" s="14"/>
      <c r="G1999" s="13">
        <v>0</v>
      </c>
      <c r="H1999" s="13">
        <v>0</v>
      </c>
      <c r="I1999" s="13"/>
      <c r="J1999" s="13"/>
      <c r="K1999" s="13"/>
      <c r="L1999" s="15">
        <v>0</v>
      </c>
    </row>
    <row r="2000" spans="1:12">
      <c r="A2000" s="12"/>
      <c r="E2000" s="14"/>
      <c r="F2000" s="14"/>
      <c r="G2000" s="13">
        <v>0</v>
      </c>
      <c r="H2000" s="13">
        <v>0</v>
      </c>
      <c r="I2000" s="13"/>
      <c r="J2000" s="13"/>
      <c r="K2000" s="13"/>
      <c r="L2000" s="15">
        <v>0</v>
      </c>
    </row>
    <row r="2001" spans="1:12">
      <c r="A2001" s="12"/>
      <c r="E2001" s="14"/>
      <c r="F2001" s="14"/>
      <c r="G2001" s="13">
        <v>0</v>
      </c>
      <c r="H2001" s="13">
        <v>0</v>
      </c>
      <c r="I2001" s="13"/>
      <c r="J2001" s="13"/>
      <c r="K2001" s="13"/>
      <c r="L2001" s="15">
        <v>0</v>
      </c>
    </row>
    <row r="2002" spans="1:12">
      <c r="A2002" s="12"/>
      <c r="E2002" s="14"/>
      <c r="F2002" s="14"/>
      <c r="G2002" s="13">
        <v>0</v>
      </c>
      <c r="H2002" s="13">
        <v>0</v>
      </c>
      <c r="I2002" s="13"/>
      <c r="J2002" s="13"/>
      <c r="K2002" s="13"/>
      <c r="L2002" s="15">
        <v>0</v>
      </c>
    </row>
    <row r="2003" spans="1:12">
      <c r="A2003" s="12"/>
      <c r="E2003" s="14"/>
      <c r="F2003" s="14"/>
      <c r="G2003" s="13">
        <v>0</v>
      </c>
      <c r="H2003" s="13">
        <v>0</v>
      </c>
      <c r="I2003" s="13"/>
      <c r="J2003" s="13"/>
      <c r="K2003" s="13"/>
      <c r="L2003" s="15">
        <v>0</v>
      </c>
    </row>
    <row r="2004" spans="1:12">
      <c r="A2004" s="12"/>
      <c r="E2004" s="14"/>
      <c r="F2004" s="14"/>
      <c r="G2004" s="13">
        <v>0</v>
      </c>
      <c r="H2004" s="13">
        <v>0</v>
      </c>
      <c r="I2004" s="13"/>
      <c r="J2004" s="13"/>
      <c r="K2004" s="13"/>
      <c r="L2004" s="15">
        <v>0</v>
      </c>
    </row>
    <row r="2005" spans="1:12">
      <c r="A2005" s="12"/>
      <c r="E2005" s="14"/>
      <c r="F2005" s="14"/>
      <c r="G2005" s="13">
        <v>0</v>
      </c>
      <c r="H2005" s="13">
        <v>0</v>
      </c>
      <c r="I2005" s="13"/>
      <c r="J2005" s="13"/>
      <c r="K2005" s="13"/>
      <c r="L2005" s="15">
        <v>0</v>
      </c>
    </row>
    <row r="2006" spans="1:12">
      <c r="A2006" s="12"/>
      <c r="E2006" s="14"/>
      <c r="F2006" s="14"/>
      <c r="G2006" s="13">
        <v>0</v>
      </c>
      <c r="H2006" s="13">
        <v>0</v>
      </c>
      <c r="I2006" s="13"/>
      <c r="J2006" s="13"/>
      <c r="K2006" s="13"/>
      <c r="L2006" s="15">
        <v>0</v>
      </c>
    </row>
    <row r="2007" spans="1:12">
      <c r="A2007" s="12"/>
      <c r="E2007" s="14"/>
      <c r="F2007" s="14"/>
      <c r="G2007" s="13">
        <v>0</v>
      </c>
      <c r="H2007" s="13">
        <v>0</v>
      </c>
      <c r="I2007" s="13"/>
      <c r="J2007" s="13"/>
      <c r="K2007" s="13"/>
      <c r="L2007" s="15">
        <v>0</v>
      </c>
    </row>
    <row r="2008" spans="1:12">
      <c r="A2008" s="12"/>
      <c r="E2008" s="14"/>
      <c r="F2008" s="14"/>
      <c r="G2008" s="13">
        <v>0</v>
      </c>
      <c r="H2008" s="13">
        <v>0</v>
      </c>
      <c r="I2008" s="13"/>
      <c r="J2008" s="13"/>
      <c r="K2008" s="13"/>
      <c r="L2008" s="15">
        <v>0</v>
      </c>
    </row>
    <row r="2009" spans="1:12">
      <c r="A2009" s="12"/>
      <c r="E2009" s="14"/>
      <c r="F2009" s="14"/>
      <c r="G2009" s="13">
        <v>0</v>
      </c>
      <c r="H2009" s="13">
        <v>0</v>
      </c>
      <c r="I2009" s="13"/>
      <c r="J2009" s="13"/>
      <c r="K2009" s="13"/>
      <c r="L2009" s="15">
        <v>0</v>
      </c>
    </row>
    <row r="2010" spans="1:12">
      <c r="A2010" s="12"/>
      <c r="E2010" s="14"/>
      <c r="F2010" s="14"/>
      <c r="G2010" s="13">
        <v>0</v>
      </c>
      <c r="H2010" s="13">
        <v>0</v>
      </c>
      <c r="I2010" s="13"/>
      <c r="J2010" s="13"/>
      <c r="K2010" s="13"/>
      <c r="L2010" s="15">
        <v>0</v>
      </c>
    </row>
    <row r="2011" spans="1:12">
      <c r="A2011" s="12"/>
      <c r="E2011" s="14"/>
      <c r="F2011" s="14"/>
      <c r="G2011" s="13">
        <v>0</v>
      </c>
      <c r="H2011" s="13">
        <v>0</v>
      </c>
      <c r="I2011" s="13"/>
      <c r="J2011" s="13"/>
      <c r="K2011" s="13"/>
      <c r="L2011" s="15">
        <v>0</v>
      </c>
    </row>
    <row r="2012" spans="1:12">
      <c r="A2012" s="12"/>
      <c r="E2012" s="14"/>
      <c r="F2012" s="14"/>
      <c r="G2012" s="13">
        <v>0</v>
      </c>
      <c r="H2012" s="13">
        <v>0</v>
      </c>
      <c r="I2012" s="13"/>
      <c r="J2012" s="13"/>
      <c r="K2012" s="13"/>
      <c r="L2012" s="15">
        <v>0</v>
      </c>
    </row>
    <row r="2013" spans="1:12">
      <c r="A2013" s="12"/>
      <c r="E2013" s="14"/>
      <c r="F2013" s="14"/>
      <c r="G2013" s="13">
        <v>0</v>
      </c>
      <c r="H2013" s="13">
        <v>0</v>
      </c>
      <c r="I2013" s="13"/>
      <c r="J2013" s="13"/>
      <c r="K2013" s="13"/>
      <c r="L2013" s="15">
        <v>0</v>
      </c>
    </row>
    <row r="2014" spans="1:12">
      <c r="A2014" s="12"/>
      <c r="E2014" s="14"/>
      <c r="F2014" s="14"/>
      <c r="G2014" s="13">
        <v>0</v>
      </c>
      <c r="H2014" s="13">
        <v>0</v>
      </c>
      <c r="I2014" s="13"/>
      <c r="J2014" s="13"/>
      <c r="K2014" s="13"/>
      <c r="L2014" s="15">
        <v>0</v>
      </c>
    </row>
    <row r="2015" spans="1:12">
      <c r="A2015" s="12"/>
      <c r="E2015" s="14"/>
      <c r="F2015" s="14"/>
      <c r="G2015" s="13">
        <v>0</v>
      </c>
      <c r="H2015" s="13">
        <v>0</v>
      </c>
      <c r="I2015" s="13"/>
      <c r="J2015" s="13"/>
      <c r="K2015" s="13"/>
      <c r="L2015" s="15">
        <v>0</v>
      </c>
    </row>
    <row r="2016" spans="1:12">
      <c r="A2016" s="12"/>
      <c r="E2016" s="14"/>
      <c r="F2016" s="14"/>
      <c r="G2016" s="13">
        <v>0</v>
      </c>
      <c r="H2016" s="13">
        <v>0</v>
      </c>
      <c r="I2016" s="13"/>
      <c r="J2016" s="13"/>
      <c r="K2016" s="13"/>
      <c r="L2016" s="15">
        <v>0</v>
      </c>
    </row>
    <row r="2017" spans="1:12">
      <c r="A2017" s="12"/>
      <c r="E2017" s="14"/>
      <c r="F2017" s="14"/>
      <c r="G2017" s="13">
        <v>0</v>
      </c>
      <c r="H2017" s="13">
        <v>0</v>
      </c>
      <c r="I2017" s="13"/>
      <c r="J2017" s="13"/>
      <c r="K2017" s="13"/>
      <c r="L2017" s="15">
        <v>0</v>
      </c>
    </row>
    <row r="2018" spans="1:12">
      <c r="A2018" s="12"/>
      <c r="E2018" s="14"/>
      <c r="F2018" s="14"/>
      <c r="G2018" s="13">
        <v>0</v>
      </c>
      <c r="H2018" s="13">
        <v>0</v>
      </c>
      <c r="I2018" s="13"/>
      <c r="J2018" s="13"/>
      <c r="K2018" s="13"/>
      <c r="L2018" s="15">
        <v>0</v>
      </c>
    </row>
    <row r="2019" spans="1:12">
      <c r="A2019" s="12"/>
      <c r="E2019" s="14"/>
      <c r="F2019" s="14"/>
      <c r="G2019" s="13">
        <v>0</v>
      </c>
      <c r="H2019" s="13">
        <v>0</v>
      </c>
      <c r="I2019" s="13"/>
      <c r="J2019" s="13"/>
      <c r="K2019" s="13"/>
      <c r="L2019" s="15">
        <v>0</v>
      </c>
    </row>
    <row r="2020" spans="1:12">
      <c r="A2020" s="12"/>
      <c r="E2020" s="14"/>
      <c r="F2020" s="14"/>
      <c r="G2020" s="13">
        <v>0</v>
      </c>
      <c r="H2020" s="13">
        <v>0</v>
      </c>
      <c r="I2020" s="13"/>
      <c r="J2020" s="13"/>
      <c r="K2020" s="13"/>
      <c r="L2020" s="15">
        <v>0</v>
      </c>
    </row>
    <row r="2021" spans="1:12">
      <c r="A2021" s="12"/>
      <c r="E2021" s="14"/>
      <c r="F2021" s="14"/>
      <c r="G2021" s="13">
        <v>0</v>
      </c>
      <c r="H2021" s="13">
        <v>0</v>
      </c>
      <c r="I2021" s="13"/>
      <c r="J2021" s="13"/>
      <c r="K2021" s="13"/>
      <c r="L2021" s="15">
        <v>0</v>
      </c>
    </row>
    <row r="2022" spans="1:12">
      <c r="A2022" s="12"/>
      <c r="E2022" s="14"/>
      <c r="F2022" s="14"/>
      <c r="G2022" s="13">
        <v>0</v>
      </c>
      <c r="H2022" s="13">
        <v>0</v>
      </c>
      <c r="I2022" s="13"/>
      <c r="J2022" s="13"/>
      <c r="K2022" s="13"/>
      <c r="L2022" s="15">
        <v>0</v>
      </c>
    </row>
    <row r="2023" spans="1:12">
      <c r="A2023" s="12"/>
      <c r="E2023" s="14"/>
      <c r="F2023" s="14"/>
      <c r="G2023" s="13">
        <v>0</v>
      </c>
      <c r="H2023" s="13">
        <v>0</v>
      </c>
      <c r="I2023" s="13"/>
      <c r="J2023" s="13"/>
      <c r="K2023" s="13"/>
      <c r="L2023" s="15">
        <v>0</v>
      </c>
    </row>
    <row r="2024" spans="1:12">
      <c r="A2024" s="12"/>
      <c r="E2024" s="14"/>
      <c r="F2024" s="14"/>
      <c r="G2024" s="13">
        <v>0</v>
      </c>
      <c r="H2024" s="13">
        <v>0</v>
      </c>
      <c r="I2024" s="13"/>
      <c r="J2024" s="13"/>
      <c r="K2024" s="13"/>
      <c r="L2024" s="15">
        <v>0</v>
      </c>
    </row>
    <row r="2025" spans="1:12">
      <c r="A2025" s="12"/>
      <c r="E2025" s="14"/>
      <c r="F2025" s="14"/>
      <c r="G2025" s="13">
        <v>0</v>
      </c>
      <c r="H2025" s="13">
        <v>0</v>
      </c>
      <c r="I2025" s="13"/>
      <c r="J2025" s="13"/>
      <c r="K2025" s="13"/>
      <c r="L2025" s="15">
        <v>0</v>
      </c>
    </row>
    <row r="2026" spans="1:12">
      <c r="A2026" s="12"/>
      <c r="E2026" s="14"/>
      <c r="F2026" s="14"/>
      <c r="G2026" s="13">
        <v>0</v>
      </c>
      <c r="H2026" s="13">
        <v>0</v>
      </c>
      <c r="I2026" s="13"/>
      <c r="J2026" s="13"/>
      <c r="K2026" s="13"/>
      <c r="L2026" s="15">
        <v>0</v>
      </c>
    </row>
    <row r="2027" spans="1:12">
      <c r="A2027" s="12"/>
      <c r="E2027" s="14"/>
      <c r="F2027" s="14"/>
      <c r="G2027" s="13">
        <v>0</v>
      </c>
      <c r="H2027" s="13">
        <v>0</v>
      </c>
      <c r="I2027" s="13"/>
      <c r="J2027" s="13"/>
      <c r="K2027" s="13"/>
      <c r="L2027" s="15">
        <v>0</v>
      </c>
    </row>
    <row r="2028" spans="1:12">
      <c r="A2028" s="12"/>
      <c r="E2028" s="14"/>
      <c r="F2028" s="14"/>
      <c r="G2028" s="13">
        <v>0</v>
      </c>
      <c r="H2028" s="13">
        <v>0</v>
      </c>
      <c r="I2028" s="13"/>
      <c r="J2028" s="13"/>
      <c r="K2028" s="13"/>
      <c r="L2028" s="15">
        <v>0</v>
      </c>
    </row>
    <row r="2029" spans="1:12">
      <c r="A2029" s="12"/>
      <c r="E2029" s="14"/>
      <c r="F2029" s="14"/>
      <c r="G2029" s="13">
        <v>0</v>
      </c>
      <c r="H2029" s="13">
        <v>0</v>
      </c>
      <c r="I2029" s="13"/>
      <c r="J2029" s="13"/>
      <c r="K2029" s="13"/>
      <c r="L2029" s="15">
        <v>0</v>
      </c>
    </row>
    <row r="2030" spans="1:12">
      <c r="A2030" s="12"/>
      <c r="E2030" s="14"/>
      <c r="F2030" s="14"/>
      <c r="G2030" s="13">
        <v>0</v>
      </c>
      <c r="H2030" s="13">
        <v>0</v>
      </c>
      <c r="I2030" s="13"/>
      <c r="J2030" s="13"/>
      <c r="K2030" s="13"/>
      <c r="L2030" s="15">
        <v>0</v>
      </c>
    </row>
    <row r="2031" spans="1:12">
      <c r="A2031" s="12"/>
      <c r="E2031" s="14"/>
      <c r="F2031" s="14"/>
      <c r="G2031" s="13">
        <v>0</v>
      </c>
      <c r="H2031" s="13">
        <v>0</v>
      </c>
      <c r="I2031" s="13"/>
      <c r="J2031" s="13"/>
      <c r="K2031" s="13"/>
      <c r="L2031" s="15">
        <v>0</v>
      </c>
    </row>
    <row r="2032" spans="1:12">
      <c r="A2032" s="12"/>
      <c r="E2032" s="14"/>
      <c r="F2032" s="14"/>
      <c r="G2032" s="13">
        <v>0</v>
      </c>
      <c r="H2032" s="13">
        <v>0</v>
      </c>
      <c r="I2032" s="13"/>
      <c r="J2032" s="13"/>
      <c r="K2032" s="13"/>
      <c r="L2032" s="15">
        <v>0</v>
      </c>
    </row>
    <row r="2033" spans="1:12">
      <c r="A2033" s="12"/>
      <c r="E2033" s="14"/>
      <c r="F2033" s="14"/>
      <c r="G2033" s="13">
        <v>0</v>
      </c>
      <c r="H2033" s="13">
        <v>0</v>
      </c>
      <c r="I2033" s="13"/>
      <c r="J2033" s="13"/>
      <c r="K2033" s="13"/>
      <c r="L2033" s="15">
        <v>0</v>
      </c>
    </row>
    <row r="2034" spans="1:12">
      <c r="A2034" s="12"/>
      <c r="E2034" s="14"/>
      <c r="F2034" s="14"/>
      <c r="G2034" s="13">
        <v>0</v>
      </c>
      <c r="H2034" s="13">
        <v>0</v>
      </c>
      <c r="I2034" s="13"/>
      <c r="J2034" s="13"/>
      <c r="K2034" s="13"/>
      <c r="L2034" s="15">
        <v>0</v>
      </c>
    </row>
    <row r="2035" spans="1:12">
      <c r="A2035" s="12"/>
      <c r="E2035" s="14"/>
      <c r="F2035" s="14"/>
      <c r="G2035" s="13">
        <v>0</v>
      </c>
      <c r="H2035" s="13">
        <v>0</v>
      </c>
      <c r="I2035" s="13"/>
      <c r="J2035" s="13"/>
      <c r="K2035" s="13"/>
      <c r="L2035" s="15">
        <v>0</v>
      </c>
    </row>
    <row r="2036" spans="1:12">
      <c r="A2036" s="12"/>
      <c r="E2036" s="14"/>
      <c r="F2036" s="14"/>
      <c r="G2036" s="13">
        <v>0</v>
      </c>
      <c r="H2036" s="13">
        <v>0</v>
      </c>
      <c r="I2036" s="13"/>
      <c r="J2036" s="13"/>
      <c r="K2036" s="13"/>
      <c r="L2036" s="15">
        <v>0</v>
      </c>
    </row>
    <row r="2037" spans="1:12">
      <c r="A2037" s="12"/>
      <c r="E2037" s="14"/>
      <c r="F2037" s="14"/>
      <c r="G2037" s="13">
        <v>0</v>
      </c>
      <c r="H2037" s="13">
        <v>0</v>
      </c>
      <c r="I2037" s="13"/>
      <c r="J2037" s="13"/>
      <c r="K2037" s="13"/>
      <c r="L2037" s="15">
        <v>0</v>
      </c>
    </row>
    <row r="2038" spans="1:12">
      <c r="A2038" s="12"/>
      <c r="E2038" s="14"/>
      <c r="F2038" s="14"/>
      <c r="G2038" s="13">
        <v>0</v>
      </c>
      <c r="H2038" s="13">
        <v>0</v>
      </c>
      <c r="I2038" s="13"/>
      <c r="J2038" s="13"/>
      <c r="K2038" s="13"/>
      <c r="L2038" s="15">
        <v>0</v>
      </c>
    </row>
    <row r="2039" spans="1:12">
      <c r="A2039" s="12"/>
      <c r="E2039" s="14"/>
      <c r="F2039" s="14"/>
      <c r="G2039" s="13">
        <v>0</v>
      </c>
      <c r="H2039" s="13">
        <v>0</v>
      </c>
      <c r="I2039" s="13"/>
      <c r="J2039" s="13"/>
      <c r="K2039" s="13"/>
      <c r="L2039" s="15">
        <v>0</v>
      </c>
    </row>
    <row r="2040" spans="1:12">
      <c r="A2040" s="12"/>
      <c r="E2040" s="14"/>
      <c r="F2040" s="14"/>
      <c r="G2040" s="13">
        <v>0</v>
      </c>
      <c r="H2040" s="13">
        <v>0</v>
      </c>
      <c r="I2040" s="13"/>
      <c r="J2040" s="13"/>
      <c r="K2040" s="13"/>
      <c r="L2040" s="15">
        <v>0</v>
      </c>
    </row>
    <row r="2041" spans="1:12">
      <c r="A2041" s="12"/>
      <c r="E2041" s="14"/>
      <c r="F2041" s="14"/>
      <c r="G2041" s="13">
        <v>0</v>
      </c>
      <c r="H2041" s="13">
        <v>0</v>
      </c>
      <c r="I2041" s="13"/>
      <c r="J2041" s="13"/>
      <c r="K2041" s="13"/>
      <c r="L2041" s="15">
        <v>0</v>
      </c>
    </row>
    <row r="2042" spans="1:12">
      <c r="A2042" s="12"/>
      <c r="E2042" s="14"/>
      <c r="F2042" s="14"/>
      <c r="G2042" s="13">
        <v>0</v>
      </c>
      <c r="H2042" s="13">
        <v>0</v>
      </c>
      <c r="I2042" s="13"/>
      <c r="J2042" s="13"/>
      <c r="K2042" s="13"/>
      <c r="L2042" s="15">
        <v>0</v>
      </c>
    </row>
    <row r="2043" spans="1:12">
      <c r="A2043" s="12"/>
      <c r="E2043" s="14"/>
      <c r="F2043" s="14"/>
      <c r="G2043" s="13">
        <v>0</v>
      </c>
      <c r="H2043" s="13">
        <v>0</v>
      </c>
      <c r="I2043" s="13"/>
      <c r="J2043" s="13"/>
      <c r="K2043" s="13"/>
      <c r="L2043" s="15">
        <v>0</v>
      </c>
    </row>
    <row r="2044" spans="1:12">
      <c r="A2044" s="12"/>
      <c r="E2044" s="14"/>
      <c r="F2044" s="14"/>
      <c r="G2044" s="13">
        <v>0</v>
      </c>
      <c r="H2044" s="13">
        <v>0</v>
      </c>
      <c r="I2044" s="13"/>
      <c r="J2044" s="13"/>
      <c r="K2044" s="13"/>
      <c r="L2044" s="15">
        <v>0</v>
      </c>
    </row>
    <row r="2045" spans="1:12">
      <c r="A2045" s="12"/>
      <c r="E2045" s="14"/>
      <c r="F2045" s="14"/>
      <c r="G2045" s="13">
        <v>0</v>
      </c>
      <c r="H2045" s="13">
        <v>0</v>
      </c>
      <c r="I2045" s="13"/>
      <c r="J2045" s="13"/>
      <c r="K2045" s="13"/>
      <c r="L2045" s="15">
        <v>0</v>
      </c>
    </row>
    <row r="2046" spans="1:12">
      <c r="A2046" s="12"/>
      <c r="E2046" s="14"/>
      <c r="F2046" s="14"/>
      <c r="G2046" s="13">
        <v>0</v>
      </c>
      <c r="H2046" s="13">
        <v>0</v>
      </c>
      <c r="I2046" s="13"/>
      <c r="J2046" s="13"/>
      <c r="K2046" s="13"/>
      <c r="L2046" s="15">
        <v>0</v>
      </c>
    </row>
    <row r="2047" spans="1:12">
      <c r="A2047" s="12"/>
      <c r="E2047" s="14"/>
      <c r="F2047" s="14"/>
      <c r="G2047" s="13">
        <v>0</v>
      </c>
      <c r="H2047" s="13">
        <v>0</v>
      </c>
      <c r="I2047" s="13"/>
      <c r="J2047" s="13"/>
      <c r="K2047" s="13"/>
      <c r="L2047" s="15">
        <v>0</v>
      </c>
    </row>
    <row r="2048" spans="1:12">
      <c r="A2048" s="12"/>
      <c r="E2048" s="14"/>
      <c r="F2048" s="14"/>
      <c r="G2048" s="13">
        <v>0</v>
      </c>
      <c r="H2048" s="13">
        <v>0</v>
      </c>
      <c r="I2048" s="13"/>
      <c r="J2048" s="13"/>
      <c r="K2048" s="13"/>
      <c r="L2048" s="15">
        <v>0</v>
      </c>
    </row>
    <row r="2049" spans="1:12">
      <c r="A2049" s="12"/>
      <c r="E2049" s="14"/>
      <c r="F2049" s="14"/>
      <c r="G2049" s="13">
        <v>0</v>
      </c>
      <c r="H2049" s="13">
        <v>0</v>
      </c>
      <c r="I2049" s="13"/>
      <c r="J2049" s="13"/>
      <c r="K2049" s="13"/>
      <c r="L2049" s="15">
        <v>0</v>
      </c>
    </row>
    <row r="2050" spans="1:12">
      <c r="A2050" s="12"/>
      <c r="E2050" s="14"/>
      <c r="F2050" s="14"/>
      <c r="G2050" s="13">
        <v>0</v>
      </c>
      <c r="H2050" s="13">
        <v>0</v>
      </c>
      <c r="I2050" s="13"/>
      <c r="J2050" s="13"/>
      <c r="K2050" s="13"/>
      <c r="L2050" s="15">
        <v>0</v>
      </c>
    </row>
    <row r="2051" spans="1:12">
      <c r="A2051" s="12"/>
      <c r="E2051" s="14"/>
      <c r="F2051" s="14"/>
      <c r="G2051" s="13">
        <v>0</v>
      </c>
      <c r="H2051" s="13">
        <v>0</v>
      </c>
      <c r="I2051" s="13"/>
      <c r="J2051" s="13"/>
      <c r="K2051" s="13"/>
      <c r="L2051" s="15">
        <v>0</v>
      </c>
    </row>
    <row r="2052" spans="1:12">
      <c r="A2052" s="12"/>
      <c r="E2052" s="14"/>
      <c r="F2052" s="14"/>
      <c r="G2052" s="13">
        <v>0</v>
      </c>
      <c r="H2052" s="13">
        <v>0</v>
      </c>
      <c r="I2052" s="13"/>
      <c r="J2052" s="13"/>
      <c r="K2052" s="13"/>
      <c r="L2052" s="15">
        <v>0</v>
      </c>
    </row>
    <row r="2053" spans="1:12">
      <c r="A2053" s="12"/>
      <c r="E2053" s="14"/>
      <c r="F2053" s="14"/>
      <c r="G2053" s="13">
        <v>0</v>
      </c>
      <c r="H2053" s="13">
        <v>0</v>
      </c>
      <c r="I2053" s="13"/>
      <c r="J2053" s="13"/>
      <c r="K2053" s="13"/>
      <c r="L2053" s="15">
        <v>0</v>
      </c>
    </row>
    <row r="2054" spans="1:12">
      <c r="A2054" s="12"/>
      <c r="E2054" s="14"/>
      <c r="F2054" s="14"/>
      <c r="G2054" s="13">
        <v>0</v>
      </c>
      <c r="H2054" s="13">
        <v>0</v>
      </c>
      <c r="I2054" s="13"/>
      <c r="J2054" s="13"/>
      <c r="K2054" s="13"/>
      <c r="L2054" s="15">
        <v>0</v>
      </c>
    </row>
    <row r="2055" spans="1:12">
      <c r="A2055" s="12"/>
      <c r="E2055" s="14"/>
      <c r="F2055" s="14"/>
      <c r="G2055" s="13">
        <v>0</v>
      </c>
      <c r="H2055" s="13">
        <v>0</v>
      </c>
      <c r="I2055" s="13"/>
      <c r="J2055" s="13"/>
      <c r="K2055" s="13"/>
      <c r="L2055" s="15">
        <v>0</v>
      </c>
    </row>
    <row r="2056" spans="1:12">
      <c r="A2056" s="12"/>
      <c r="E2056" s="14"/>
      <c r="F2056" s="14"/>
      <c r="G2056" s="13">
        <v>0</v>
      </c>
      <c r="H2056" s="13">
        <v>0</v>
      </c>
      <c r="I2056" s="13"/>
      <c r="J2056" s="13"/>
      <c r="K2056" s="13"/>
      <c r="L2056" s="15">
        <v>0</v>
      </c>
    </row>
    <row r="2057" spans="1:12">
      <c r="A2057" s="12"/>
      <c r="E2057" s="14"/>
      <c r="F2057" s="14"/>
      <c r="G2057" s="13">
        <v>0</v>
      </c>
      <c r="H2057" s="13">
        <v>0</v>
      </c>
      <c r="I2057" s="13"/>
      <c r="J2057" s="13"/>
      <c r="K2057" s="13"/>
      <c r="L2057" s="15">
        <v>0</v>
      </c>
    </row>
    <row r="2058" spans="1:12">
      <c r="A2058" s="12"/>
      <c r="E2058" s="14"/>
      <c r="F2058" s="14"/>
      <c r="G2058" s="13">
        <v>0</v>
      </c>
      <c r="H2058" s="13">
        <v>0</v>
      </c>
      <c r="I2058" s="13"/>
      <c r="J2058" s="13"/>
      <c r="K2058" s="13"/>
      <c r="L2058" s="15">
        <v>0</v>
      </c>
    </row>
    <row r="2059" spans="1:12">
      <c r="A2059" s="12"/>
      <c r="E2059" s="14"/>
      <c r="F2059" s="14"/>
      <c r="G2059" s="13">
        <v>0</v>
      </c>
      <c r="H2059" s="13">
        <v>0</v>
      </c>
      <c r="I2059" s="13"/>
      <c r="J2059" s="13"/>
      <c r="K2059" s="13"/>
      <c r="L2059" s="15">
        <v>0</v>
      </c>
    </row>
    <row r="2060" spans="1:12">
      <c r="A2060" s="12"/>
      <c r="E2060" s="14"/>
      <c r="F2060" s="14"/>
      <c r="G2060" s="13">
        <v>0</v>
      </c>
      <c r="H2060" s="13">
        <v>0</v>
      </c>
      <c r="I2060" s="13"/>
      <c r="J2060" s="13"/>
      <c r="K2060" s="13"/>
      <c r="L2060" s="15">
        <v>0</v>
      </c>
    </row>
    <row r="2061" spans="1:12">
      <c r="A2061" s="12"/>
      <c r="E2061" s="14"/>
      <c r="F2061" s="14"/>
      <c r="G2061" s="13">
        <v>0</v>
      </c>
      <c r="H2061" s="13">
        <v>0</v>
      </c>
      <c r="I2061" s="13"/>
      <c r="J2061" s="13"/>
      <c r="K2061" s="13"/>
      <c r="L2061" s="15">
        <v>0</v>
      </c>
    </row>
    <row r="2062" spans="1:12">
      <c r="A2062" s="12"/>
      <c r="E2062" s="14"/>
      <c r="F2062" s="14"/>
      <c r="G2062" s="13">
        <v>0</v>
      </c>
      <c r="H2062" s="13">
        <v>0</v>
      </c>
      <c r="I2062" s="13"/>
      <c r="J2062" s="13"/>
      <c r="K2062" s="13"/>
      <c r="L2062" s="15">
        <v>0</v>
      </c>
    </row>
    <row r="2063" spans="1:12">
      <c r="A2063" s="12"/>
      <c r="E2063" s="14"/>
      <c r="F2063" s="14"/>
      <c r="G2063" s="13">
        <v>0</v>
      </c>
      <c r="H2063" s="13">
        <v>0</v>
      </c>
      <c r="I2063" s="13"/>
      <c r="J2063" s="13"/>
      <c r="K2063" s="13"/>
      <c r="L2063" s="15">
        <v>0</v>
      </c>
    </row>
    <row r="2064" spans="1:12">
      <c r="A2064" s="12"/>
      <c r="E2064" s="14"/>
      <c r="F2064" s="14"/>
      <c r="G2064" s="13">
        <v>0</v>
      </c>
      <c r="H2064" s="13">
        <v>0</v>
      </c>
      <c r="I2064" s="13"/>
      <c r="J2064" s="13"/>
      <c r="K2064" s="13"/>
      <c r="L2064" s="15">
        <v>0</v>
      </c>
    </row>
    <row r="2065" spans="1:12">
      <c r="A2065" s="12"/>
      <c r="E2065" s="14"/>
      <c r="F2065" s="14"/>
      <c r="G2065" s="13">
        <v>0</v>
      </c>
      <c r="H2065" s="13">
        <v>0</v>
      </c>
      <c r="I2065" s="13"/>
      <c r="J2065" s="13"/>
      <c r="K2065" s="13"/>
      <c r="L2065" s="15">
        <v>0</v>
      </c>
    </row>
    <row r="2066" spans="1:12">
      <c r="A2066" s="12"/>
      <c r="E2066" s="14"/>
      <c r="F2066" s="14"/>
      <c r="G2066" s="13">
        <v>0</v>
      </c>
      <c r="H2066" s="13">
        <v>0</v>
      </c>
      <c r="I2066" s="13"/>
      <c r="J2066" s="13"/>
      <c r="K2066" s="13"/>
      <c r="L2066" s="15">
        <v>0</v>
      </c>
    </row>
    <row r="2067" spans="1:12">
      <c r="A2067" s="12"/>
      <c r="E2067" s="14"/>
      <c r="F2067" s="14"/>
      <c r="G2067" s="13">
        <v>0</v>
      </c>
      <c r="H2067" s="13">
        <v>0</v>
      </c>
      <c r="I2067" s="13"/>
      <c r="J2067" s="13"/>
      <c r="K2067" s="13"/>
      <c r="L2067" s="15">
        <v>0</v>
      </c>
    </row>
    <row r="2068" spans="1:12">
      <c r="A2068" s="12"/>
      <c r="E2068" s="14"/>
      <c r="F2068" s="14"/>
      <c r="G2068" s="13">
        <v>0</v>
      </c>
      <c r="H2068" s="13">
        <v>0</v>
      </c>
      <c r="I2068" s="13"/>
      <c r="J2068" s="13"/>
      <c r="K2068" s="13"/>
      <c r="L2068" s="15">
        <v>0</v>
      </c>
    </row>
    <row r="2069" spans="1:12">
      <c r="A2069" s="12"/>
      <c r="E2069" s="14"/>
      <c r="F2069" s="14"/>
      <c r="G2069" s="13">
        <v>0</v>
      </c>
      <c r="H2069" s="13">
        <v>0</v>
      </c>
      <c r="I2069" s="13"/>
      <c r="J2069" s="13"/>
      <c r="K2069" s="13"/>
      <c r="L2069" s="15">
        <v>0</v>
      </c>
    </row>
    <row r="2070" spans="1:12">
      <c r="A2070" s="12"/>
      <c r="E2070" s="14"/>
      <c r="F2070" s="14"/>
      <c r="G2070" s="13">
        <v>0</v>
      </c>
      <c r="H2070" s="13">
        <v>0</v>
      </c>
      <c r="I2070" s="13"/>
      <c r="J2070" s="13"/>
      <c r="K2070" s="13"/>
      <c r="L2070" s="15">
        <v>0</v>
      </c>
    </row>
    <row r="2071" spans="1:12">
      <c r="A2071" s="12"/>
      <c r="E2071" s="14"/>
      <c r="F2071" s="14"/>
      <c r="G2071" s="13">
        <v>0</v>
      </c>
      <c r="H2071" s="13">
        <v>0</v>
      </c>
      <c r="I2071" s="13"/>
      <c r="J2071" s="13"/>
      <c r="K2071" s="13"/>
      <c r="L2071" s="15">
        <v>0</v>
      </c>
    </row>
    <row r="2072" spans="1:12">
      <c r="A2072" s="12"/>
      <c r="E2072" s="14"/>
      <c r="F2072" s="14"/>
      <c r="G2072" s="13">
        <v>0</v>
      </c>
      <c r="H2072" s="13">
        <v>0</v>
      </c>
      <c r="I2072" s="13"/>
      <c r="J2072" s="13"/>
      <c r="K2072" s="13"/>
      <c r="L2072" s="15">
        <v>0</v>
      </c>
    </row>
    <row r="2073" spans="1:12">
      <c r="A2073" s="12"/>
      <c r="E2073" s="14"/>
      <c r="F2073" s="14"/>
      <c r="G2073" s="13">
        <v>0</v>
      </c>
      <c r="H2073" s="13">
        <v>0</v>
      </c>
      <c r="I2073" s="13"/>
      <c r="J2073" s="13"/>
      <c r="K2073" s="13"/>
      <c r="L2073" s="15">
        <v>0</v>
      </c>
    </row>
    <row r="2074" spans="1:12">
      <c r="A2074" s="12"/>
      <c r="E2074" s="14"/>
      <c r="F2074" s="14"/>
      <c r="G2074" s="13">
        <v>0</v>
      </c>
      <c r="H2074" s="13">
        <v>0</v>
      </c>
      <c r="I2074" s="13"/>
      <c r="J2074" s="13"/>
      <c r="K2074" s="13"/>
      <c r="L2074" s="15">
        <v>0</v>
      </c>
    </row>
    <row r="2075" spans="1:12">
      <c r="A2075" s="12"/>
      <c r="E2075" s="14"/>
      <c r="F2075" s="14"/>
      <c r="G2075" s="13">
        <v>0</v>
      </c>
      <c r="H2075" s="13">
        <v>0</v>
      </c>
      <c r="I2075" s="13"/>
      <c r="J2075" s="13"/>
      <c r="K2075" s="13"/>
      <c r="L2075" s="15">
        <v>0</v>
      </c>
    </row>
    <row r="2076" spans="1:12">
      <c r="A2076" s="12"/>
      <c r="E2076" s="14"/>
      <c r="F2076" s="14"/>
      <c r="G2076" s="13">
        <v>0</v>
      </c>
      <c r="H2076" s="13">
        <v>0</v>
      </c>
      <c r="I2076" s="13"/>
      <c r="J2076" s="13"/>
      <c r="K2076" s="13"/>
      <c r="L2076" s="15">
        <v>0</v>
      </c>
    </row>
    <row r="2077" spans="1:12">
      <c r="A2077" s="12"/>
      <c r="E2077" s="14"/>
      <c r="F2077" s="14"/>
      <c r="G2077" s="13">
        <v>0</v>
      </c>
      <c r="H2077" s="13">
        <v>0</v>
      </c>
      <c r="I2077" s="13"/>
      <c r="J2077" s="13"/>
      <c r="K2077" s="13"/>
      <c r="L2077" s="15">
        <v>0</v>
      </c>
    </row>
    <row r="2078" spans="1:12">
      <c r="A2078" s="12"/>
      <c r="E2078" s="14"/>
      <c r="F2078" s="14"/>
      <c r="G2078" s="13">
        <v>0</v>
      </c>
      <c r="H2078" s="13">
        <v>0</v>
      </c>
      <c r="I2078" s="13"/>
      <c r="J2078" s="13"/>
      <c r="K2078" s="13"/>
      <c r="L2078" s="15">
        <v>0</v>
      </c>
    </row>
    <row r="2079" spans="1:12">
      <c r="A2079" s="12"/>
      <c r="E2079" s="14"/>
      <c r="F2079" s="14"/>
      <c r="G2079" s="13">
        <v>0</v>
      </c>
      <c r="H2079" s="13">
        <v>0</v>
      </c>
      <c r="I2079" s="13"/>
      <c r="J2079" s="13"/>
      <c r="K2079" s="13"/>
      <c r="L2079" s="15">
        <v>0</v>
      </c>
    </row>
    <row r="2080" spans="1:12">
      <c r="A2080" s="12"/>
      <c r="E2080" s="14"/>
      <c r="F2080" s="14"/>
      <c r="G2080" s="13">
        <v>0</v>
      </c>
      <c r="H2080" s="13">
        <v>0</v>
      </c>
      <c r="I2080" s="13"/>
      <c r="J2080" s="13"/>
      <c r="K2080" s="13"/>
      <c r="L2080" s="15">
        <v>0</v>
      </c>
    </row>
    <row r="2081" spans="1:12">
      <c r="A2081" s="12"/>
      <c r="E2081" s="14"/>
      <c r="F2081" s="14"/>
      <c r="G2081" s="13">
        <v>0</v>
      </c>
      <c r="H2081" s="13">
        <v>0</v>
      </c>
      <c r="I2081" s="13"/>
      <c r="J2081" s="13"/>
      <c r="K2081" s="13"/>
      <c r="L2081" s="15">
        <v>0</v>
      </c>
    </row>
    <row r="2082" spans="1:12">
      <c r="A2082" s="12"/>
      <c r="E2082" s="14"/>
      <c r="F2082" s="14"/>
      <c r="G2082" s="13">
        <v>0</v>
      </c>
      <c r="H2082" s="13">
        <v>0</v>
      </c>
      <c r="I2082" s="13"/>
      <c r="J2082" s="13"/>
      <c r="K2082" s="13"/>
      <c r="L2082" s="15">
        <v>0</v>
      </c>
    </row>
    <row r="2083" spans="1:12">
      <c r="A2083" s="12"/>
      <c r="E2083" s="14"/>
      <c r="F2083" s="14"/>
      <c r="G2083" s="13">
        <v>0</v>
      </c>
      <c r="H2083" s="13">
        <v>0</v>
      </c>
      <c r="I2083" s="13"/>
      <c r="J2083" s="13"/>
      <c r="K2083" s="13"/>
      <c r="L2083" s="15">
        <v>0</v>
      </c>
    </row>
    <row r="2084" spans="1:12">
      <c r="A2084" s="12"/>
      <c r="E2084" s="14"/>
      <c r="F2084" s="14"/>
      <c r="G2084" s="13">
        <v>0</v>
      </c>
      <c r="H2084" s="13">
        <v>0</v>
      </c>
      <c r="I2084" s="13"/>
      <c r="J2084" s="13"/>
      <c r="K2084" s="13"/>
      <c r="L2084" s="15">
        <v>0</v>
      </c>
    </row>
    <row r="2085" spans="1:12">
      <c r="A2085" s="12"/>
      <c r="E2085" s="14"/>
      <c r="F2085" s="14"/>
      <c r="G2085" s="13">
        <v>0</v>
      </c>
      <c r="H2085" s="13">
        <v>0</v>
      </c>
      <c r="I2085" s="13"/>
      <c r="J2085" s="13"/>
      <c r="K2085" s="13"/>
      <c r="L2085" s="15">
        <v>0</v>
      </c>
    </row>
    <row r="2086" spans="1:12">
      <c r="A2086" s="12"/>
      <c r="E2086" s="14"/>
      <c r="F2086" s="14"/>
      <c r="G2086" s="13">
        <v>0</v>
      </c>
      <c r="H2086" s="13">
        <v>0</v>
      </c>
      <c r="I2086" s="13"/>
      <c r="J2086" s="13"/>
      <c r="K2086" s="13"/>
      <c r="L2086" s="15">
        <v>0</v>
      </c>
    </row>
    <row r="2087" spans="1:12">
      <c r="A2087" s="12"/>
      <c r="E2087" s="14"/>
      <c r="F2087" s="14"/>
      <c r="G2087" s="13">
        <v>0</v>
      </c>
      <c r="H2087" s="13">
        <v>0</v>
      </c>
      <c r="I2087" s="13"/>
      <c r="J2087" s="13"/>
      <c r="K2087" s="13"/>
      <c r="L2087" s="15">
        <v>0</v>
      </c>
    </row>
    <row r="2088" spans="1:12">
      <c r="A2088" s="12"/>
      <c r="E2088" s="14"/>
      <c r="F2088" s="14"/>
      <c r="G2088" s="13">
        <v>0</v>
      </c>
      <c r="H2088" s="13">
        <v>0</v>
      </c>
      <c r="I2088" s="13"/>
      <c r="J2088" s="13"/>
      <c r="K2088" s="13"/>
      <c r="L2088" s="15">
        <v>0</v>
      </c>
    </row>
    <row r="2089" spans="1:12">
      <c r="A2089" s="12"/>
      <c r="E2089" s="14"/>
      <c r="F2089" s="14"/>
      <c r="G2089" s="13">
        <v>0</v>
      </c>
      <c r="H2089" s="13">
        <v>0</v>
      </c>
      <c r="I2089" s="13"/>
      <c r="J2089" s="13"/>
      <c r="K2089" s="13"/>
      <c r="L2089" s="15">
        <v>0</v>
      </c>
    </row>
    <row r="2090" spans="1:12">
      <c r="A2090" s="12"/>
      <c r="E2090" s="14"/>
      <c r="F2090" s="14"/>
      <c r="G2090" s="13">
        <v>0</v>
      </c>
      <c r="H2090" s="13">
        <v>0</v>
      </c>
      <c r="I2090" s="13"/>
      <c r="J2090" s="13"/>
      <c r="K2090" s="13"/>
      <c r="L2090" s="15">
        <v>0</v>
      </c>
    </row>
    <row r="2091" spans="1:12">
      <c r="A2091" s="12"/>
      <c r="E2091" s="14"/>
      <c r="F2091" s="14"/>
      <c r="G2091" s="13">
        <v>0</v>
      </c>
      <c r="H2091" s="13">
        <v>0</v>
      </c>
      <c r="I2091" s="13"/>
      <c r="J2091" s="13"/>
      <c r="K2091" s="13"/>
      <c r="L2091" s="15">
        <v>0</v>
      </c>
    </row>
    <row r="2092" spans="1:12">
      <c r="A2092" s="12"/>
      <c r="E2092" s="14"/>
      <c r="F2092" s="14"/>
      <c r="G2092" s="13">
        <v>0</v>
      </c>
      <c r="H2092" s="13">
        <v>0</v>
      </c>
      <c r="I2092" s="13"/>
      <c r="J2092" s="13"/>
      <c r="K2092" s="13"/>
      <c r="L2092" s="15">
        <v>0</v>
      </c>
    </row>
    <row r="2093" spans="1:12">
      <c r="A2093" s="12"/>
      <c r="E2093" s="14"/>
      <c r="F2093" s="14"/>
      <c r="G2093" s="13">
        <v>0</v>
      </c>
      <c r="H2093" s="13">
        <v>0</v>
      </c>
      <c r="I2093" s="13"/>
      <c r="J2093" s="13"/>
      <c r="K2093" s="13"/>
      <c r="L2093" s="15">
        <v>0</v>
      </c>
    </row>
    <row r="2094" spans="1:12">
      <c r="A2094" s="12"/>
      <c r="E2094" s="14"/>
      <c r="F2094" s="14"/>
      <c r="G2094" s="13">
        <v>0</v>
      </c>
      <c r="H2094" s="13">
        <v>0</v>
      </c>
      <c r="I2094" s="13"/>
      <c r="J2094" s="13"/>
      <c r="K2094" s="13"/>
      <c r="L2094" s="15">
        <v>0</v>
      </c>
    </row>
    <row r="2095" spans="1:12">
      <c r="A2095" s="12"/>
      <c r="E2095" s="14"/>
      <c r="F2095" s="14"/>
      <c r="G2095" s="13">
        <v>0</v>
      </c>
      <c r="H2095" s="13">
        <v>0</v>
      </c>
      <c r="I2095" s="13"/>
      <c r="J2095" s="13"/>
      <c r="K2095" s="13"/>
      <c r="L2095" s="15">
        <v>0</v>
      </c>
    </row>
    <row r="2096" spans="1:12">
      <c r="A2096" s="12"/>
      <c r="E2096" s="14"/>
      <c r="F2096" s="14"/>
      <c r="G2096" s="13">
        <v>0</v>
      </c>
      <c r="H2096" s="13">
        <v>0</v>
      </c>
      <c r="I2096" s="13"/>
      <c r="J2096" s="13"/>
      <c r="K2096" s="13"/>
      <c r="L2096" s="15">
        <v>0</v>
      </c>
    </row>
    <row r="2097" spans="1:12">
      <c r="A2097" s="12"/>
      <c r="E2097" s="14"/>
      <c r="F2097" s="14"/>
      <c r="G2097" s="13">
        <v>0</v>
      </c>
      <c r="H2097" s="13">
        <v>0</v>
      </c>
      <c r="I2097" s="13"/>
      <c r="J2097" s="13"/>
      <c r="K2097" s="13"/>
      <c r="L2097" s="15">
        <v>0</v>
      </c>
    </row>
    <row r="2098" spans="1:12">
      <c r="A2098" s="12"/>
      <c r="E2098" s="14"/>
      <c r="F2098" s="14"/>
      <c r="G2098" s="13">
        <v>0</v>
      </c>
      <c r="H2098" s="13">
        <v>0</v>
      </c>
      <c r="I2098" s="13"/>
      <c r="J2098" s="13"/>
      <c r="K2098" s="13"/>
      <c r="L2098" s="15">
        <v>0</v>
      </c>
    </row>
    <row r="2099" spans="1:12">
      <c r="A2099" s="12"/>
      <c r="E2099" s="14"/>
      <c r="F2099" s="14"/>
      <c r="G2099" s="13">
        <v>0</v>
      </c>
      <c r="H2099" s="13">
        <v>0</v>
      </c>
      <c r="I2099" s="13"/>
      <c r="J2099" s="13"/>
      <c r="K2099" s="13"/>
      <c r="L2099" s="15">
        <v>0</v>
      </c>
    </row>
    <row r="2100" spans="1:12">
      <c r="A2100" s="12"/>
      <c r="E2100" s="14"/>
      <c r="F2100" s="14"/>
      <c r="G2100" s="13">
        <v>0</v>
      </c>
      <c r="H2100" s="13">
        <v>0</v>
      </c>
      <c r="I2100" s="13"/>
      <c r="J2100" s="13"/>
      <c r="K2100" s="13"/>
      <c r="L2100" s="15">
        <v>0</v>
      </c>
    </row>
    <row r="2101" spans="1:12">
      <c r="A2101" s="12"/>
      <c r="E2101" s="14"/>
      <c r="F2101" s="14"/>
      <c r="G2101" s="13">
        <v>0</v>
      </c>
      <c r="H2101" s="13">
        <v>0</v>
      </c>
      <c r="I2101" s="13"/>
      <c r="J2101" s="13"/>
      <c r="K2101" s="13"/>
      <c r="L2101" s="15">
        <v>0</v>
      </c>
    </row>
    <row r="2102" spans="1:12">
      <c r="A2102" s="12"/>
      <c r="E2102" s="14"/>
      <c r="F2102" s="14"/>
      <c r="G2102" s="13">
        <v>0</v>
      </c>
      <c r="H2102" s="13">
        <v>0</v>
      </c>
      <c r="I2102" s="13"/>
      <c r="J2102" s="13"/>
      <c r="K2102" s="13"/>
      <c r="L2102" s="15">
        <v>0</v>
      </c>
    </row>
    <row r="2103" spans="1:12">
      <c r="A2103" s="12"/>
      <c r="E2103" s="14"/>
      <c r="F2103" s="14"/>
      <c r="G2103" s="13">
        <v>0</v>
      </c>
      <c r="H2103" s="13">
        <v>0</v>
      </c>
      <c r="I2103" s="13"/>
      <c r="J2103" s="13"/>
      <c r="K2103" s="13"/>
      <c r="L2103" s="15">
        <v>0</v>
      </c>
    </row>
    <row r="2104" spans="1:12">
      <c r="A2104" s="12"/>
      <c r="E2104" s="14"/>
      <c r="F2104" s="14"/>
      <c r="G2104" s="13">
        <v>0</v>
      </c>
      <c r="H2104" s="13">
        <v>0</v>
      </c>
      <c r="I2104" s="13"/>
      <c r="J2104" s="13"/>
      <c r="K2104" s="13"/>
      <c r="L2104" s="15">
        <v>0</v>
      </c>
    </row>
    <row r="2105" spans="1:12">
      <c r="A2105" s="12"/>
      <c r="E2105" s="14"/>
      <c r="F2105" s="14"/>
      <c r="G2105" s="13">
        <v>0</v>
      </c>
      <c r="H2105" s="13">
        <v>0</v>
      </c>
      <c r="I2105" s="13"/>
      <c r="J2105" s="13"/>
      <c r="K2105" s="13"/>
      <c r="L2105" s="15">
        <v>0</v>
      </c>
    </row>
    <row r="2106" spans="1:12">
      <c r="A2106" s="12"/>
      <c r="E2106" s="14"/>
      <c r="F2106" s="14"/>
      <c r="G2106" s="13">
        <v>0</v>
      </c>
      <c r="H2106" s="13">
        <v>0</v>
      </c>
      <c r="I2106" s="13"/>
      <c r="J2106" s="13"/>
      <c r="K2106" s="13"/>
      <c r="L2106" s="15">
        <v>0</v>
      </c>
    </row>
    <row r="2107" spans="1:12">
      <c r="A2107" s="12"/>
      <c r="E2107" s="14"/>
      <c r="F2107" s="14"/>
      <c r="G2107" s="13">
        <v>0</v>
      </c>
      <c r="H2107" s="13">
        <v>0</v>
      </c>
      <c r="I2107" s="13"/>
      <c r="J2107" s="13"/>
      <c r="K2107" s="13"/>
      <c r="L2107" s="15">
        <v>0</v>
      </c>
    </row>
    <row r="2108" spans="1:12">
      <c r="A2108" s="12"/>
      <c r="E2108" s="14"/>
      <c r="F2108" s="14"/>
      <c r="G2108" s="13">
        <v>0</v>
      </c>
      <c r="H2108" s="13">
        <v>0</v>
      </c>
      <c r="I2108" s="13"/>
      <c r="J2108" s="13"/>
      <c r="K2108" s="13"/>
      <c r="L2108" s="15">
        <v>0</v>
      </c>
    </row>
    <row r="2109" spans="1:12">
      <c r="A2109" s="12"/>
      <c r="E2109" s="14"/>
      <c r="F2109" s="14"/>
      <c r="G2109" s="13">
        <v>0</v>
      </c>
      <c r="H2109" s="13">
        <v>0</v>
      </c>
      <c r="I2109" s="13"/>
      <c r="J2109" s="13"/>
      <c r="K2109" s="13"/>
      <c r="L2109" s="15">
        <v>0</v>
      </c>
    </row>
    <row r="2110" spans="1:12">
      <c r="A2110" s="12"/>
      <c r="E2110" s="14"/>
      <c r="F2110" s="14"/>
      <c r="G2110" s="13">
        <v>0</v>
      </c>
      <c r="H2110" s="13">
        <v>0</v>
      </c>
      <c r="I2110" s="13"/>
      <c r="J2110" s="13"/>
      <c r="K2110" s="13"/>
      <c r="L2110" s="15">
        <v>0</v>
      </c>
    </row>
    <row r="2111" spans="1:12">
      <c r="A2111" s="12"/>
      <c r="E2111" s="14"/>
      <c r="F2111" s="14"/>
      <c r="G2111" s="13">
        <v>0</v>
      </c>
      <c r="H2111" s="13">
        <v>0</v>
      </c>
      <c r="I2111" s="13"/>
      <c r="J2111" s="13"/>
      <c r="K2111" s="13"/>
      <c r="L2111" s="15">
        <v>0</v>
      </c>
    </row>
    <row r="2112" spans="1:12">
      <c r="A2112" s="12"/>
      <c r="E2112" s="14"/>
      <c r="F2112" s="14"/>
      <c r="G2112" s="13">
        <v>0</v>
      </c>
      <c r="H2112" s="13">
        <v>0</v>
      </c>
      <c r="I2112" s="13"/>
      <c r="J2112" s="13"/>
      <c r="K2112" s="13"/>
      <c r="L2112" s="15">
        <v>0</v>
      </c>
    </row>
    <row r="2113" spans="1:12">
      <c r="A2113" s="12"/>
      <c r="E2113" s="14"/>
      <c r="F2113" s="14"/>
      <c r="G2113" s="13">
        <v>0</v>
      </c>
      <c r="H2113" s="13">
        <v>0</v>
      </c>
      <c r="I2113" s="13"/>
      <c r="J2113" s="13"/>
      <c r="K2113" s="13"/>
      <c r="L2113" s="15">
        <v>0</v>
      </c>
    </row>
    <row r="2114" spans="1:12">
      <c r="A2114" s="12"/>
      <c r="E2114" s="14"/>
      <c r="F2114" s="14"/>
      <c r="G2114" s="13">
        <v>0</v>
      </c>
      <c r="H2114" s="13">
        <v>0</v>
      </c>
      <c r="I2114" s="13"/>
      <c r="J2114" s="13"/>
      <c r="K2114" s="13"/>
      <c r="L2114" s="15">
        <v>0</v>
      </c>
    </row>
    <row r="2115" spans="1:12">
      <c r="A2115" s="12"/>
      <c r="E2115" s="14"/>
      <c r="F2115" s="14"/>
      <c r="G2115" s="13">
        <v>0</v>
      </c>
      <c r="H2115" s="13">
        <v>0</v>
      </c>
      <c r="I2115" s="13"/>
      <c r="J2115" s="13"/>
      <c r="K2115" s="13"/>
      <c r="L2115" s="15">
        <v>0</v>
      </c>
    </row>
    <row r="2116" spans="1:12">
      <c r="A2116" s="12"/>
      <c r="E2116" s="14"/>
      <c r="F2116" s="14"/>
      <c r="G2116" s="13">
        <v>0</v>
      </c>
      <c r="H2116" s="13">
        <v>0</v>
      </c>
      <c r="I2116" s="13"/>
      <c r="J2116" s="13"/>
      <c r="K2116" s="13"/>
      <c r="L2116" s="15">
        <v>0</v>
      </c>
    </row>
    <row r="2117" spans="1:12">
      <c r="A2117" s="12"/>
      <c r="E2117" s="14"/>
      <c r="F2117" s="14"/>
      <c r="G2117" s="13">
        <v>0</v>
      </c>
      <c r="H2117" s="13">
        <v>0</v>
      </c>
      <c r="I2117" s="13"/>
      <c r="J2117" s="13"/>
      <c r="K2117" s="13"/>
      <c r="L2117" s="15">
        <v>0</v>
      </c>
    </row>
    <row r="2118" spans="1:12">
      <c r="A2118" s="12"/>
      <c r="E2118" s="14"/>
      <c r="F2118" s="14"/>
      <c r="G2118" s="13">
        <v>0</v>
      </c>
      <c r="H2118" s="13">
        <v>0</v>
      </c>
      <c r="I2118" s="13"/>
      <c r="J2118" s="13"/>
      <c r="K2118" s="13"/>
      <c r="L2118" s="15">
        <v>0</v>
      </c>
    </row>
    <row r="2119" spans="1:12">
      <c r="A2119" s="12"/>
      <c r="E2119" s="14"/>
      <c r="F2119" s="14"/>
      <c r="G2119" s="13">
        <v>0</v>
      </c>
      <c r="H2119" s="13">
        <v>0</v>
      </c>
      <c r="I2119" s="13"/>
      <c r="J2119" s="13"/>
      <c r="K2119" s="13"/>
      <c r="L2119" s="15">
        <v>0</v>
      </c>
    </row>
    <row r="2120" spans="1:12">
      <c r="A2120" s="12"/>
      <c r="E2120" s="14"/>
      <c r="F2120" s="14"/>
      <c r="G2120" s="13">
        <v>0</v>
      </c>
      <c r="H2120" s="13">
        <v>0</v>
      </c>
      <c r="I2120" s="13"/>
      <c r="J2120" s="13"/>
      <c r="K2120" s="13"/>
      <c r="L2120" s="15">
        <v>0</v>
      </c>
    </row>
    <row r="2121" spans="1:12">
      <c r="A2121" s="12"/>
      <c r="E2121" s="14"/>
      <c r="F2121" s="14"/>
      <c r="G2121" s="13">
        <v>0</v>
      </c>
      <c r="H2121" s="13">
        <v>0</v>
      </c>
      <c r="I2121" s="13"/>
      <c r="J2121" s="13"/>
      <c r="K2121" s="13"/>
      <c r="L2121" s="15">
        <v>0</v>
      </c>
    </row>
    <row r="2122" spans="1:12">
      <c r="A2122" s="12"/>
      <c r="E2122" s="14"/>
      <c r="F2122" s="14"/>
      <c r="G2122" s="13">
        <v>0</v>
      </c>
      <c r="H2122" s="13">
        <v>0</v>
      </c>
      <c r="I2122" s="13"/>
      <c r="J2122" s="13"/>
      <c r="K2122" s="13"/>
      <c r="L2122" s="15">
        <v>0</v>
      </c>
    </row>
    <row r="2123" spans="1:12">
      <c r="A2123" s="12"/>
      <c r="E2123" s="14"/>
      <c r="F2123" s="14"/>
      <c r="G2123" s="13">
        <v>0</v>
      </c>
      <c r="H2123" s="13">
        <v>0</v>
      </c>
      <c r="I2123" s="13"/>
      <c r="J2123" s="13"/>
      <c r="K2123" s="13"/>
      <c r="L2123" s="15">
        <v>0</v>
      </c>
    </row>
    <row r="2124" spans="1:12">
      <c r="A2124" s="12"/>
      <c r="E2124" s="14"/>
      <c r="F2124" s="14"/>
      <c r="G2124" s="13">
        <v>0</v>
      </c>
      <c r="H2124" s="13">
        <v>0</v>
      </c>
      <c r="I2124" s="13"/>
      <c r="J2124" s="13"/>
      <c r="K2124" s="13"/>
      <c r="L2124" s="15">
        <v>0</v>
      </c>
    </row>
    <row r="2125" spans="1:12">
      <c r="A2125" s="12"/>
      <c r="E2125" s="14"/>
      <c r="F2125" s="14"/>
      <c r="G2125" s="13">
        <v>0</v>
      </c>
      <c r="H2125" s="13">
        <v>0</v>
      </c>
      <c r="I2125" s="13"/>
      <c r="J2125" s="13"/>
      <c r="K2125" s="13"/>
      <c r="L2125" s="15">
        <v>0</v>
      </c>
    </row>
    <row r="2126" spans="1:12">
      <c r="A2126" s="12"/>
      <c r="E2126" s="14"/>
      <c r="F2126" s="14"/>
      <c r="G2126" s="13">
        <v>0</v>
      </c>
      <c r="H2126" s="13">
        <v>0</v>
      </c>
      <c r="I2126" s="13"/>
      <c r="J2126" s="13"/>
      <c r="K2126" s="13"/>
      <c r="L2126" s="15">
        <v>0</v>
      </c>
    </row>
    <row r="2127" spans="1:12">
      <c r="A2127" s="12"/>
      <c r="E2127" s="14"/>
      <c r="F2127" s="14"/>
      <c r="G2127" s="13">
        <v>0</v>
      </c>
      <c r="H2127" s="13">
        <v>0</v>
      </c>
      <c r="I2127" s="13"/>
      <c r="J2127" s="13"/>
      <c r="K2127" s="13"/>
      <c r="L2127" s="15">
        <v>0</v>
      </c>
    </row>
    <row r="2128" spans="1:12">
      <c r="A2128" s="12"/>
      <c r="E2128" s="14"/>
      <c r="F2128" s="14"/>
      <c r="G2128" s="13">
        <v>0</v>
      </c>
      <c r="H2128" s="13">
        <v>0</v>
      </c>
      <c r="I2128" s="13"/>
      <c r="J2128" s="13"/>
      <c r="K2128" s="13"/>
      <c r="L2128" s="15">
        <v>0</v>
      </c>
    </row>
    <row r="2129" spans="1:12">
      <c r="A2129" s="12"/>
      <c r="E2129" s="14"/>
      <c r="F2129" s="14"/>
      <c r="G2129" s="13">
        <v>0</v>
      </c>
      <c r="H2129" s="13">
        <v>0</v>
      </c>
      <c r="I2129" s="13"/>
      <c r="J2129" s="13"/>
      <c r="K2129" s="13"/>
      <c r="L2129" s="15">
        <v>0</v>
      </c>
    </row>
    <row r="2130" spans="1:12">
      <c r="A2130" s="12"/>
      <c r="E2130" s="14"/>
      <c r="F2130" s="14"/>
      <c r="G2130" s="13">
        <v>0</v>
      </c>
      <c r="H2130" s="13">
        <v>0</v>
      </c>
      <c r="I2130" s="13"/>
      <c r="J2130" s="13"/>
      <c r="K2130" s="13"/>
      <c r="L2130" s="15">
        <v>0</v>
      </c>
    </row>
    <row r="2131" spans="1:12">
      <c r="A2131" s="12"/>
      <c r="E2131" s="14"/>
      <c r="F2131" s="14"/>
      <c r="G2131" s="13">
        <v>0</v>
      </c>
      <c r="H2131" s="13">
        <v>0</v>
      </c>
      <c r="I2131" s="13"/>
      <c r="J2131" s="13"/>
      <c r="K2131" s="13"/>
      <c r="L2131" s="15">
        <v>0</v>
      </c>
    </row>
    <row r="2132" spans="1:12">
      <c r="A2132" s="12"/>
      <c r="E2132" s="14"/>
      <c r="F2132" s="14"/>
      <c r="G2132" s="13">
        <v>0</v>
      </c>
      <c r="H2132" s="13">
        <v>0</v>
      </c>
      <c r="I2132" s="13"/>
      <c r="J2132" s="13"/>
      <c r="K2132" s="13"/>
      <c r="L2132" s="15">
        <v>0</v>
      </c>
    </row>
    <row r="2133" spans="1:12">
      <c r="A2133" s="12"/>
      <c r="E2133" s="14"/>
      <c r="F2133" s="14"/>
      <c r="G2133" s="13">
        <v>0</v>
      </c>
      <c r="H2133" s="13">
        <v>0</v>
      </c>
      <c r="I2133" s="13"/>
      <c r="J2133" s="13"/>
      <c r="K2133" s="13"/>
      <c r="L2133" s="15">
        <v>0</v>
      </c>
    </row>
    <row r="2134" spans="1:12">
      <c r="A2134" s="12"/>
      <c r="E2134" s="14"/>
      <c r="F2134" s="14"/>
      <c r="G2134" s="13">
        <v>0</v>
      </c>
      <c r="H2134" s="13">
        <v>0</v>
      </c>
      <c r="I2134" s="13"/>
      <c r="J2134" s="13"/>
      <c r="K2134" s="13"/>
      <c r="L2134" s="15">
        <v>0</v>
      </c>
    </row>
    <row r="2135" spans="1:12">
      <c r="A2135" s="12"/>
      <c r="E2135" s="14"/>
      <c r="F2135" s="14"/>
      <c r="G2135" s="13">
        <v>0</v>
      </c>
      <c r="H2135" s="13">
        <v>0</v>
      </c>
      <c r="I2135" s="13"/>
      <c r="J2135" s="13"/>
      <c r="K2135" s="13"/>
      <c r="L2135" s="15">
        <v>0</v>
      </c>
    </row>
    <row r="2136" spans="1:12">
      <c r="A2136" s="12"/>
      <c r="E2136" s="14"/>
      <c r="F2136" s="14"/>
      <c r="G2136" s="13">
        <v>0</v>
      </c>
      <c r="H2136" s="13">
        <v>0</v>
      </c>
      <c r="I2136" s="13"/>
      <c r="J2136" s="13"/>
      <c r="K2136" s="13"/>
      <c r="L2136" s="15">
        <v>0</v>
      </c>
    </row>
    <row r="2137" spans="1:12">
      <c r="A2137" s="12"/>
      <c r="E2137" s="14"/>
      <c r="F2137" s="14"/>
      <c r="G2137" s="13">
        <v>0</v>
      </c>
      <c r="H2137" s="13">
        <v>0</v>
      </c>
      <c r="I2137" s="13"/>
      <c r="J2137" s="13"/>
      <c r="K2137" s="13"/>
      <c r="L2137" s="15">
        <v>0</v>
      </c>
    </row>
    <row r="2138" spans="1:12">
      <c r="A2138" s="12"/>
      <c r="E2138" s="14"/>
      <c r="F2138" s="14"/>
      <c r="G2138" s="13">
        <v>0</v>
      </c>
      <c r="H2138" s="13">
        <v>0</v>
      </c>
      <c r="I2138" s="13"/>
      <c r="J2138" s="13"/>
      <c r="K2138" s="13"/>
      <c r="L2138" s="15">
        <v>0</v>
      </c>
    </row>
    <row r="2139" spans="1:12">
      <c r="A2139" s="12"/>
      <c r="E2139" s="14"/>
      <c r="F2139" s="14"/>
      <c r="G2139" s="13">
        <v>0</v>
      </c>
      <c r="H2139" s="13">
        <v>0</v>
      </c>
      <c r="I2139" s="13"/>
      <c r="J2139" s="13"/>
      <c r="K2139" s="13"/>
      <c r="L2139" s="15">
        <v>0</v>
      </c>
    </row>
    <row r="2140" spans="1:12">
      <c r="A2140" s="12"/>
      <c r="E2140" s="14"/>
      <c r="F2140" s="14"/>
      <c r="G2140" s="13">
        <v>0</v>
      </c>
      <c r="H2140" s="13">
        <v>0</v>
      </c>
      <c r="I2140" s="13"/>
      <c r="J2140" s="13"/>
      <c r="K2140" s="13"/>
      <c r="L2140" s="15">
        <v>0</v>
      </c>
    </row>
    <row r="2141" spans="1:12">
      <c r="A2141" s="12"/>
      <c r="E2141" s="14"/>
      <c r="F2141" s="14"/>
      <c r="G2141" s="13">
        <v>0</v>
      </c>
      <c r="H2141" s="13">
        <v>0</v>
      </c>
      <c r="I2141" s="13"/>
      <c r="J2141" s="13"/>
      <c r="K2141" s="13"/>
      <c r="L2141" s="15">
        <v>0</v>
      </c>
    </row>
    <row r="2142" spans="1:12">
      <c r="A2142" s="12"/>
      <c r="E2142" s="14"/>
      <c r="F2142" s="14"/>
      <c r="G2142" s="13">
        <v>0</v>
      </c>
      <c r="H2142" s="13">
        <v>0</v>
      </c>
      <c r="I2142" s="13"/>
      <c r="J2142" s="13"/>
      <c r="K2142" s="13"/>
      <c r="L2142" s="15">
        <v>0</v>
      </c>
    </row>
    <row r="2143" spans="1:12">
      <c r="A2143" s="12"/>
      <c r="E2143" s="14"/>
      <c r="F2143" s="14"/>
      <c r="G2143" s="13">
        <v>0</v>
      </c>
      <c r="H2143" s="13">
        <v>0</v>
      </c>
      <c r="I2143" s="13"/>
      <c r="J2143" s="13"/>
      <c r="K2143" s="13"/>
      <c r="L2143" s="15">
        <v>0</v>
      </c>
    </row>
    <row r="2144" spans="1:12">
      <c r="A2144" s="12"/>
      <c r="E2144" s="14"/>
      <c r="F2144" s="14"/>
      <c r="G2144" s="13">
        <v>0</v>
      </c>
      <c r="H2144" s="13">
        <v>0</v>
      </c>
      <c r="I2144" s="13"/>
      <c r="J2144" s="13"/>
      <c r="K2144" s="13"/>
      <c r="L2144" s="15">
        <v>0</v>
      </c>
    </row>
    <row r="2145" spans="1:12">
      <c r="A2145" s="12"/>
      <c r="E2145" s="14"/>
      <c r="F2145" s="14"/>
      <c r="G2145" s="13">
        <v>0</v>
      </c>
      <c r="H2145" s="13">
        <v>0</v>
      </c>
      <c r="I2145" s="13"/>
      <c r="J2145" s="13"/>
      <c r="K2145" s="13"/>
      <c r="L2145" s="15">
        <v>0</v>
      </c>
    </row>
    <row r="2146" spans="1:12">
      <c r="A2146" s="12"/>
      <c r="E2146" s="14"/>
      <c r="F2146" s="14"/>
      <c r="G2146" s="13">
        <v>0</v>
      </c>
      <c r="H2146" s="13">
        <v>0</v>
      </c>
      <c r="I2146" s="13"/>
      <c r="J2146" s="13"/>
      <c r="K2146" s="13"/>
      <c r="L2146" s="15">
        <v>0</v>
      </c>
    </row>
    <row r="2147" spans="1:12">
      <c r="A2147" s="12"/>
      <c r="E2147" s="14"/>
      <c r="F2147" s="14"/>
      <c r="G2147" s="13">
        <v>0</v>
      </c>
      <c r="H2147" s="13">
        <v>0</v>
      </c>
      <c r="I2147" s="13"/>
      <c r="J2147" s="13"/>
      <c r="K2147" s="13"/>
      <c r="L2147" s="15">
        <v>0</v>
      </c>
    </row>
    <row r="2148" spans="1:12">
      <c r="A2148" s="12"/>
      <c r="E2148" s="14"/>
      <c r="F2148" s="14"/>
      <c r="G2148" s="13">
        <v>0</v>
      </c>
      <c r="H2148" s="13">
        <v>0</v>
      </c>
      <c r="I2148" s="13"/>
      <c r="J2148" s="13"/>
      <c r="K2148" s="13"/>
      <c r="L2148" s="15">
        <v>0</v>
      </c>
    </row>
    <row r="2149" spans="1:12">
      <c r="A2149" s="12"/>
      <c r="E2149" s="14"/>
      <c r="F2149" s="14"/>
      <c r="G2149" s="13">
        <v>0</v>
      </c>
      <c r="H2149" s="13">
        <v>0</v>
      </c>
      <c r="I2149" s="13"/>
      <c r="J2149" s="13"/>
      <c r="K2149" s="13"/>
      <c r="L2149" s="15">
        <v>0</v>
      </c>
    </row>
    <row r="2150" spans="1:12">
      <c r="A2150" s="12"/>
      <c r="E2150" s="14"/>
      <c r="F2150" s="14"/>
      <c r="G2150" s="13">
        <v>0</v>
      </c>
      <c r="H2150" s="13">
        <v>0</v>
      </c>
      <c r="I2150" s="13"/>
      <c r="J2150" s="13"/>
      <c r="K2150" s="13"/>
      <c r="L2150" s="15">
        <v>0</v>
      </c>
    </row>
    <row r="2151" spans="1:12">
      <c r="A2151" s="12"/>
      <c r="E2151" s="14"/>
      <c r="F2151" s="14"/>
      <c r="G2151" s="13">
        <v>0</v>
      </c>
      <c r="H2151" s="13">
        <v>0</v>
      </c>
      <c r="I2151" s="13"/>
      <c r="J2151" s="13"/>
      <c r="K2151" s="13"/>
      <c r="L2151" s="15">
        <v>0</v>
      </c>
    </row>
    <row r="2152" spans="1:12">
      <c r="A2152" s="12"/>
      <c r="E2152" s="14"/>
      <c r="F2152" s="14"/>
      <c r="G2152" s="13">
        <v>0</v>
      </c>
      <c r="H2152" s="13">
        <v>0</v>
      </c>
      <c r="I2152" s="13"/>
      <c r="J2152" s="13"/>
      <c r="K2152" s="13"/>
      <c r="L2152" s="15">
        <v>0</v>
      </c>
    </row>
    <row r="2153" spans="1:12">
      <c r="A2153" s="12"/>
      <c r="E2153" s="14"/>
      <c r="F2153" s="14"/>
      <c r="G2153" s="13">
        <v>0</v>
      </c>
      <c r="H2153" s="13">
        <v>0</v>
      </c>
      <c r="I2153" s="13"/>
      <c r="J2153" s="13"/>
      <c r="K2153" s="13"/>
      <c r="L2153" s="15">
        <v>0</v>
      </c>
    </row>
    <row r="2154" spans="1:12">
      <c r="A2154" s="12"/>
      <c r="E2154" s="14"/>
      <c r="F2154" s="14"/>
      <c r="G2154" s="13">
        <v>0</v>
      </c>
      <c r="H2154" s="13">
        <v>0</v>
      </c>
      <c r="I2154" s="13"/>
      <c r="J2154" s="13"/>
      <c r="K2154" s="13"/>
      <c r="L2154" s="15">
        <v>0</v>
      </c>
    </row>
    <row r="2155" spans="1:12">
      <c r="A2155" s="12"/>
      <c r="E2155" s="14"/>
      <c r="F2155" s="14"/>
      <c r="G2155" s="13">
        <v>0</v>
      </c>
      <c r="H2155" s="13">
        <v>0</v>
      </c>
      <c r="I2155" s="13"/>
      <c r="J2155" s="13"/>
      <c r="K2155" s="13"/>
      <c r="L2155" s="15">
        <v>0</v>
      </c>
    </row>
    <row r="2156" spans="1:12">
      <c r="A2156" s="12"/>
      <c r="E2156" s="14"/>
      <c r="F2156" s="14"/>
      <c r="G2156" s="13">
        <v>0</v>
      </c>
      <c r="H2156" s="13">
        <v>0</v>
      </c>
      <c r="I2156" s="13"/>
      <c r="J2156" s="13"/>
      <c r="K2156" s="13"/>
      <c r="L2156" s="15">
        <v>0</v>
      </c>
    </row>
    <row r="2157" spans="1:12">
      <c r="A2157" s="12"/>
      <c r="E2157" s="14"/>
      <c r="F2157" s="14"/>
      <c r="G2157" s="13">
        <v>0</v>
      </c>
      <c r="H2157" s="13">
        <v>0</v>
      </c>
      <c r="I2157" s="13"/>
      <c r="J2157" s="13"/>
      <c r="K2157" s="13"/>
      <c r="L2157" s="15">
        <v>0</v>
      </c>
    </row>
    <row r="2158" spans="1:12">
      <c r="A2158" s="12"/>
      <c r="E2158" s="14"/>
      <c r="F2158" s="14"/>
      <c r="G2158" s="13">
        <v>0</v>
      </c>
      <c r="H2158" s="13">
        <v>0</v>
      </c>
      <c r="I2158" s="13"/>
      <c r="J2158" s="13"/>
      <c r="K2158" s="13"/>
      <c r="L2158" s="15">
        <v>0</v>
      </c>
    </row>
    <row r="2159" spans="1:12">
      <c r="A2159" s="12"/>
      <c r="E2159" s="14"/>
      <c r="F2159" s="14"/>
      <c r="G2159" s="13">
        <v>0</v>
      </c>
      <c r="H2159" s="13">
        <v>0</v>
      </c>
      <c r="I2159" s="13"/>
      <c r="J2159" s="13"/>
      <c r="K2159" s="13"/>
      <c r="L2159" s="15">
        <v>0</v>
      </c>
    </row>
    <row r="2160" spans="1:12">
      <c r="A2160" s="12"/>
      <c r="E2160" s="14"/>
      <c r="F2160" s="14"/>
      <c r="G2160" s="13">
        <v>0</v>
      </c>
      <c r="H2160" s="13">
        <v>0</v>
      </c>
      <c r="I2160" s="13"/>
      <c r="J2160" s="13"/>
      <c r="K2160" s="13"/>
      <c r="L2160" s="15">
        <v>0</v>
      </c>
    </row>
    <row r="2161" spans="1:12">
      <c r="A2161" s="12"/>
      <c r="E2161" s="14"/>
      <c r="F2161" s="14"/>
      <c r="G2161" s="13">
        <v>0</v>
      </c>
      <c r="H2161" s="13">
        <v>0</v>
      </c>
      <c r="I2161" s="13"/>
      <c r="J2161" s="13"/>
      <c r="K2161" s="13"/>
      <c r="L2161" s="15">
        <v>0</v>
      </c>
    </row>
    <row r="2162" spans="1:12">
      <c r="A2162" s="12"/>
      <c r="E2162" s="14"/>
      <c r="F2162" s="14"/>
      <c r="G2162" s="13">
        <v>0</v>
      </c>
      <c r="H2162" s="13">
        <v>0</v>
      </c>
      <c r="I2162" s="13"/>
      <c r="J2162" s="13"/>
      <c r="K2162" s="13"/>
      <c r="L2162" s="15">
        <v>0</v>
      </c>
    </row>
    <row r="2163" spans="1:12">
      <c r="A2163" s="12"/>
      <c r="E2163" s="14"/>
      <c r="F2163" s="14"/>
      <c r="G2163" s="13">
        <v>0</v>
      </c>
      <c r="H2163" s="13">
        <v>0</v>
      </c>
      <c r="I2163" s="13"/>
      <c r="J2163" s="13"/>
      <c r="K2163" s="13"/>
      <c r="L2163" s="15">
        <v>0</v>
      </c>
    </row>
    <row r="2164" spans="1:12">
      <c r="A2164" s="12"/>
      <c r="E2164" s="14"/>
      <c r="F2164" s="14"/>
      <c r="G2164" s="13">
        <v>0</v>
      </c>
      <c r="H2164" s="13">
        <v>0</v>
      </c>
      <c r="I2164" s="13"/>
      <c r="J2164" s="13"/>
      <c r="K2164" s="13"/>
      <c r="L2164" s="15">
        <v>0</v>
      </c>
    </row>
    <row r="2165" spans="1:12">
      <c r="A2165" s="12"/>
      <c r="E2165" s="14"/>
      <c r="F2165" s="14"/>
      <c r="G2165" s="13">
        <v>0</v>
      </c>
      <c r="H2165" s="13">
        <v>0</v>
      </c>
      <c r="I2165" s="13"/>
      <c r="J2165" s="13"/>
      <c r="K2165" s="13"/>
      <c r="L2165" s="15">
        <v>0</v>
      </c>
    </row>
    <row r="2166" spans="1:12">
      <c r="A2166" s="12"/>
      <c r="E2166" s="14"/>
      <c r="F2166" s="14"/>
      <c r="G2166" s="13">
        <v>0</v>
      </c>
      <c r="H2166" s="13">
        <v>0</v>
      </c>
      <c r="I2166" s="13"/>
      <c r="J2166" s="13"/>
      <c r="K2166" s="13"/>
      <c r="L2166" s="15">
        <v>0</v>
      </c>
    </row>
    <row r="2167" spans="1:12">
      <c r="A2167" s="12"/>
      <c r="E2167" s="14"/>
      <c r="F2167" s="14"/>
      <c r="G2167" s="13">
        <v>0</v>
      </c>
      <c r="H2167" s="13">
        <v>0</v>
      </c>
      <c r="I2167" s="13"/>
      <c r="J2167" s="13"/>
      <c r="K2167" s="13"/>
      <c r="L2167" s="15">
        <v>0</v>
      </c>
    </row>
    <row r="2168" spans="1:12">
      <c r="A2168" s="12"/>
      <c r="E2168" s="14"/>
      <c r="F2168" s="14"/>
      <c r="G2168" s="13">
        <v>0</v>
      </c>
      <c r="H2168" s="13">
        <v>0</v>
      </c>
      <c r="I2168" s="13"/>
      <c r="J2168" s="13"/>
      <c r="K2168" s="13"/>
      <c r="L2168" s="15">
        <v>0</v>
      </c>
    </row>
    <row r="2169" spans="1:12">
      <c r="A2169" s="12"/>
      <c r="E2169" s="14"/>
      <c r="F2169" s="14"/>
      <c r="G2169" s="13">
        <v>0</v>
      </c>
      <c r="H2169" s="13">
        <v>0</v>
      </c>
      <c r="I2169" s="13"/>
      <c r="J2169" s="13"/>
      <c r="K2169" s="13"/>
      <c r="L2169" s="15">
        <v>0</v>
      </c>
    </row>
    <row r="2170" spans="1:12">
      <c r="A2170" s="12"/>
      <c r="E2170" s="14"/>
      <c r="F2170" s="14"/>
      <c r="G2170" s="13">
        <v>0</v>
      </c>
      <c r="H2170" s="13">
        <v>0</v>
      </c>
      <c r="I2170" s="13"/>
      <c r="J2170" s="13"/>
      <c r="K2170" s="13"/>
      <c r="L2170" s="15">
        <v>0</v>
      </c>
    </row>
    <row r="2171" spans="1:12">
      <c r="A2171" s="12"/>
      <c r="E2171" s="14"/>
      <c r="F2171" s="14"/>
      <c r="G2171" s="13">
        <v>0</v>
      </c>
      <c r="H2171" s="13">
        <v>0</v>
      </c>
      <c r="I2171" s="13"/>
      <c r="J2171" s="13"/>
      <c r="K2171" s="13"/>
      <c r="L2171" s="15">
        <v>0</v>
      </c>
    </row>
    <row r="2172" spans="1:12">
      <c r="A2172" s="12"/>
      <c r="E2172" s="14"/>
      <c r="F2172" s="14"/>
      <c r="G2172" s="13">
        <v>0</v>
      </c>
      <c r="H2172" s="13">
        <v>0</v>
      </c>
      <c r="I2172" s="13"/>
      <c r="J2172" s="13"/>
      <c r="K2172" s="13"/>
      <c r="L2172" s="15">
        <v>0</v>
      </c>
    </row>
    <row r="2173" spans="1:12">
      <c r="A2173" s="12"/>
      <c r="E2173" s="14"/>
      <c r="F2173" s="14"/>
      <c r="G2173" s="13">
        <v>0</v>
      </c>
      <c r="H2173" s="13">
        <v>0</v>
      </c>
      <c r="I2173" s="13"/>
      <c r="J2173" s="13"/>
      <c r="K2173" s="13"/>
      <c r="L2173" s="15">
        <v>0</v>
      </c>
    </row>
    <row r="2174" spans="1:12">
      <c r="A2174" s="12"/>
      <c r="E2174" s="14"/>
      <c r="F2174" s="14"/>
      <c r="G2174" s="13">
        <v>0</v>
      </c>
      <c r="H2174" s="13">
        <v>0</v>
      </c>
      <c r="I2174" s="13"/>
      <c r="J2174" s="13"/>
      <c r="K2174" s="13"/>
      <c r="L2174" s="15">
        <v>0</v>
      </c>
    </row>
    <row r="2175" spans="1:12">
      <c r="A2175" s="12"/>
      <c r="E2175" s="14"/>
      <c r="F2175" s="14"/>
      <c r="G2175" s="13">
        <v>0</v>
      </c>
      <c r="H2175" s="13">
        <v>0</v>
      </c>
      <c r="I2175" s="13"/>
      <c r="J2175" s="13"/>
      <c r="K2175" s="13"/>
      <c r="L2175" s="15">
        <v>0</v>
      </c>
    </row>
    <row r="2176" spans="1:12">
      <c r="A2176" s="12"/>
      <c r="E2176" s="14"/>
      <c r="F2176" s="14"/>
      <c r="G2176" s="13">
        <v>0</v>
      </c>
      <c r="H2176" s="13">
        <v>0</v>
      </c>
      <c r="I2176" s="13"/>
      <c r="J2176" s="13"/>
      <c r="K2176" s="13"/>
      <c r="L2176" s="15">
        <v>0</v>
      </c>
    </row>
    <row r="2177" spans="1:12">
      <c r="A2177" s="12"/>
      <c r="E2177" s="14"/>
      <c r="F2177" s="14"/>
      <c r="G2177" s="13">
        <v>0</v>
      </c>
      <c r="H2177" s="13">
        <v>0</v>
      </c>
      <c r="I2177" s="13"/>
      <c r="J2177" s="13"/>
      <c r="K2177" s="13"/>
      <c r="L2177" s="15">
        <v>0</v>
      </c>
    </row>
    <row r="2178" spans="1:12">
      <c r="A2178" s="12"/>
      <c r="E2178" s="14"/>
      <c r="F2178" s="14"/>
      <c r="G2178" s="13">
        <v>0</v>
      </c>
      <c r="H2178" s="13">
        <v>0</v>
      </c>
      <c r="I2178" s="13"/>
      <c r="J2178" s="13"/>
      <c r="K2178" s="13"/>
      <c r="L2178" s="15">
        <v>0</v>
      </c>
    </row>
    <row r="2179" spans="1:12">
      <c r="A2179" s="12"/>
      <c r="E2179" s="14"/>
      <c r="F2179" s="14"/>
      <c r="G2179" s="13">
        <v>0</v>
      </c>
      <c r="H2179" s="13">
        <v>0</v>
      </c>
      <c r="I2179" s="13"/>
      <c r="J2179" s="13"/>
      <c r="K2179" s="13"/>
      <c r="L2179" s="15">
        <v>0</v>
      </c>
    </row>
    <row r="2180" spans="1:12">
      <c r="A2180" s="12"/>
      <c r="E2180" s="14"/>
      <c r="F2180" s="14"/>
      <c r="G2180" s="13">
        <v>0</v>
      </c>
      <c r="H2180" s="13">
        <v>0</v>
      </c>
      <c r="I2180" s="13"/>
      <c r="J2180" s="13"/>
      <c r="K2180" s="13"/>
      <c r="L2180" s="15">
        <v>0</v>
      </c>
    </row>
    <row r="2181" spans="1:12">
      <c r="A2181" s="12"/>
      <c r="E2181" s="14"/>
      <c r="F2181" s="14"/>
      <c r="G2181" s="13">
        <v>0</v>
      </c>
      <c r="H2181" s="13">
        <v>0</v>
      </c>
      <c r="I2181" s="13"/>
      <c r="J2181" s="13"/>
      <c r="K2181" s="13"/>
      <c r="L2181" s="15">
        <v>0</v>
      </c>
    </row>
    <row r="2182" spans="1:12">
      <c r="A2182" s="12"/>
      <c r="E2182" s="14"/>
      <c r="F2182" s="14"/>
      <c r="G2182" s="13">
        <v>0</v>
      </c>
      <c r="H2182" s="13">
        <v>0</v>
      </c>
      <c r="I2182" s="13"/>
      <c r="J2182" s="13"/>
      <c r="K2182" s="13"/>
      <c r="L2182" s="15">
        <v>0</v>
      </c>
    </row>
    <row r="2183" spans="1:12">
      <c r="A2183" s="12"/>
      <c r="E2183" s="14"/>
      <c r="F2183" s="14"/>
      <c r="G2183" s="13">
        <v>0</v>
      </c>
      <c r="H2183" s="13">
        <v>0</v>
      </c>
      <c r="I2183" s="13"/>
      <c r="J2183" s="13"/>
      <c r="K2183" s="13"/>
      <c r="L2183" s="15">
        <v>0</v>
      </c>
    </row>
    <row r="2184" spans="1:12">
      <c r="A2184" s="12"/>
      <c r="E2184" s="14"/>
      <c r="F2184" s="14"/>
      <c r="G2184" s="13">
        <v>0</v>
      </c>
      <c r="H2184" s="13">
        <v>0</v>
      </c>
      <c r="I2184" s="13"/>
      <c r="J2184" s="13"/>
      <c r="K2184" s="13"/>
      <c r="L2184" s="15">
        <v>0</v>
      </c>
    </row>
    <row r="2185" spans="1:12">
      <c r="A2185" s="12"/>
      <c r="E2185" s="14"/>
      <c r="F2185" s="14"/>
      <c r="G2185" s="13">
        <v>0</v>
      </c>
      <c r="H2185" s="13">
        <v>0</v>
      </c>
      <c r="I2185" s="13"/>
      <c r="J2185" s="13"/>
      <c r="K2185" s="13"/>
      <c r="L2185" s="15">
        <v>0</v>
      </c>
    </row>
    <row r="2186" spans="1:12">
      <c r="A2186" s="12"/>
      <c r="E2186" s="14"/>
      <c r="F2186" s="14"/>
      <c r="G2186" s="13">
        <v>0</v>
      </c>
      <c r="H2186" s="13">
        <v>0</v>
      </c>
      <c r="I2186" s="13"/>
      <c r="J2186" s="13"/>
      <c r="K2186" s="13"/>
      <c r="L2186" s="15">
        <v>0</v>
      </c>
    </row>
    <row r="2187" spans="1:12">
      <c r="A2187" s="12"/>
      <c r="E2187" s="14"/>
      <c r="F2187" s="14"/>
      <c r="G2187" s="13">
        <v>0</v>
      </c>
      <c r="H2187" s="13">
        <v>0</v>
      </c>
      <c r="I2187" s="13"/>
      <c r="J2187" s="13"/>
      <c r="K2187" s="13"/>
      <c r="L2187" s="15">
        <v>0</v>
      </c>
    </row>
    <row r="2188" spans="1:12">
      <c r="A2188" s="12"/>
      <c r="E2188" s="14"/>
      <c r="F2188" s="14"/>
      <c r="G2188" s="13">
        <v>0</v>
      </c>
      <c r="H2188" s="13">
        <v>0</v>
      </c>
      <c r="I2188" s="13"/>
      <c r="J2188" s="13"/>
      <c r="K2188" s="13"/>
      <c r="L2188" s="15">
        <v>0</v>
      </c>
    </row>
    <row r="2189" spans="1:12">
      <c r="A2189" s="12"/>
      <c r="E2189" s="14"/>
      <c r="F2189" s="14"/>
      <c r="G2189" s="13">
        <v>0</v>
      </c>
      <c r="H2189" s="13">
        <v>0</v>
      </c>
      <c r="I2189" s="13"/>
      <c r="J2189" s="13"/>
      <c r="K2189" s="13"/>
      <c r="L2189" s="15">
        <v>0</v>
      </c>
    </row>
    <row r="2190" spans="1:12">
      <c r="A2190" s="12"/>
      <c r="E2190" s="14"/>
      <c r="F2190" s="14"/>
      <c r="G2190" s="13">
        <v>0</v>
      </c>
      <c r="H2190" s="13">
        <v>0</v>
      </c>
      <c r="I2190" s="13"/>
      <c r="J2190" s="13"/>
      <c r="K2190" s="13"/>
      <c r="L2190" s="15">
        <v>0</v>
      </c>
    </row>
    <row r="2191" spans="1:12">
      <c r="A2191" s="12"/>
      <c r="E2191" s="14"/>
      <c r="F2191" s="14"/>
      <c r="G2191" s="13">
        <v>0</v>
      </c>
      <c r="H2191" s="13">
        <v>0</v>
      </c>
      <c r="I2191" s="13"/>
      <c r="J2191" s="13"/>
      <c r="K2191" s="13"/>
      <c r="L2191" s="15">
        <v>0</v>
      </c>
    </row>
    <row r="2192" spans="1:12">
      <c r="A2192" s="12"/>
      <c r="E2192" s="14"/>
      <c r="F2192" s="14"/>
      <c r="G2192" s="13">
        <v>0</v>
      </c>
      <c r="H2192" s="13">
        <v>0</v>
      </c>
      <c r="I2192" s="13"/>
      <c r="J2192" s="13"/>
      <c r="K2192" s="13"/>
      <c r="L2192" s="15">
        <v>0</v>
      </c>
    </row>
    <row r="2193" spans="1:12">
      <c r="A2193" s="12"/>
      <c r="E2193" s="14"/>
      <c r="F2193" s="14"/>
      <c r="G2193" s="13">
        <v>0</v>
      </c>
      <c r="H2193" s="13">
        <v>0</v>
      </c>
      <c r="I2193" s="13"/>
      <c r="J2193" s="13"/>
      <c r="K2193" s="13"/>
      <c r="L2193" s="15">
        <v>0</v>
      </c>
    </row>
    <row r="2194" spans="1:12">
      <c r="A2194" s="12"/>
      <c r="E2194" s="14"/>
      <c r="F2194" s="14"/>
      <c r="G2194" s="13">
        <v>0</v>
      </c>
      <c r="H2194" s="13">
        <v>0</v>
      </c>
      <c r="I2194" s="13"/>
      <c r="J2194" s="13"/>
      <c r="K2194" s="13"/>
      <c r="L2194" s="15">
        <v>0</v>
      </c>
    </row>
    <row r="2195" spans="1:12">
      <c r="A2195" s="12"/>
      <c r="E2195" s="14"/>
      <c r="F2195" s="14"/>
      <c r="G2195" s="13">
        <v>0</v>
      </c>
      <c r="H2195" s="13">
        <v>0</v>
      </c>
      <c r="I2195" s="13"/>
      <c r="J2195" s="13"/>
      <c r="K2195" s="13"/>
      <c r="L2195" s="15">
        <v>0</v>
      </c>
    </row>
    <row r="2196" spans="1:12">
      <c r="A2196" s="12"/>
      <c r="E2196" s="14"/>
      <c r="F2196" s="14"/>
      <c r="G2196" s="13">
        <v>0</v>
      </c>
      <c r="H2196" s="13">
        <v>0</v>
      </c>
      <c r="I2196" s="13"/>
      <c r="J2196" s="13"/>
      <c r="K2196" s="13"/>
      <c r="L2196" s="15">
        <v>0</v>
      </c>
    </row>
    <row r="2197" spans="1:12">
      <c r="A2197" s="12"/>
      <c r="E2197" s="14"/>
      <c r="F2197" s="14"/>
      <c r="G2197" s="13">
        <v>0</v>
      </c>
      <c r="H2197" s="13">
        <v>0</v>
      </c>
      <c r="I2197" s="13"/>
      <c r="J2197" s="13"/>
      <c r="K2197" s="13"/>
      <c r="L2197" s="15">
        <v>0</v>
      </c>
    </row>
    <row r="2198" spans="1:12">
      <c r="A2198" s="12"/>
      <c r="E2198" s="14"/>
      <c r="F2198" s="14"/>
      <c r="G2198" s="13">
        <v>0</v>
      </c>
      <c r="H2198" s="13">
        <v>0</v>
      </c>
      <c r="I2198" s="13"/>
      <c r="J2198" s="13"/>
      <c r="K2198" s="13"/>
      <c r="L2198" s="15">
        <v>0</v>
      </c>
    </row>
    <row r="2199" spans="1:12">
      <c r="A2199" s="12"/>
      <c r="E2199" s="14"/>
      <c r="F2199" s="14"/>
      <c r="G2199" s="13">
        <v>0</v>
      </c>
      <c r="H2199" s="13">
        <v>0</v>
      </c>
      <c r="I2199" s="13"/>
      <c r="J2199" s="13"/>
      <c r="K2199" s="13"/>
      <c r="L2199" s="15">
        <v>0</v>
      </c>
    </row>
    <row r="2200" spans="1:12">
      <c r="A2200" s="12"/>
      <c r="E2200" s="14"/>
      <c r="F2200" s="14"/>
      <c r="G2200" s="13">
        <v>0</v>
      </c>
      <c r="H2200" s="13">
        <v>0</v>
      </c>
      <c r="I2200" s="13"/>
      <c r="J2200" s="13"/>
      <c r="K2200" s="13"/>
      <c r="L2200" s="15">
        <v>0</v>
      </c>
    </row>
    <row r="2201" spans="1:12">
      <c r="A2201" s="12"/>
      <c r="E2201" s="14"/>
      <c r="F2201" s="14"/>
      <c r="G2201" s="13">
        <v>0</v>
      </c>
      <c r="H2201" s="13">
        <v>0</v>
      </c>
      <c r="I2201" s="13"/>
      <c r="J2201" s="13"/>
      <c r="K2201" s="13"/>
      <c r="L2201" s="15">
        <v>0</v>
      </c>
    </row>
    <row r="2202" spans="1:12">
      <c r="A2202" s="12"/>
      <c r="E2202" s="14"/>
      <c r="F2202" s="14"/>
      <c r="G2202" s="13">
        <v>0</v>
      </c>
      <c r="H2202" s="13">
        <v>0</v>
      </c>
      <c r="I2202" s="13"/>
      <c r="J2202" s="13"/>
      <c r="K2202" s="13"/>
      <c r="L2202" s="15">
        <v>0</v>
      </c>
    </row>
    <row r="2203" spans="1:12">
      <c r="A2203" s="12"/>
      <c r="E2203" s="14"/>
      <c r="F2203" s="14"/>
      <c r="G2203" s="13">
        <v>0</v>
      </c>
      <c r="H2203" s="13">
        <v>0</v>
      </c>
      <c r="I2203" s="13"/>
      <c r="J2203" s="13"/>
      <c r="K2203" s="13"/>
      <c r="L2203" s="15">
        <v>0</v>
      </c>
    </row>
    <row r="2204" spans="1:12">
      <c r="A2204" s="12"/>
      <c r="E2204" s="14"/>
      <c r="F2204" s="14"/>
      <c r="G2204" s="13">
        <v>0</v>
      </c>
      <c r="H2204" s="13">
        <v>0</v>
      </c>
      <c r="I2204" s="13"/>
      <c r="J2204" s="13"/>
      <c r="K2204" s="13"/>
      <c r="L2204" s="15">
        <v>0</v>
      </c>
    </row>
    <row r="2205" spans="1:12">
      <c r="A2205" s="12"/>
      <c r="E2205" s="14"/>
      <c r="F2205" s="14"/>
      <c r="G2205" s="13">
        <v>0</v>
      </c>
      <c r="H2205" s="13">
        <v>0</v>
      </c>
      <c r="I2205" s="13"/>
      <c r="J2205" s="13"/>
      <c r="K2205" s="13"/>
      <c r="L2205" s="15">
        <v>0</v>
      </c>
    </row>
    <row r="2206" spans="1:12">
      <c r="A2206" s="12"/>
      <c r="E2206" s="14"/>
      <c r="F2206" s="14"/>
      <c r="G2206" s="13">
        <v>0</v>
      </c>
      <c r="H2206" s="13">
        <v>0</v>
      </c>
      <c r="I2206" s="13"/>
      <c r="J2206" s="13"/>
      <c r="K2206" s="13"/>
      <c r="L2206" s="15">
        <v>0</v>
      </c>
    </row>
    <row r="2207" spans="1:12">
      <c r="A2207" s="12"/>
      <c r="E2207" s="14"/>
      <c r="F2207" s="14"/>
      <c r="G2207" s="13">
        <v>0</v>
      </c>
      <c r="H2207" s="13">
        <v>0</v>
      </c>
      <c r="I2207" s="13"/>
      <c r="J2207" s="13"/>
      <c r="K2207" s="13"/>
      <c r="L2207" s="15">
        <v>0</v>
      </c>
    </row>
    <row r="2208" spans="1:12">
      <c r="A2208" s="12"/>
      <c r="E2208" s="14"/>
      <c r="F2208" s="14"/>
      <c r="G2208" s="13">
        <v>0</v>
      </c>
      <c r="H2208" s="13">
        <v>0</v>
      </c>
      <c r="I2208" s="13"/>
      <c r="J2208" s="13"/>
      <c r="K2208" s="13"/>
      <c r="L2208" s="15">
        <v>0</v>
      </c>
    </row>
    <row r="2209" spans="1:12">
      <c r="A2209" s="12"/>
      <c r="E2209" s="14"/>
      <c r="F2209" s="14"/>
      <c r="G2209" s="13">
        <v>0</v>
      </c>
      <c r="H2209" s="13">
        <v>0</v>
      </c>
      <c r="I2209" s="13"/>
      <c r="J2209" s="13"/>
      <c r="K2209" s="13"/>
      <c r="L2209" s="15">
        <v>0</v>
      </c>
    </row>
    <row r="2210" spans="1:12">
      <c r="A2210" s="12"/>
      <c r="E2210" s="14"/>
      <c r="F2210" s="14"/>
      <c r="G2210" s="13">
        <v>0</v>
      </c>
      <c r="H2210" s="13">
        <v>0</v>
      </c>
      <c r="I2210" s="13"/>
      <c r="J2210" s="13"/>
      <c r="K2210" s="13"/>
      <c r="L2210" s="15">
        <v>0</v>
      </c>
    </row>
    <row r="2211" spans="1:12">
      <c r="A2211" s="12"/>
      <c r="E2211" s="14"/>
      <c r="F2211" s="14"/>
      <c r="G2211" s="13">
        <v>0</v>
      </c>
      <c r="H2211" s="13">
        <v>0</v>
      </c>
      <c r="I2211" s="13"/>
      <c r="J2211" s="13"/>
      <c r="K2211" s="13"/>
      <c r="L2211" s="15">
        <v>0</v>
      </c>
    </row>
    <row r="2212" spans="1:12">
      <c r="A2212" s="12"/>
      <c r="E2212" s="14"/>
      <c r="F2212" s="14"/>
      <c r="G2212" s="13">
        <v>0</v>
      </c>
      <c r="H2212" s="13">
        <v>0</v>
      </c>
      <c r="I2212" s="13"/>
      <c r="J2212" s="13"/>
      <c r="K2212" s="13"/>
      <c r="L2212" s="15">
        <v>0</v>
      </c>
    </row>
    <row r="2213" spans="1:12">
      <c r="A2213" s="12"/>
      <c r="E2213" s="14"/>
      <c r="F2213" s="14"/>
      <c r="G2213" s="13">
        <v>0</v>
      </c>
      <c r="H2213" s="13">
        <v>0</v>
      </c>
      <c r="I2213" s="13"/>
      <c r="J2213" s="13"/>
      <c r="K2213" s="13"/>
      <c r="L2213" s="15">
        <v>0</v>
      </c>
    </row>
    <row r="2214" spans="1:12">
      <c r="A2214" s="12"/>
      <c r="E2214" s="14"/>
      <c r="F2214" s="14"/>
      <c r="G2214" s="13">
        <v>0</v>
      </c>
      <c r="H2214" s="13">
        <v>0</v>
      </c>
      <c r="I2214" s="13"/>
      <c r="J2214" s="13"/>
      <c r="K2214" s="13"/>
      <c r="L2214" s="15">
        <v>0</v>
      </c>
    </row>
    <row r="2215" spans="1:12">
      <c r="A2215" s="12"/>
      <c r="E2215" s="14"/>
      <c r="F2215" s="14"/>
      <c r="G2215" s="13">
        <v>0</v>
      </c>
      <c r="H2215" s="13">
        <v>0</v>
      </c>
      <c r="I2215" s="13"/>
      <c r="J2215" s="13"/>
      <c r="K2215" s="13"/>
      <c r="L2215" s="15">
        <v>0</v>
      </c>
    </row>
    <row r="2216" spans="1:12">
      <c r="A2216" s="12"/>
      <c r="E2216" s="14"/>
      <c r="F2216" s="14"/>
      <c r="G2216" s="13">
        <v>0</v>
      </c>
      <c r="H2216" s="13">
        <v>0</v>
      </c>
      <c r="I2216" s="13"/>
      <c r="J2216" s="13"/>
      <c r="K2216" s="13"/>
      <c r="L2216" s="15">
        <v>0</v>
      </c>
    </row>
    <row r="2217" spans="1:12">
      <c r="A2217" s="12"/>
      <c r="E2217" s="14"/>
      <c r="F2217" s="14"/>
      <c r="G2217" s="13">
        <v>0</v>
      </c>
      <c r="H2217" s="13">
        <v>0</v>
      </c>
      <c r="I2217" s="13"/>
      <c r="J2217" s="13"/>
      <c r="K2217" s="13"/>
      <c r="L2217" s="15">
        <v>0</v>
      </c>
    </row>
    <row r="2218" spans="1:12">
      <c r="A2218" s="12"/>
      <c r="E2218" s="14"/>
      <c r="F2218" s="14"/>
      <c r="G2218" s="13">
        <v>0</v>
      </c>
      <c r="H2218" s="13">
        <v>0</v>
      </c>
      <c r="I2218" s="13"/>
      <c r="J2218" s="13"/>
      <c r="K2218" s="13"/>
      <c r="L2218" s="15">
        <v>0</v>
      </c>
    </row>
    <row r="2219" spans="1:12">
      <c r="A2219" s="12"/>
      <c r="E2219" s="14"/>
      <c r="F2219" s="14"/>
      <c r="G2219" s="13">
        <v>0</v>
      </c>
      <c r="H2219" s="13">
        <v>0</v>
      </c>
      <c r="I2219" s="13"/>
      <c r="J2219" s="13"/>
      <c r="K2219" s="13"/>
      <c r="L2219" s="15">
        <v>0</v>
      </c>
    </row>
    <row r="2220" spans="1:12">
      <c r="A2220" s="12"/>
      <c r="E2220" s="14"/>
      <c r="F2220" s="14"/>
      <c r="G2220" s="13">
        <v>0</v>
      </c>
      <c r="H2220" s="13">
        <v>0</v>
      </c>
      <c r="I2220" s="13"/>
      <c r="J2220" s="13"/>
      <c r="K2220" s="13"/>
      <c r="L2220" s="15">
        <v>0</v>
      </c>
    </row>
    <row r="2221" spans="1:12">
      <c r="A2221" s="12"/>
      <c r="E2221" s="14"/>
      <c r="F2221" s="14"/>
      <c r="G2221" s="13">
        <v>0</v>
      </c>
      <c r="H2221" s="13">
        <v>0</v>
      </c>
      <c r="I2221" s="13"/>
      <c r="J2221" s="13"/>
      <c r="K2221" s="13"/>
      <c r="L2221" s="15">
        <v>0</v>
      </c>
    </row>
    <row r="2222" spans="1:12">
      <c r="A2222" s="12"/>
      <c r="E2222" s="14"/>
      <c r="F2222" s="14"/>
      <c r="G2222" s="13">
        <v>0</v>
      </c>
      <c r="H2222" s="13">
        <v>0</v>
      </c>
      <c r="I2222" s="13"/>
      <c r="J2222" s="13"/>
      <c r="K2222" s="13"/>
      <c r="L2222" s="15">
        <v>0</v>
      </c>
    </row>
    <row r="2223" spans="1:12">
      <c r="A2223" s="12"/>
      <c r="E2223" s="14"/>
      <c r="F2223" s="14"/>
      <c r="G2223" s="13">
        <v>0</v>
      </c>
      <c r="H2223" s="13">
        <v>0</v>
      </c>
      <c r="I2223" s="13"/>
      <c r="J2223" s="13"/>
      <c r="K2223" s="13"/>
      <c r="L2223" s="15">
        <v>0</v>
      </c>
    </row>
    <row r="2224" spans="1:12">
      <c r="A2224" s="12"/>
      <c r="E2224" s="14"/>
      <c r="F2224" s="14"/>
      <c r="G2224" s="13">
        <v>0</v>
      </c>
      <c r="H2224" s="13">
        <v>0</v>
      </c>
      <c r="I2224" s="13"/>
      <c r="J2224" s="13"/>
      <c r="K2224" s="13"/>
      <c r="L2224" s="15">
        <v>0</v>
      </c>
    </row>
    <row r="2225" spans="1:12">
      <c r="A2225" s="12"/>
      <c r="E2225" s="14"/>
      <c r="F2225" s="14"/>
      <c r="G2225" s="13">
        <v>0</v>
      </c>
      <c r="H2225" s="13">
        <v>0</v>
      </c>
      <c r="I2225" s="13"/>
      <c r="J2225" s="13"/>
      <c r="K2225" s="13"/>
      <c r="L2225" s="15">
        <v>0</v>
      </c>
    </row>
    <row r="2226" spans="1:12">
      <c r="A2226" s="12"/>
      <c r="E2226" s="14"/>
      <c r="F2226" s="14"/>
      <c r="G2226" s="13">
        <v>0</v>
      </c>
      <c r="H2226" s="13">
        <v>0</v>
      </c>
      <c r="I2226" s="13"/>
      <c r="J2226" s="13"/>
      <c r="K2226" s="13"/>
      <c r="L2226" s="15">
        <v>0</v>
      </c>
    </row>
    <row r="2227" spans="1:12">
      <c r="A2227" s="12"/>
      <c r="E2227" s="14"/>
      <c r="F2227" s="14"/>
      <c r="G2227" s="13">
        <v>0</v>
      </c>
      <c r="H2227" s="13">
        <v>0</v>
      </c>
      <c r="I2227" s="13"/>
      <c r="J2227" s="13"/>
      <c r="K2227" s="13"/>
      <c r="L2227" s="15">
        <v>0</v>
      </c>
    </row>
    <row r="2228" spans="1:12">
      <c r="A2228" s="12"/>
      <c r="E2228" s="14"/>
      <c r="F2228" s="14"/>
      <c r="G2228" s="13">
        <v>0</v>
      </c>
      <c r="H2228" s="13">
        <v>0</v>
      </c>
      <c r="I2228" s="13"/>
      <c r="J2228" s="13"/>
      <c r="K2228" s="13"/>
      <c r="L2228" s="15">
        <v>0</v>
      </c>
    </row>
    <row r="2229" spans="1:12">
      <c r="A2229" s="12"/>
      <c r="E2229" s="14"/>
      <c r="F2229" s="14"/>
      <c r="G2229" s="13">
        <v>0</v>
      </c>
      <c r="H2229" s="13">
        <v>0</v>
      </c>
      <c r="I2229" s="13"/>
      <c r="J2229" s="13"/>
      <c r="K2229" s="13"/>
      <c r="L2229" s="15">
        <v>0</v>
      </c>
    </row>
    <row r="2230" spans="1:12">
      <c r="A2230" s="12"/>
      <c r="E2230" s="14"/>
      <c r="F2230" s="14"/>
      <c r="G2230" s="13">
        <v>0</v>
      </c>
      <c r="H2230" s="13">
        <v>0</v>
      </c>
      <c r="I2230" s="13"/>
      <c r="J2230" s="13"/>
      <c r="K2230" s="13"/>
      <c r="L2230" s="15">
        <v>0</v>
      </c>
    </row>
    <row r="2231" spans="1:12">
      <c r="A2231" s="12"/>
      <c r="E2231" s="14"/>
      <c r="F2231" s="14"/>
      <c r="G2231" s="13">
        <v>0</v>
      </c>
      <c r="H2231" s="13">
        <v>0</v>
      </c>
      <c r="I2231" s="13"/>
      <c r="J2231" s="13"/>
      <c r="K2231" s="13"/>
      <c r="L2231" s="15">
        <v>0</v>
      </c>
    </row>
    <row r="2232" spans="1:12">
      <c r="A2232" s="12"/>
      <c r="E2232" s="14"/>
      <c r="F2232" s="14"/>
      <c r="G2232" s="13">
        <v>0</v>
      </c>
      <c r="H2232" s="13">
        <v>0</v>
      </c>
      <c r="I2232" s="13"/>
      <c r="J2232" s="13"/>
      <c r="K2232" s="13"/>
      <c r="L2232" s="15">
        <v>0</v>
      </c>
    </row>
    <row r="2233" spans="1:12">
      <c r="A2233" s="12"/>
      <c r="E2233" s="14"/>
      <c r="F2233" s="14"/>
      <c r="G2233" s="13">
        <v>0</v>
      </c>
      <c r="H2233" s="13">
        <v>0</v>
      </c>
      <c r="I2233" s="13"/>
      <c r="J2233" s="13"/>
      <c r="K2233" s="13"/>
      <c r="L2233" s="15">
        <v>0</v>
      </c>
    </row>
    <row r="2234" spans="1:12">
      <c r="A2234" s="12"/>
      <c r="E2234" s="14"/>
      <c r="F2234" s="14"/>
      <c r="G2234" s="13">
        <v>0</v>
      </c>
      <c r="H2234" s="13">
        <v>0</v>
      </c>
      <c r="I2234" s="13"/>
      <c r="J2234" s="13"/>
      <c r="K2234" s="13"/>
      <c r="L2234" s="15">
        <v>0</v>
      </c>
    </row>
    <row r="2235" spans="1:12">
      <c r="A2235" s="12"/>
      <c r="E2235" s="14"/>
      <c r="F2235" s="14"/>
      <c r="G2235" s="13">
        <v>0</v>
      </c>
      <c r="H2235" s="13">
        <v>0</v>
      </c>
      <c r="I2235" s="13"/>
      <c r="J2235" s="13"/>
      <c r="K2235" s="13"/>
      <c r="L2235" s="15">
        <v>0</v>
      </c>
    </row>
    <row r="2236" spans="1:12">
      <c r="A2236" s="12"/>
      <c r="E2236" s="14"/>
      <c r="F2236" s="14"/>
      <c r="G2236" s="13">
        <v>0</v>
      </c>
      <c r="H2236" s="13">
        <v>0</v>
      </c>
      <c r="I2236" s="13"/>
      <c r="J2236" s="13"/>
      <c r="K2236" s="13"/>
      <c r="L2236" s="15">
        <v>0</v>
      </c>
    </row>
    <row r="2237" spans="1:12">
      <c r="A2237" s="12"/>
      <c r="E2237" s="14"/>
      <c r="F2237" s="14"/>
      <c r="G2237" s="13">
        <v>0</v>
      </c>
      <c r="H2237" s="13">
        <v>0</v>
      </c>
      <c r="I2237" s="13"/>
      <c r="J2237" s="13"/>
      <c r="K2237" s="13"/>
      <c r="L2237" s="15">
        <v>0</v>
      </c>
    </row>
    <row r="2238" spans="1:12">
      <c r="A2238" s="12"/>
      <c r="E2238" s="14"/>
      <c r="F2238" s="14"/>
      <c r="G2238" s="13">
        <v>0</v>
      </c>
      <c r="H2238" s="13">
        <v>0</v>
      </c>
      <c r="I2238" s="13"/>
      <c r="J2238" s="13"/>
      <c r="K2238" s="13"/>
      <c r="L2238" s="15">
        <v>0</v>
      </c>
    </row>
    <row r="2239" spans="1:12">
      <c r="A2239" s="12"/>
      <c r="E2239" s="14"/>
      <c r="F2239" s="14"/>
      <c r="G2239" s="13">
        <v>0</v>
      </c>
      <c r="H2239" s="13">
        <v>0</v>
      </c>
      <c r="I2239" s="13"/>
      <c r="J2239" s="13"/>
      <c r="K2239" s="13"/>
      <c r="L2239" s="15">
        <v>0</v>
      </c>
    </row>
    <row r="2240" spans="1:12">
      <c r="A2240" s="12"/>
      <c r="E2240" s="14"/>
      <c r="F2240" s="14"/>
      <c r="G2240" s="13">
        <v>0</v>
      </c>
      <c r="H2240" s="13">
        <v>0</v>
      </c>
      <c r="I2240" s="13"/>
      <c r="J2240" s="13"/>
      <c r="K2240" s="13"/>
      <c r="L2240" s="15">
        <v>0</v>
      </c>
    </row>
    <row r="2241" spans="1:12">
      <c r="A2241" s="12"/>
      <c r="E2241" s="14"/>
      <c r="F2241" s="14"/>
      <c r="G2241" s="13">
        <v>0</v>
      </c>
      <c r="H2241" s="13">
        <v>0</v>
      </c>
      <c r="I2241" s="13"/>
      <c r="J2241" s="13"/>
      <c r="K2241" s="13"/>
      <c r="L2241" s="15">
        <v>0</v>
      </c>
    </row>
    <row r="2242" spans="1:12">
      <c r="A2242" s="12"/>
      <c r="E2242" s="14"/>
      <c r="F2242" s="14"/>
      <c r="G2242" s="13">
        <v>0</v>
      </c>
      <c r="H2242" s="13">
        <v>0</v>
      </c>
      <c r="I2242" s="13"/>
      <c r="J2242" s="13"/>
      <c r="K2242" s="13"/>
      <c r="L2242" s="15">
        <v>0</v>
      </c>
    </row>
    <row r="2243" spans="1:12">
      <c r="A2243" s="12"/>
      <c r="E2243" s="14"/>
      <c r="F2243" s="14"/>
      <c r="G2243" s="13">
        <v>0</v>
      </c>
      <c r="H2243" s="13">
        <v>0</v>
      </c>
      <c r="I2243" s="13"/>
      <c r="J2243" s="13"/>
      <c r="K2243" s="13"/>
      <c r="L2243" s="15">
        <v>0</v>
      </c>
    </row>
    <row r="2244" spans="1:12">
      <c r="A2244" s="12"/>
      <c r="E2244" s="14"/>
      <c r="F2244" s="14"/>
      <c r="G2244" s="13">
        <v>0</v>
      </c>
      <c r="H2244" s="13">
        <v>0</v>
      </c>
      <c r="I2244" s="13"/>
      <c r="J2244" s="13"/>
      <c r="K2244" s="13"/>
      <c r="L2244" s="15">
        <v>0</v>
      </c>
    </row>
    <row r="2245" spans="1:12">
      <c r="A2245" s="12"/>
      <c r="E2245" s="14"/>
      <c r="F2245" s="14"/>
      <c r="G2245" s="13">
        <v>0</v>
      </c>
      <c r="H2245" s="13">
        <v>0</v>
      </c>
      <c r="I2245" s="13"/>
      <c r="J2245" s="13"/>
      <c r="K2245" s="13"/>
      <c r="L2245" s="15">
        <v>0</v>
      </c>
    </row>
    <row r="2246" spans="1:12">
      <c r="A2246" s="12"/>
      <c r="E2246" s="14"/>
      <c r="F2246" s="14"/>
      <c r="G2246" s="13">
        <v>0</v>
      </c>
      <c r="H2246" s="13">
        <v>0</v>
      </c>
      <c r="I2246" s="13"/>
      <c r="J2246" s="13"/>
      <c r="K2246" s="13"/>
      <c r="L2246" s="15">
        <v>0</v>
      </c>
    </row>
    <row r="2247" spans="1:12">
      <c r="A2247" s="12"/>
      <c r="E2247" s="14"/>
      <c r="F2247" s="14"/>
      <c r="G2247" s="13">
        <v>0</v>
      </c>
      <c r="H2247" s="13">
        <v>0</v>
      </c>
      <c r="I2247" s="13"/>
      <c r="J2247" s="13"/>
      <c r="K2247" s="13"/>
      <c r="L2247" s="15">
        <v>0</v>
      </c>
    </row>
    <row r="2248" spans="1:12">
      <c r="A2248" s="12"/>
      <c r="E2248" s="14"/>
      <c r="F2248" s="14"/>
      <c r="G2248" s="13">
        <v>0</v>
      </c>
      <c r="H2248" s="13">
        <v>0</v>
      </c>
      <c r="I2248" s="13"/>
      <c r="J2248" s="13"/>
      <c r="K2248" s="13"/>
      <c r="L2248" s="15">
        <v>0</v>
      </c>
    </row>
    <row r="2249" spans="1:12">
      <c r="A2249" s="12"/>
      <c r="E2249" s="14"/>
      <c r="F2249" s="14"/>
      <c r="G2249" s="13">
        <v>0</v>
      </c>
      <c r="H2249" s="13">
        <v>0</v>
      </c>
      <c r="I2249" s="13"/>
      <c r="J2249" s="13"/>
      <c r="K2249" s="13"/>
      <c r="L2249" s="15">
        <v>0</v>
      </c>
    </row>
    <row r="2250" spans="1:12">
      <c r="A2250" s="12"/>
      <c r="E2250" s="14"/>
      <c r="F2250" s="14"/>
      <c r="G2250" s="13">
        <v>0</v>
      </c>
      <c r="H2250" s="13">
        <v>0</v>
      </c>
      <c r="I2250" s="13"/>
      <c r="J2250" s="13"/>
      <c r="K2250" s="13"/>
      <c r="L2250" s="15">
        <v>0</v>
      </c>
    </row>
    <row r="2251" spans="1:12">
      <c r="A2251" s="12"/>
      <c r="E2251" s="14"/>
      <c r="F2251" s="14"/>
      <c r="G2251" s="13">
        <v>0</v>
      </c>
      <c r="H2251" s="13">
        <v>0</v>
      </c>
      <c r="I2251" s="13"/>
      <c r="J2251" s="13"/>
      <c r="K2251" s="13"/>
      <c r="L2251" s="15">
        <v>0</v>
      </c>
    </row>
    <row r="2252" spans="1:12">
      <c r="A2252" s="12"/>
      <c r="E2252" s="14"/>
      <c r="F2252" s="14"/>
      <c r="G2252" s="13">
        <v>0</v>
      </c>
      <c r="H2252" s="13">
        <v>0</v>
      </c>
      <c r="I2252" s="13"/>
      <c r="J2252" s="13"/>
      <c r="K2252" s="13"/>
      <c r="L2252" s="15">
        <v>0</v>
      </c>
    </row>
    <row r="2253" spans="1:12">
      <c r="A2253" s="12"/>
      <c r="E2253" s="14"/>
      <c r="F2253" s="14"/>
      <c r="G2253" s="13">
        <v>0</v>
      </c>
      <c r="H2253" s="13">
        <v>0</v>
      </c>
      <c r="I2253" s="13"/>
      <c r="J2253" s="13"/>
      <c r="K2253" s="13"/>
      <c r="L2253" s="15">
        <v>0</v>
      </c>
    </row>
    <row r="2254" spans="1:12">
      <c r="A2254" s="12"/>
      <c r="E2254" s="14"/>
      <c r="F2254" s="14"/>
      <c r="G2254" s="13">
        <v>0</v>
      </c>
      <c r="H2254" s="13">
        <v>0</v>
      </c>
      <c r="I2254" s="13"/>
      <c r="J2254" s="13"/>
      <c r="K2254" s="13"/>
      <c r="L2254" s="15">
        <v>0</v>
      </c>
    </row>
    <row r="2255" spans="1:12">
      <c r="A2255" s="12"/>
      <c r="E2255" s="14"/>
      <c r="F2255" s="14"/>
      <c r="G2255" s="13">
        <v>0</v>
      </c>
      <c r="H2255" s="13">
        <v>0</v>
      </c>
      <c r="I2255" s="13"/>
      <c r="J2255" s="13"/>
      <c r="K2255" s="13"/>
      <c r="L2255" s="15">
        <v>0</v>
      </c>
    </row>
    <row r="2256" spans="1:12">
      <c r="A2256" s="12"/>
      <c r="E2256" s="14"/>
      <c r="F2256" s="14"/>
      <c r="G2256" s="13">
        <v>0</v>
      </c>
      <c r="H2256" s="13">
        <v>0</v>
      </c>
      <c r="I2256" s="13"/>
      <c r="J2256" s="13"/>
      <c r="K2256" s="13"/>
      <c r="L2256" s="15">
        <v>0</v>
      </c>
    </row>
    <row r="2257" spans="1:12">
      <c r="A2257" s="12"/>
      <c r="E2257" s="14"/>
      <c r="F2257" s="14"/>
      <c r="G2257" s="13">
        <v>0</v>
      </c>
      <c r="H2257" s="13">
        <v>0</v>
      </c>
      <c r="I2257" s="13"/>
      <c r="J2257" s="13"/>
      <c r="K2257" s="13"/>
      <c r="L2257" s="15">
        <v>0</v>
      </c>
    </row>
    <row r="2258" spans="1:12">
      <c r="A2258" s="12"/>
      <c r="E2258" s="14"/>
      <c r="F2258" s="14"/>
      <c r="G2258" s="13">
        <v>0</v>
      </c>
      <c r="H2258" s="13">
        <v>0</v>
      </c>
      <c r="I2258" s="13"/>
      <c r="J2258" s="13"/>
      <c r="K2258" s="13"/>
      <c r="L2258" s="15">
        <v>0</v>
      </c>
    </row>
    <row r="2259" spans="1:12">
      <c r="A2259" s="12"/>
      <c r="E2259" s="14"/>
      <c r="F2259" s="14"/>
      <c r="G2259" s="13">
        <v>0</v>
      </c>
      <c r="H2259" s="13">
        <v>0</v>
      </c>
      <c r="I2259" s="13"/>
      <c r="J2259" s="13"/>
      <c r="K2259" s="13"/>
      <c r="L2259" s="15">
        <v>0</v>
      </c>
    </row>
    <row r="2260" spans="1:12">
      <c r="A2260" s="12"/>
      <c r="E2260" s="14"/>
      <c r="F2260" s="14"/>
      <c r="G2260" s="13">
        <v>0</v>
      </c>
      <c r="H2260" s="13">
        <v>0</v>
      </c>
      <c r="I2260" s="13"/>
      <c r="J2260" s="13"/>
      <c r="K2260" s="13"/>
      <c r="L2260" s="15">
        <v>0</v>
      </c>
    </row>
    <row r="2261" spans="1:12">
      <c r="A2261" s="12"/>
      <c r="E2261" s="14"/>
      <c r="F2261" s="14"/>
      <c r="G2261" s="13">
        <v>0</v>
      </c>
      <c r="H2261" s="13">
        <v>0</v>
      </c>
      <c r="I2261" s="13"/>
      <c r="J2261" s="13"/>
      <c r="K2261" s="13"/>
      <c r="L2261" s="15">
        <v>0</v>
      </c>
    </row>
    <row r="2262" spans="1:12">
      <c r="A2262" s="12"/>
      <c r="E2262" s="14"/>
      <c r="F2262" s="14"/>
      <c r="G2262" s="13">
        <v>0</v>
      </c>
      <c r="H2262" s="13">
        <v>0</v>
      </c>
      <c r="I2262" s="13"/>
      <c r="J2262" s="13"/>
      <c r="K2262" s="13"/>
      <c r="L2262" s="15">
        <v>0</v>
      </c>
    </row>
    <row r="2263" spans="1:12">
      <c r="A2263" s="12"/>
      <c r="E2263" s="14"/>
      <c r="F2263" s="14"/>
      <c r="G2263" s="13">
        <v>0</v>
      </c>
      <c r="H2263" s="13">
        <v>0</v>
      </c>
      <c r="I2263" s="13"/>
      <c r="J2263" s="13"/>
      <c r="K2263" s="13"/>
      <c r="L2263" s="15">
        <v>0</v>
      </c>
    </row>
    <row r="2264" spans="1:12">
      <c r="A2264" s="12"/>
      <c r="E2264" s="14"/>
      <c r="F2264" s="14"/>
      <c r="G2264" s="13">
        <v>0</v>
      </c>
      <c r="H2264" s="13">
        <v>0</v>
      </c>
      <c r="I2264" s="13"/>
      <c r="J2264" s="13"/>
      <c r="K2264" s="13"/>
      <c r="L2264" s="15">
        <v>0</v>
      </c>
    </row>
    <row r="2265" spans="1:12">
      <c r="A2265" s="12"/>
      <c r="E2265" s="14"/>
      <c r="F2265" s="14"/>
      <c r="G2265" s="13">
        <v>0</v>
      </c>
      <c r="H2265" s="13">
        <v>0</v>
      </c>
      <c r="I2265" s="13"/>
      <c r="J2265" s="13"/>
      <c r="K2265" s="13"/>
      <c r="L2265" s="15">
        <v>0</v>
      </c>
    </row>
    <row r="2266" spans="1:12">
      <c r="A2266" s="12"/>
      <c r="E2266" s="14"/>
      <c r="F2266" s="14"/>
      <c r="G2266" s="13">
        <v>0</v>
      </c>
      <c r="H2266" s="13">
        <v>0</v>
      </c>
      <c r="I2266" s="13"/>
      <c r="J2266" s="13"/>
      <c r="K2266" s="13"/>
      <c r="L2266" s="15">
        <v>0</v>
      </c>
    </row>
    <row r="2267" spans="1:12">
      <c r="A2267" s="12"/>
      <c r="E2267" s="14"/>
      <c r="F2267" s="14"/>
      <c r="G2267" s="13">
        <v>0</v>
      </c>
      <c r="H2267" s="13">
        <v>0</v>
      </c>
      <c r="I2267" s="13"/>
      <c r="J2267" s="13"/>
      <c r="K2267" s="13"/>
      <c r="L2267" s="15">
        <v>0</v>
      </c>
    </row>
    <row r="2268" spans="1:12">
      <c r="A2268" s="12"/>
      <c r="E2268" s="14"/>
      <c r="F2268" s="14"/>
      <c r="G2268" s="13">
        <v>0</v>
      </c>
      <c r="H2268" s="13">
        <v>0</v>
      </c>
      <c r="I2268" s="13"/>
      <c r="J2268" s="13"/>
      <c r="K2268" s="13"/>
      <c r="L2268" s="15">
        <v>0</v>
      </c>
    </row>
    <row r="2269" spans="1:12">
      <c r="A2269" s="12"/>
      <c r="E2269" s="14"/>
      <c r="F2269" s="14"/>
      <c r="G2269" s="13">
        <v>0</v>
      </c>
      <c r="H2269" s="13">
        <v>0</v>
      </c>
      <c r="I2269" s="13"/>
      <c r="J2269" s="13"/>
      <c r="K2269" s="13"/>
      <c r="L2269" s="15">
        <v>0</v>
      </c>
    </row>
    <row r="2270" spans="1:12">
      <c r="A2270" s="12"/>
      <c r="E2270" s="14"/>
      <c r="F2270" s="14"/>
      <c r="G2270" s="13">
        <v>0</v>
      </c>
      <c r="H2270" s="13">
        <v>0</v>
      </c>
      <c r="I2270" s="13"/>
      <c r="J2270" s="13"/>
      <c r="K2270" s="13"/>
      <c r="L2270" s="15">
        <v>0</v>
      </c>
    </row>
    <row r="2271" spans="1:12">
      <c r="A2271" s="12"/>
      <c r="E2271" s="14"/>
      <c r="F2271" s="14"/>
      <c r="G2271" s="13">
        <v>0</v>
      </c>
      <c r="H2271" s="13">
        <v>0</v>
      </c>
      <c r="I2271" s="13"/>
      <c r="J2271" s="13"/>
      <c r="K2271" s="13"/>
      <c r="L2271" s="15">
        <v>0</v>
      </c>
    </row>
    <row r="2272" spans="1:12">
      <c r="A2272" s="12"/>
      <c r="E2272" s="14"/>
      <c r="F2272" s="14"/>
      <c r="G2272" s="13">
        <v>0</v>
      </c>
      <c r="H2272" s="13">
        <v>0</v>
      </c>
      <c r="I2272" s="13"/>
      <c r="J2272" s="13"/>
      <c r="K2272" s="13"/>
      <c r="L2272" s="15">
        <v>0</v>
      </c>
    </row>
    <row r="2273" spans="1:12">
      <c r="A2273" s="12"/>
      <c r="E2273" s="14"/>
      <c r="F2273" s="14"/>
      <c r="G2273" s="13">
        <v>0</v>
      </c>
      <c r="H2273" s="13">
        <v>0</v>
      </c>
      <c r="I2273" s="13"/>
      <c r="J2273" s="13"/>
      <c r="K2273" s="13"/>
      <c r="L2273" s="15">
        <v>0</v>
      </c>
    </row>
    <row r="2274" spans="1:12">
      <c r="A2274" s="12"/>
      <c r="E2274" s="14"/>
      <c r="F2274" s="14"/>
      <c r="G2274" s="13">
        <v>0</v>
      </c>
      <c r="H2274" s="13">
        <v>0</v>
      </c>
      <c r="I2274" s="13"/>
      <c r="J2274" s="13"/>
      <c r="K2274" s="13"/>
      <c r="L2274" s="15">
        <v>0</v>
      </c>
    </row>
    <row r="2275" spans="1:12">
      <c r="A2275" s="12"/>
      <c r="E2275" s="14"/>
      <c r="F2275" s="14"/>
      <c r="G2275" s="13">
        <v>0</v>
      </c>
      <c r="H2275" s="13">
        <v>0</v>
      </c>
      <c r="I2275" s="13"/>
      <c r="J2275" s="13"/>
      <c r="K2275" s="13"/>
      <c r="L2275" s="15">
        <v>0</v>
      </c>
    </row>
    <row r="2276" spans="1:12">
      <c r="A2276" s="12"/>
      <c r="E2276" s="14"/>
      <c r="F2276" s="14"/>
      <c r="G2276" s="13">
        <v>0</v>
      </c>
      <c r="H2276" s="13">
        <v>0</v>
      </c>
      <c r="I2276" s="13"/>
      <c r="J2276" s="13"/>
      <c r="K2276" s="13"/>
      <c r="L2276" s="15">
        <v>0</v>
      </c>
    </row>
    <row r="2277" spans="1:12">
      <c r="A2277" s="12"/>
      <c r="E2277" s="14"/>
      <c r="F2277" s="14"/>
      <c r="G2277" s="13">
        <v>0</v>
      </c>
      <c r="H2277" s="13">
        <v>0</v>
      </c>
      <c r="I2277" s="13"/>
      <c r="J2277" s="13"/>
      <c r="K2277" s="13"/>
      <c r="L2277" s="15">
        <v>0</v>
      </c>
    </row>
    <row r="2278" spans="1:12">
      <c r="A2278" s="12"/>
      <c r="E2278" s="14"/>
      <c r="F2278" s="14"/>
      <c r="G2278" s="13">
        <v>0</v>
      </c>
      <c r="H2278" s="13">
        <v>0</v>
      </c>
      <c r="I2278" s="13"/>
      <c r="J2278" s="13"/>
      <c r="K2278" s="13"/>
      <c r="L2278" s="15">
        <v>0</v>
      </c>
    </row>
    <row r="2279" spans="1:12">
      <c r="A2279" s="12"/>
      <c r="E2279" s="14"/>
      <c r="F2279" s="14"/>
      <c r="G2279" s="13">
        <v>0</v>
      </c>
      <c r="H2279" s="13">
        <v>0</v>
      </c>
      <c r="I2279" s="13"/>
      <c r="J2279" s="13"/>
      <c r="K2279" s="13"/>
      <c r="L2279" s="15">
        <v>0</v>
      </c>
    </row>
    <row r="2280" spans="1:12">
      <c r="A2280" s="12"/>
      <c r="E2280" s="14"/>
      <c r="F2280" s="14"/>
      <c r="G2280" s="13">
        <v>0</v>
      </c>
      <c r="H2280" s="13">
        <v>0</v>
      </c>
      <c r="I2280" s="13"/>
      <c r="J2280" s="13"/>
      <c r="K2280" s="13"/>
      <c r="L2280" s="15">
        <v>0</v>
      </c>
    </row>
    <row r="2281" spans="1:12">
      <c r="A2281" s="12"/>
      <c r="E2281" s="14"/>
      <c r="F2281" s="14"/>
      <c r="G2281" s="13">
        <v>0</v>
      </c>
      <c r="H2281" s="13">
        <v>0</v>
      </c>
      <c r="I2281" s="13"/>
      <c r="J2281" s="13"/>
      <c r="K2281" s="13"/>
      <c r="L2281" s="15">
        <v>0</v>
      </c>
    </row>
    <row r="2282" spans="1:12">
      <c r="A2282" s="12"/>
      <c r="E2282" s="14"/>
      <c r="F2282" s="14"/>
      <c r="G2282" s="13">
        <v>0</v>
      </c>
      <c r="H2282" s="13">
        <v>0</v>
      </c>
      <c r="I2282" s="13"/>
      <c r="J2282" s="13"/>
      <c r="K2282" s="13"/>
      <c r="L2282" s="15">
        <v>0</v>
      </c>
    </row>
    <row r="2283" spans="1:12">
      <c r="A2283" s="12"/>
      <c r="E2283" s="14"/>
      <c r="F2283" s="14"/>
      <c r="G2283" s="13">
        <v>0</v>
      </c>
      <c r="H2283" s="13">
        <v>0</v>
      </c>
      <c r="I2283" s="13"/>
      <c r="J2283" s="13"/>
      <c r="K2283" s="13"/>
      <c r="L2283" s="15">
        <v>0</v>
      </c>
    </row>
    <row r="2284" spans="1:12">
      <c r="A2284" s="12"/>
      <c r="E2284" s="14"/>
      <c r="F2284" s="14"/>
      <c r="G2284" s="13">
        <v>0</v>
      </c>
      <c r="H2284" s="13">
        <v>0</v>
      </c>
      <c r="I2284" s="13"/>
      <c r="J2284" s="13"/>
      <c r="K2284" s="13"/>
      <c r="L2284" s="15">
        <v>0</v>
      </c>
    </row>
    <row r="2285" spans="1:12">
      <c r="A2285" s="12"/>
      <c r="E2285" s="14"/>
      <c r="F2285" s="14"/>
      <c r="G2285" s="13">
        <v>0</v>
      </c>
      <c r="H2285" s="13">
        <v>0</v>
      </c>
      <c r="I2285" s="13"/>
      <c r="J2285" s="13"/>
      <c r="K2285" s="13"/>
      <c r="L2285" s="15">
        <v>0</v>
      </c>
    </row>
    <row r="2286" spans="1:12">
      <c r="A2286" s="12"/>
      <c r="E2286" s="14"/>
      <c r="F2286" s="14"/>
      <c r="G2286" s="13">
        <v>0</v>
      </c>
      <c r="H2286" s="13">
        <v>0</v>
      </c>
      <c r="I2286" s="13"/>
      <c r="J2286" s="13"/>
      <c r="K2286" s="13"/>
      <c r="L2286" s="15">
        <v>0</v>
      </c>
    </row>
    <row r="2287" spans="1:12">
      <c r="A2287" s="12"/>
      <c r="E2287" s="14"/>
      <c r="F2287" s="14"/>
      <c r="G2287" s="13">
        <v>0</v>
      </c>
      <c r="H2287" s="13">
        <v>0</v>
      </c>
      <c r="I2287" s="13"/>
      <c r="J2287" s="13"/>
      <c r="K2287" s="13"/>
      <c r="L2287" s="15">
        <v>0</v>
      </c>
    </row>
    <row r="2288" spans="1:12">
      <c r="A2288" s="12"/>
      <c r="E2288" s="14"/>
      <c r="F2288" s="14"/>
      <c r="G2288" s="13">
        <v>0</v>
      </c>
      <c r="H2288" s="13">
        <v>0</v>
      </c>
      <c r="I2288" s="13"/>
      <c r="J2288" s="13"/>
      <c r="K2288" s="13"/>
      <c r="L2288" s="15">
        <v>0</v>
      </c>
    </row>
    <row r="2289" spans="1:12">
      <c r="A2289" s="12"/>
      <c r="E2289" s="14"/>
      <c r="F2289" s="14"/>
      <c r="G2289" s="13">
        <v>0</v>
      </c>
      <c r="H2289" s="13">
        <v>0</v>
      </c>
      <c r="I2289" s="13"/>
      <c r="J2289" s="13"/>
      <c r="K2289" s="13"/>
      <c r="L2289" s="15">
        <v>0</v>
      </c>
    </row>
    <row r="2290" spans="1:12">
      <c r="A2290" s="12"/>
      <c r="E2290" s="14"/>
      <c r="F2290" s="14"/>
      <c r="G2290" s="13">
        <v>0</v>
      </c>
      <c r="H2290" s="13">
        <v>0</v>
      </c>
      <c r="I2290" s="13"/>
      <c r="J2290" s="13"/>
      <c r="K2290" s="13"/>
      <c r="L2290" s="15">
        <v>0</v>
      </c>
    </row>
    <row r="2291" spans="1:12">
      <c r="A2291" s="12"/>
      <c r="E2291" s="14"/>
      <c r="F2291" s="14"/>
      <c r="G2291" s="13">
        <v>0</v>
      </c>
      <c r="H2291" s="13">
        <v>0</v>
      </c>
      <c r="I2291" s="13"/>
      <c r="J2291" s="13"/>
      <c r="K2291" s="13"/>
      <c r="L2291" s="15">
        <v>0</v>
      </c>
    </row>
    <row r="2292" spans="1:12">
      <c r="A2292" s="12"/>
      <c r="E2292" s="14"/>
      <c r="F2292" s="14"/>
      <c r="G2292" s="13">
        <v>0</v>
      </c>
      <c r="H2292" s="13">
        <v>0</v>
      </c>
      <c r="I2292" s="13"/>
      <c r="J2292" s="13"/>
      <c r="K2292" s="13"/>
      <c r="L2292" s="15">
        <v>0</v>
      </c>
    </row>
    <row r="2293" spans="1:12">
      <c r="A2293" s="12"/>
      <c r="E2293" s="14"/>
      <c r="F2293" s="14"/>
      <c r="G2293" s="13">
        <v>0</v>
      </c>
      <c r="H2293" s="13">
        <v>0</v>
      </c>
      <c r="I2293" s="13"/>
      <c r="J2293" s="13"/>
      <c r="K2293" s="13"/>
      <c r="L2293" s="15">
        <v>0</v>
      </c>
    </row>
    <row r="2294" spans="1:12">
      <c r="A2294" s="12"/>
      <c r="E2294" s="14"/>
      <c r="F2294" s="14"/>
      <c r="G2294" s="13">
        <v>0</v>
      </c>
      <c r="H2294" s="13">
        <v>0</v>
      </c>
      <c r="I2294" s="13"/>
      <c r="J2294" s="13"/>
      <c r="K2294" s="13"/>
      <c r="L2294" s="15">
        <v>0</v>
      </c>
    </row>
    <row r="2295" spans="1:12">
      <c r="A2295" s="12"/>
      <c r="E2295" s="14"/>
      <c r="F2295" s="14"/>
      <c r="G2295" s="13">
        <v>0</v>
      </c>
      <c r="H2295" s="13">
        <v>0</v>
      </c>
      <c r="I2295" s="13"/>
      <c r="J2295" s="13"/>
      <c r="K2295" s="13"/>
      <c r="L2295" s="15">
        <v>0</v>
      </c>
    </row>
    <row r="2296" spans="1:12">
      <c r="A2296" s="12"/>
      <c r="E2296" s="14"/>
      <c r="F2296" s="14"/>
      <c r="G2296" s="13">
        <v>0</v>
      </c>
      <c r="H2296" s="13">
        <v>0</v>
      </c>
      <c r="I2296" s="13"/>
      <c r="J2296" s="13"/>
      <c r="K2296" s="13"/>
      <c r="L2296" s="15">
        <v>0</v>
      </c>
    </row>
    <row r="2297" spans="1:12">
      <c r="A2297" s="12"/>
      <c r="E2297" s="14"/>
      <c r="F2297" s="14"/>
      <c r="G2297" s="13">
        <v>0</v>
      </c>
      <c r="H2297" s="13">
        <v>0</v>
      </c>
      <c r="I2297" s="13"/>
      <c r="J2297" s="13"/>
      <c r="K2297" s="13"/>
      <c r="L2297" s="15">
        <v>0</v>
      </c>
    </row>
    <row r="2298" spans="1:12">
      <c r="A2298" s="12"/>
      <c r="E2298" s="14"/>
      <c r="F2298" s="14"/>
      <c r="G2298" s="13">
        <v>0</v>
      </c>
      <c r="H2298" s="13">
        <v>0</v>
      </c>
      <c r="I2298" s="13"/>
      <c r="J2298" s="13"/>
      <c r="K2298" s="13"/>
      <c r="L2298" s="15">
        <v>0</v>
      </c>
    </row>
    <row r="2299" spans="1:12">
      <c r="A2299" s="12"/>
      <c r="E2299" s="14"/>
      <c r="F2299" s="14"/>
      <c r="G2299" s="13">
        <v>0</v>
      </c>
      <c r="H2299" s="13">
        <v>0</v>
      </c>
      <c r="I2299" s="13"/>
      <c r="J2299" s="13"/>
      <c r="K2299" s="13"/>
      <c r="L2299" s="15">
        <v>0</v>
      </c>
    </row>
    <row r="2300" spans="1:12">
      <c r="A2300" s="12"/>
      <c r="E2300" s="14"/>
      <c r="F2300" s="14"/>
      <c r="G2300" s="13">
        <v>0</v>
      </c>
      <c r="H2300" s="13">
        <v>0</v>
      </c>
      <c r="I2300" s="13"/>
      <c r="J2300" s="13"/>
      <c r="K2300" s="13"/>
      <c r="L2300" s="15">
        <v>0</v>
      </c>
    </row>
    <row r="2301" spans="1:12">
      <c r="A2301" s="12"/>
      <c r="E2301" s="14"/>
      <c r="F2301" s="14"/>
      <c r="G2301" s="13">
        <v>0</v>
      </c>
      <c r="H2301" s="13">
        <v>0</v>
      </c>
      <c r="I2301" s="13"/>
      <c r="J2301" s="13"/>
      <c r="K2301" s="13"/>
      <c r="L2301" s="15">
        <v>0</v>
      </c>
    </row>
    <row r="2302" spans="1:12">
      <c r="A2302" s="12"/>
      <c r="E2302" s="14"/>
      <c r="F2302" s="14"/>
      <c r="G2302" s="13">
        <v>0</v>
      </c>
      <c r="H2302" s="13">
        <v>0</v>
      </c>
      <c r="I2302" s="13"/>
      <c r="J2302" s="13"/>
      <c r="K2302" s="13"/>
      <c r="L2302" s="15">
        <v>0</v>
      </c>
    </row>
    <row r="2303" spans="1:12">
      <c r="A2303" s="12"/>
      <c r="E2303" s="14"/>
      <c r="F2303" s="14"/>
      <c r="G2303" s="13">
        <v>0</v>
      </c>
      <c r="H2303" s="13">
        <v>0</v>
      </c>
      <c r="I2303" s="13"/>
      <c r="J2303" s="13"/>
      <c r="K2303" s="13"/>
      <c r="L2303" s="15">
        <v>0</v>
      </c>
    </row>
    <row r="2304" spans="1:12">
      <c r="A2304" s="12"/>
      <c r="E2304" s="14"/>
      <c r="F2304" s="14"/>
      <c r="G2304" s="13">
        <v>0</v>
      </c>
      <c r="H2304" s="13">
        <v>0</v>
      </c>
      <c r="I2304" s="13"/>
      <c r="J2304" s="13"/>
      <c r="K2304" s="13"/>
      <c r="L2304" s="15">
        <v>0</v>
      </c>
    </row>
    <row r="2305" spans="1:12">
      <c r="A2305" s="12"/>
      <c r="E2305" s="14"/>
      <c r="F2305" s="14"/>
      <c r="G2305" s="13">
        <v>0</v>
      </c>
      <c r="H2305" s="13">
        <v>0</v>
      </c>
      <c r="I2305" s="13"/>
      <c r="J2305" s="13"/>
      <c r="K2305" s="13"/>
      <c r="L2305" s="15">
        <v>0</v>
      </c>
    </row>
    <row r="2306" spans="1:12">
      <c r="A2306" s="12"/>
      <c r="E2306" s="14"/>
      <c r="F2306" s="14"/>
      <c r="G2306" s="13">
        <v>0</v>
      </c>
      <c r="H2306" s="13">
        <v>0</v>
      </c>
      <c r="I2306" s="13"/>
      <c r="J2306" s="13"/>
      <c r="K2306" s="13"/>
      <c r="L2306" s="15">
        <v>0</v>
      </c>
    </row>
    <row r="2307" spans="1:12">
      <c r="A2307" s="12"/>
      <c r="E2307" s="14"/>
      <c r="F2307" s="14"/>
      <c r="G2307" s="13">
        <v>0</v>
      </c>
      <c r="H2307" s="13">
        <v>0</v>
      </c>
      <c r="I2307" s="13"/>
      <c r="J2307" s="13"/>
      <c r="K2307" s="13"/>
      <c r="L2307" s="15">
        <v>0</v>
      </c>
    </row>
    <row r="2308" spans="1:12">
      <c r="A2308" s="12"/>
      <c r="E2308" s="14"/>
      <c r="F2308" s="14"/>
      <c r="G2308" s="13">
        <v>0</v>
      </c>
      <c r="H2308" s="13">
        <v>0</v>
      </c>
      <c r="I2308" s="13"/>
      <c r="J2308" s="13"/>
      <c r="K2308" s="13"/>
      <c r="L2308" s="15">
        <v>0</v>
      </c>
    </row>
    <row r="2309" spans="1:12">
      <c r="A2309" s="12"/>
      <c r="E2309" s="14"/>
      <c r="F2309" s="14"/>
      <c r="G2309" s="13">
        <v>0</v>
      </c>
      <c r="H2309" s="13">
        <v>0</v>
      </c>
      <c r="I2309" s="13"/>
      <c r="J2309" s="13"/>
      <c r="K2309" s="13"/>
      <c r="L2309" s="15">
        <v>0</v>
      </c>
    </row>
    <row r="2310" spans="1:12">
      <c r="A2310" s="12"/>
      <c r="E2310" s="14"/>
      <c r="F2310" s="14"/>
      <c r="G2310" s="13">
        <v>0</v>
      </c>
      <c r="H2310" s="13">
        <v>0</v>
      </c>
      <c r="I2310" s="13"/>
      <c r="J2310" s="13"/>
      <c r="K2310" s="13"/>
      <c r="L2310" s="15">
        <v>0</v>
      </c>
    </row>
    <row r="2311" spans="1:12">
      <c r="A2311" s="12"/>
      <c r="E2311" s="14"/>
      <c r="F2311" s="14"/>
      <c r="G2311" s="13">
        <v>0</v>
      </c>
      <c r="H2311" s="13">
        <v>0</v>
      </c>
      <c r="I2311" s="13"/>
      <c r="J2311" s="13"/>
      <c r="K2311" s="13"/>
      <c r="L2311" s="15">
        <v>0</v>
      </c>
    </row>
    <row r="2312" spans="1:12">
      <c r="A2312" s="12"/>
      <c r="E2312" s="14"/>
      <c r="F2312" s="14"/>
      <c r="G2312" s="13">
        <v>0</v>
      </c>
      <c r="H2312" s="13">
        <v>0</v>
      </c>
      <c r="I2312" s="13"/>
      <c r="J2312" s="13"/>
      <c r="K2312" s="13"/>
      <c r="L2312" s="15">
        <v>0</v>
      </c>
    </row>
    <row r="2313" spans="1:12">
      <c r="A2313" s="12"/>
      <c r="E2313" s="14"/>
      <c r="F2313" s="14"/>
      <c r="G2313" s="13">
        <v>0</v>
      </c>
      <c r="H2313" s="13">
        <v>0</v>
      </c>
      <c r="I2313" s="13"/>
      <c r="J2313" s="13"/>
      <c r="K2313" s="13"/>
      <c r="L2313" s="15">
        <v>0</v>
      </c>
    </row>
    <row r="2314" spans="1:12">
      <c r="A2314" s="12"/>
      <c r="E2314" s="14"/>
      <c r="F2314" s="14"/>
      <c r="G2314" s="13">
        <v>0</v>
      </c>
      <c r="H2314" s="13">
        <v>0</v>
      </c>
      <c r="I2314" s="13"/>
      <c r="J2314" s="13"/>
      <c r="K2314" s="13"/>
      <c r="L2314" s="15">
        <v>0</v>
      </c>
    </row>
    <row r="2315" spans="1:12">
      <c r="A2315" s="12"/>
      <c r="E2315" s="14"/>
      <c r="F2315" s="14"/>
      <c r="G2315" s="13">
        <v>0</v>
      </c>
      <c r="H2315" s="13">
        <v>0</v>
      </c>
      <c r="I2315" s="13"/>
      <c r="J2315" s="13"/>
      <c r="K2315" s="13"/>
      <c r="L2315" s="15">
        <v>0</v>
      </c>
    </row>
    <row r="2316" spans="1:12">
      <c r="A2316" s="12"/>
      <c r="E2316" s="14"/>
      <c r="F2316" s="14"/>
      <c r="G2316" s="13">
        <v>0</v>
      </c>
      <c r="H2316" s="13">
        <v>0</v>
      </c>
      <c r="I2316" s="13"/>
      <c r="J2316" s="13"/>
      <c r="K2316" s="13"/>
      <c r="L2316" s="15">
        <v>0</v>
      </c>
    </row>
    <row r="2317" spans="1:12">
      <c r="A2317" s="12"/>
      <c r="E2317" s="14"/>
      <c r="F2317" s="14"/>
      <c r="G2317" s="13">
        <v>0</v>
      </c>
      <c r="H2317" s="13">
        <v>0</v>
      </c>
      <c r="I2317" s="13"/>
      <c r="J2317" s="13"/>
      <c r="K2317" s="13"/>
      <c r="L2317" s="15">
        <v>0</v>
      </c>
    </row>
    <row r="2318" spans="1:12">
      <c r="A2318" s="12"/>
      <c r="E2318" s="14"/>
      <c r="F2318" s="14"/>
      <c r="G2318" s="13">
        <v>0</v>
      </c>
      <c r="H2318" s="13">
        <v>0</v>
      </c>
      <c r="I2318" s="13"/>
      <c r="J2318" s="13"/>
      <c r="K2318" s="13"/>
      <c r="L2318" s="15">
        <v>0</v>
      </c>
    </row>
    <row r="2319" spans="1:12">
      <c r="A2319" s="12"/>
      <c r="E2319" s="14"/>
      <c r="F2319" s="14"/>
      <c r="G2319" s="13">
        <v>0</v>
      </c>
      <c r="H2319" s="13">
        <v>0</v>
      </c>
      <c r="I2319" s="13"/>
      <c r="J2319" s="13"/>
      <c r="K2319" s="13"/>
      <c r="L2319" s="15">
        <v>0</v>
      </c>
    </row>
    <row r="2320" spans="1:12">
      <c r="A2320" s="12"/>
      <c r="E2320" s="14"/>
      <c r="F2320" s="14"/>
      <c r="G2320" s="13">
        <v>0</v>
      </c>
      <c r="H2320" s="13">
        <v>0</v>
      </c>
      <c r="I2320" s="13"/>
      <c r="J2320" s="13"/>
      <c r="K2320" s="13"/>
      <c r="L2320" s="15">
        <v>0</v>
      </c>
    </row>
    <row r="2321" spans="1:12">
      <c r="A2321" s="12"/>
      <c r="E2321" s="14"/>
      <c r="F2321" s="14"/>
      <c r="G2321" s="13">
        <v>0</v>
      </c>
      <c r="H2321" s="13">
        <v>0</v>
      </c>
      <c r="I2321" s="13"/>
      <c r="J2321" s="13"/>
      <c r="K2321" s="13"/>
      <c r="L2321" s="15">
        <v>0</v>
      </c>
    </row>
    <row r="2322" spans="1:12">
      <c r="A2322" s="12"/>
      <c r="E2322" s="14"/>
      <c r="F2322" s="14"/>
      <c r="G2322" s="13">
        <v>0</v>
      </c>
      <c r="H2322" s="13">
        <v>0</v>
      </c>
      <c r="I2322" s="13"/>
      <c r="J2322" s="13"/>
      <c r="K2322" s="13"/>
      <c r="L2322" s="15">
        <v>0</v>
      </c>
    </row>
    <row r="2323" spans="1:12">
      <c r="A2323" s="12"/>
      <c r="E2323" s="14"/>
      <c r="F2323" s="14"/>
      <c r="G2323" s="13">
        <v>0</v>
      </c>
      <c r="H2323" s="13">
        <v>0</v>
      </c>
      <c r="I2323" s="13"/>
      <c r="J2323" s="13"/>
      <c r="K2323" s="13"/>
      <c r="L2323" s="15">
        <v>0</v>
      </c>
    </row>
    <row r="2324" spans="1:12">
      <c r="A2324" s="12"/>
      <c r="E2324" s="14"/>
      <c r="F2324" s="14"/>
      <c r="G2324" s="13">
        <v>0</v>
      </c>
      <c r="H2324" s="13">
        <v>0</v>
      </c>
      <c r="I2324" s="13"/>
      <c r="J2324" s="13"/>
      <c r="K2324" s="13"/>
      <c r="L2324" s="15">
        <v>0</v>
      </c>
    </row>
    <row r="2325" spans="1:12">
      <c r="A2325" s="12"/>
      <c r="E2325" s="14"/>
      <c r="F2325" s="14"/>
      <c r="G2325" s="13">
        <v>0</v>
      </c>
      <c r="H2325" s="13">
        <v>0</v>
      </c>
      <c r="I2325" s="13"/>
      <c r="J2325" s="13"/>
      <c r="K2325" s="13"/>
      <c r="L2325" s="15">
        <v>0</v>
      </c>
    </row>
    <row r="2326" spans="1:12">
      <c r="A2326" s="12"/>
      <c r="E2326" s="14"/>
      <c r="F2326" s="14"/>
      <c r="G2326" s="13">
        <v>0</v>
      </c>
      <c r="H2326" s="13">
        <v>0</v>
      </c>
      <c r="I2326" s="13"/>
      <c r="J2326" s="13"/>
      <c r="K2326" s="13"/>
      <c r="L2326" s="15">
        <v>0</v>
      </c>
    </row>
    <row r="2327" spans="1:12">
      <c r="A2327" s="12"/>
      <c r="E2327" s="14"/>
      <c r="F2327" s="14"/>
      <c r="G2327" s="13">
        <v>0</v>
      </c>
      <c r="H2327" s="13">
        <v>0</v>
      </c>
      <c r="I2327" s="13"/>
      <c r="J2327" s="13"/>
      <c r="K2327" s="13"/>
      <c r="L2327" s="15">
        <v>0</v>
      </c>
    </row>
    <row r="2328" spans="1:12">
      <c r="A2328" s="12"/>
      <c r="E2328" s="14"/>
      <c r="F2328" s="14"/>
      <c r="G2328" s="13">
        <v>0</v>
      </c>
      <c r="H2328" s="13">
        <v>0</v>
      </c>
      <c r="I2328" s="13"/>
      <c r="J2328" s="13"/>
      <c r="K2328" s="13"/>
      <c r="L2328" s="15">
        <v>0</v>
      </c>
    </row>
    <row r="2329" spans="1:12">
      <c r="A2329" s="12"/>
      <c r="E2329" s="14"/>
      <c r="F2329" s="14"/>
      <c r="G2329" s="13">
        <v>0</v>
      </c>
      <c r="H2329" s="13">
        <v>0</v>
      </c>
      <c r="I2329" s="13"/>
      <c r="J2329" s="13"/>
      <c r="K2329" s="13"/>
      <c r="L2329" s="15">
        <v>0</v>
      </c>
    </row>
    <row r="2330" spans="1:12">
      <c r="A2330" s="12"/>
      <c r="E2330" s="14"/>
      <c r="F2330" s="14"/>
      <c r="G2330" s="13">
        <v>0</v>
      </c>
      <c r="H2330" s="13">
        <v>0</v>
      </c>
      <c r="I2330" s="13"/>
      <c r="J2330" s="13"/>
      <c r="K2330" s="13"/>
      <c r="L2330" s="15">
        <v>0</v>
      </c>
    </row>
    <row r="2331" spans="1:12">
      <c r="A2331" s="12"/>
      <c r="E2331" s="14"/>
      <c r="F2331" s="14"/>
      <c r="G2331" s="13">
        <v>0</v>
      </c>
      <c r="H2331" s="13">
        <v>0</v>
      </c>
      <c r="I2331" s="13"/>
      <c r="J2331" s="13"/>
      <c r="K2331" s="13"/>
      <c r="L2331" s="15">
        <v>0</v>
      </c>
    </row>
    <row r="2332" spans="1:12">
      <c r="A2332" s="12"/>
      <c r="E2332" s="14"/>
      <c r="F2332" s="14"/>
      <c r="G2332" s="13">
        <v>0</v>
      </c>
      <c r="H2332" s="13">
        <v>0</v>
      </c>
      <c r="I2332" s="13"/>
      <c r="J2332" s="13"/>
      <c r="K2332" s="13"/>
      <c r="L2332" s="15">
        <v>0</v>
      </c>
    </row>
    <row r="2333" spans="1:12">
      <c r="A2333" s="12"/>
      <c r="E2333" s="14"/>
      <c r="F2333" s="14"/>
      <c r="G2333" s="13">
        <v>0</v>
      </c>
      <c r="H2333" s="13">
        <v>0</v>
      </c>
      <c r="I2333" s="13"/>
      <c r="J2333" s="13"/>
      <c r="K2333" s="13"/>
      <c r="L2333" s="15">
        <v>0</v>
      </c>
    </row>
    <row r="2334" spans="1:12">
      <c r="A2334" s="12"/>
      <c r="E2334" s="14"/>
      <c r="F2334" s="14"/>
      <c r="G2334" s="13">
        <v>0</v>
      </c>
      <c r="H2334" s="13">
        <v>0</v>
      </c>
      <c r="I2334" s="13"/>
      <c r="J2334" s="13"/>
      <c r="K2334" s="13"/>
      <c r="L2334" s="15">
        <v>0</v>
      </c>
    </row>
    <row r="2335" spans="1:12">
      <c r="A2335" s="12"/>
      <c r="E2335" s="14"/>
      <c r="F2335" s="14"/>
      <c r="G2335" s="13">
        <v>0</v>
      </c>
      <c r="H2335" s="13">
        <v>0</v>
      </c>
      <c r="I2335" s="13"/>
      <c r="J2335" s="13"/>
      <c r="K2335" s="13"/>
      <c r="L2335" s="15">
        <v>0</v>
      </c>
    </row>
    <row r="2336" spans="1:12">
      <c r="A2336" s="12"/>
      <c r="E2336" s="14"/>
      <c r="F2336" s="14"/>
      <c r="G2336" s="13">
        <v>0</v>
      </c>
      <c r="H2336" s="13">
        <v>0</v>
      </c>
      <c r="I2336" s="13"/>
      <c r="J2336" s="13"/>
      <c r="K2336" s="13"/>
      <c r="L2336" s="15">
        <v>0</v>
      </c>
    </row>
    <row r="2337" spans="1:12">
      <c r="A2337" s="12"/>
      <c r="E2337" s="14"/>
      <c r="F2337" s="14"/>
      <c r="G2337" s="13">
        <v>0</v>
      </c>
      <c r="H2337" s="13">
        <v>0</v>
      </c>
      <c r="I2337" s="13"/>
      <c r="J2337" s="13"/>
      <c r="K2337" s="13"/>
      <c r="L2337" s="15">
        <v>0</v>
      </c>
    </row>
    <row r="2338" spans="1:12">
      <c r="A2338" s="12"/>
      <c r="E2338" s="14"/>
      <c r="F2338" s="14"/>
      <c r="G2338" s="13">
        <v>0</v>
      </c>
      <c r="H2338" s="13">
        <v>0</v>
      </c>
      <c r="I2338" s="13"/>
      <c r="J2338" s="13"/>
      <c r="K2338" s="13"/>
      <c r="L2338" s="15">
        <v>0</v>
      </c>
    </row>
    <row r="2339" spans="1:12">
      <c r="A2339" s="12"/>
      <c r="E2339" s="14"/>
      <c r="F2339" s="14"/>
      <c r="G2339" s="13">
        <v>0</v>
      </c>
      <c r="H2339" s="13">
        <v>0</v>
      </c>
      <c r="I2339" s="13"/>
      <c r="J2339" s="13"/>
      <c r="K2339" s="13"/>
      <c r="L2339" s="15">
        <v>0</v>
      </c>
    </row>
    <row r="2340" spans="1:12">
      <c r="A2340" s="12"/>
      <c r="E2340" s="14"/>
      <c r="F2340" s="14"/>
      <c r="G2340" s="13">
        <v>0</v>
      </c>
      <c r="H2340" s="13">
        <v>0</v>
      </c>
      <c r="I2340" s="13"/>
      <c r="J2340" s="13"/>
      <c r="K2340" s="13"/>
      <c r="L2340" s="15">
        <v>0</v>
      </c>
    </row>
    <row r="2341" spans="1:12">
      <c r="A2341" s="12"/>
      <c r="E2341" s="14"/>
      <c r="F2341" s="14"/>
      <c r="G2341" s="13">
        <v>0</v>
      </c>
      <c r="H2341" s="13">
        <v>0</v>
      </c>
      <c r="I2341" s="13"/>
      <c r="J2341" s="13"/>
      <c r="K2341" s="13"/>
      <c r="L2341" s="15">
        <v>0</v>
      </c>
    </row>
    <row r="2342" spans="1:12">
      <c r="A2342" s="12"/>
      <c r="E2342" s="14"/>
      <c r="F2342" s="14"/>
      <c r="G2342" s="13">
        <v>0</v>
      </c>
      <c r="H2342" s="13">
        <v>0</v>
      </c>
      <c r="I2342" s="13"/>
      <c r="J2342" s="13"/>
      <c r="K2342" s="13"/>
      <c r="L2342" s="15">
        <v>0</v>
      </c>
    </row>
    <row r="2343" spans="1:12">
      <c r="A2343" s="12"/>
      <c r="E2343" s="14"/>
      <c r="F2343" s="14"/>
      <c r="G2343" s="13">
        <v>0</v>
      </c>
      <c r="H2343" s="13">
        <v>0</v>
      </c>
      <c r="I2343" s="13"/>
      <c r="J2343" s="13"/>
      <c r="K2343" s="13"/>
      <c r="L2343" s="15">
        <v>0</v>
      </c>
    </row>
    <row r="2344" spans="1:12">
      <c r="A2344" s="12"/>
      <c r="E2344" s="14"/>
      <c r="F2344" s="14"/>
      <c r="G2344" s="13">
        <v>0</v>
      </c>
      <c r="H2344" s="13">
        <v>0</v>
      </c>
      <c r="I2344" s="13"/>
      <c r="J2344" s="13"/>
      <c r="K2344" s="13"/>
      <c r="L2344" s="15">
        <v>0</v>
      </c>
    </row>
    <row r="2345" spans="1:12">
      <c r="A2345" s="12"/>
      <c r="E2345" s="14"/>
      <c r="F2345" s="14"/>
      <c r="G2345" s="13">
        <v>0</v>
      </c>
      <c r="H2345" s="13">
        <v>0</v>
      </c>
      <c r="I2345" s="13"/>
      <c r="J2345" s="13"/>
      <c r="K2345" s="13"/>
      <c r="L2345" s="15">
        <v>0</v>
      </c>
    </row>
    <row r="2346" spans="1:12">
      <c r="A2346" s="12"/>
      <c r="E2346" s="14"/>
      <c r="F2346" s="14"/>
      <c r="G2346" s="13">
        <v>0</v>
      </c>
      <c r="H2346" s="13">
        <v>0</v>
      </c>
      <c r="I2346" s="13"/>
      <c r="J2346" s="13"/>
      <c r="K2346" s="13"/>
      <c r="L2346" s="15">
        <v>0</v>
      </c>
    </row>
    <row r="2347" spans="1:12">
      <c r="A2347" s="12"/>
      <c r="E2347" s="14"/>
      <c r="F2347" s="14"/>
      <c r="G2347" s="13">
        <v>0</v>
      </c>
      <c r="H2347" s="13">
        <v>0</v>
      </c>
      <c r="I2347" s="13"/>
      <c r="J2347" s="13"/>
      <c r="K2347" s="13"/>
      <c r="L2347" s="15">
        <v>0</v>
      </c>
    </row>
    <row r="2348" spans="1:12">
      <c r="A2348" s="12"/>
      <c r="E2348" s="14"/>
      <c r="F2348" s="14"/>
      <c r="G2348" s="13">
        <v>0</v>
      </c>
      <c r="H2348" s="13">
        <v>0</v>
      </c>
      <c r="I2348" s="13"/>
      <c r="J2348" s="13"/>
      <c r="K2348" s="13"/>
      <c r="L2348" s="15">
        <v>0</v>
      </c>
    </row>
    <row r="2349" spans="1:12">
      <c r="A2349" s="12"/>
      <c r="E2349" s="14"/>
      <c r="F2349" s="14"/>
      <c r="G2349" s="13">
        <v>0</v>
      </c>
      <c r="H2349" s="13">
        <v>0</v>
      </c>
      <c r="I2349" s="13"/>
      <c r="J2349" s="13"/>
      <c r="K2349" s="13"/>
      <c r="L2349" s="15">
        <v>0</v>
      </c>
    </row>
    <row r="2350" spans="1:12">
      <c r="A2350" s="12"/>
      <c r="E2350" s="14"/>
      <c r="F2350" s="14"/>
      <c r="G2350" s="13">
        <v>0</v>
      </c>
      <c r="H2350" s="13">
        <v>0</v>
      </c>
      <c r="I2350" s="13"/>
      <c r="J2350" s="13"/>
      <c r="K2350" s="13"/>
      <c r="L2350" s="15">
        <v>0</v>
      </c>
    </row>
    <row r="2351" spans="1:12">
      <c r="A2351" s="12"/>
      <c r="E2351" s="14"/>
      <c r="F2351" s="14"/>
      <c r="G2351" s="13">
        <v>0</v>
      </c>
      <c r="H2351" s="13">
        <v>0</v>
      </c>
      <c r="I2351" s="13"/>
      <c r="J2351" s="13"/>
      <c r="K2351" s="13"/>
      <c r="L2351" s="15">
        <v>0</v>
      </c>
    </row>
    <row r="2352" spans="1:12">
      <c r="A2352" s="12"/>
      <c r="E2352" s="14"/>
      <c r="F2352" s="14"/>
      <c r="G2352" s="13">
        <v>0</v>
      </c>
      <c r="H2352" s="13">
        <v>0</v>
      </c>
      <c r="I2352" s="13"/>
      <c r="J2352" s="13"/>
      <c r="K2352" s="13"/>
      <c r="L2352" s="15">
        <v>0</v>
      </c>
    </row>
    <row r="2353" spans="1:12">
      <c r="A2353" s="12"/>
      <c r="E2353" s="14"/>
      <c r="F2353" s="14"/>
      <c r="G2353" s="13">
        <v>0</v>
      </c>
      <c r="H2353" s="13">
        <v>0</v>
      </c>
      <c r="I2353" s="13"/>
      <c r="J2353" s="13"/>
      <c r="K2353" s="13"/>
      <c r="L2353" s="15">
        <v>0</v>
      </c>
    </row>
    <row r="2354" spans="1:12">
      <c r="A2354" s="12"/>
      <c r="E2354" s="14"/>
      <c r="F2354" s="14"/>
      <c r="G2354" s="13">
        <v>0</v>
      </c>
      <c r="H2354" s="13">
        <v>0</v>
      </c>
      <c r="I2354" s="13"/>
      <c r="J2354" s="13"/>
      <c r="K2354" s="13"/>
      <c r="L2354" s="15">
        <v>0</v>
      </c>
    </row>
    <row r="2355" spans="1:12">
      <c r="A2355" s="12"/>
      <c r="E2355" s="14"/>
      <c r="F2355" s="14"/>
      <c r="G2355" s="13">
        <v>0</v>
      </c>
      <c r="H2355" s="13">
        <v>0</v>
      </c>
      <c r="I2355" s="13"/>
      <c r="J2355" s="13"/>
      <c r="K2355" s="13"/>
      <c r="L2355" s="15">
        <v>0</v>
      </c>
    </row>
    <row r="2356" spans="1:12">
      <c r="A2356" s="12"/>
      <c r="E2356" s="14"/>
      <c r="F2356" s="14"/>
      <c r="G2356" s="13">
        <v>0</v>
      </c>
      <c r="H2356" s="13">
        <v>0</v>
      </c>
      <c r="I2356" s="13"/>
      <c r="J2356" s="13"/>
      <c r="K2356" s="13"/>
      <c r="L2356" s="15">
        <v>0</v>
      </c>
    </row>
    <row r="2357" spans="1:12">
      <c r="A2357" s="12"/>
      <c r="E2357" s="14"/>
      <c r="F2357" s="14"/>
      <c r="G2357" s="13">
        <v>0</v>
      </c>
      <c r="H2357" s="13">
        <v>0</v>
      </c>
      <c r="I2357" s="13"/>
      <c r="J2357" s="13"/>
      <c r="K2357" s="13"/>
      <c r="L2357" s="15">
        <v>0</v>
      </c>
    </row>
    <row r="2358" spans="1:12">
      <c r="A2358" s="12"/>
      <c r="E2358" s="14"/>
      <c r="F2358" s="14"/>
      <c r="G2358" s="13">
        <v>0</v>
      </c>
      <c r="H2358" s="13">
        <v>0</v>
      </c>
      <c r="I2358" s="13"/>
      <c r="J2358" s="13"/>
      <c r="K2358" s="13"/>
      <c r="L2358" s="15">
        <v>0</v>
      </c>
    </row>
    <row r="2359" spans="1:12">
      <c r="A2359" s="12"/>
      <c r="E2359" s="14"/>
      <c r="F2359" s="14"/>
      <c r="G2359" s="13">
        <v>0</v>
      </c>
      <c r="H2359" s="13">
        <v>0</v>
      </c>
      <c r="I2359" s="13"/>
      <c r="J2359" s="13"/>
      <c r="K2359" s="13"/>
      <c r="L2359" s="15">
        <v>0</v>
      </c>
    </row>
    <row r="2360" spans="1:12">
      <c r="A2360" s="12"/>
      <c r="E2360" s="14"/>
      <c r="F2360" s="14"/>
      <c r="G2360" s="13">
        <v>0</v>
      </c>
      <c r="H2360" s="13">
        <v>0</v>
      </c>
      <c r="I2360" s="13"/>
      <c r="J2360" s="13"/>
      <c r="K2360" s="13"/>
      <c r="L2360" s="15">
        <v>0</v>
      </c>
    </row>
    <row r="2361" spans="1:12">
      <c r="A2361" s="12"/>
      <c r="E2361" s="14"/>
      <c r="F2361" s="14"/>
      <c r="G2361" s="13">
        <v>0</v>
      </c>
      <c r="H2361" s="13">
        <v>0</v>
      </c>
      <c r="I2361" s="13"/>
      <c r="J2361" s="13"/>
      <c r="K2361" s="13"/>
      <c r="L2361" s="15">
        <v>0</v>
      </c>
    </row>
    <row r="2362" spans="1:12">
      <c r="A2362" s="12"/>
      <c r="E2362" s="14"/>
      <c r="F2362" s="14"/>
      <c r="G2362" s="13">
        <v>0</v>
      </c>
      <c r="H2362" s="13">
        <v>0</v>
      </c>
      <c r="I2362" s="13"/>
      <c r="J2362" s="13"/>
      <c r="K2362" s="13"/>
      <c r="L2362" s="15">
        <v>0</v>
      </c>
    </row>
    <row r="2363" spans="1:12">
      <c r="A2363" s="12"/>
      <c r="E2363" s="14"/>
      <c r="F2363" s="14"/>
      <c r="G2363" s="13">
        <v>0</v>
      </c>
      <c r="H2363" s="13">
        <v>0</v>
      </c>
      <c r="I2363" s="13"/>
      <c r="J2363" s="13"/>
      <c r="K2363" s="13"/>
      <c r="L2363" s="15">
        <v>0</v>
      </c>
    </row>
    <row r="2364" spans="1:12">
      <c r="A2364" s="12"/>
      <c r="E2364" s="14"/>
      <c r="F2364" s="14"/>
      <c r="G2364" s="13">
        <v>0</v>
      </c>
      <c r="H2364" s="13">
        <v>0</v>
      </c>
      <c r="I2364" s="13"/>
      <c r="J2364" s="13"/>
      <c r="K2364" s="13"/>
      <c r="L2364" s="15">
        <v>0</v>
      </c>
    </row>
    <row r="2365" spans="1:12">
      <c r="A2365" s="12"/>
      <c r="E2365" s="14"/>
      <c r="F2365" s="14"/>
      <c r="G2365" s="13">
        <v>0</v>
      </c>
      <c r="H2365" s="13">
        <v>0</v>
      </c>
      <c r="I2365" s="13"/>
      <c r="J2365" s="13"/>
      <c r="K2365" s="13"/>
      <c r="L2365" s="15">
        <v>0</v>
      </c>
    </row>
    <row r="2366" spans="1:12">
      <c r="A2366" s="12"/>
      <c r="E2366" s="14"/>
      <c r="F2366" s="14"/>
      <c r="G2366" s="13">
        <v>0</v>
      </c>
      <c r="H2366" s="13">
        <v>0</v>
      </c>
      <c r="I2366" s="13"/>
      <c r="J2366" s="13"/>
      <c r="K2366" s="13"/>
      <c r="L2366" s="15">
        <v>0</v>
      </c>
    </row>
    <row r="2367" spans="1:12">
      <c r="A2367" s="12"/>
      <c r="E2367" s="14"/>
      <c r="F2367" s="14"/>
      <c r="G2367" s="13">
        <v>0</v>
      </c>
      <c r="H2367" s="13">
        <v>0</v>
      </c>
      <c r="I2367" s="13"/>
      <c r="J2367" s="13"/>
      <c r="K2367" s="13"/>
      <c r="L2367" s="15">
        <v>0</v>
      </c>
    </row>
    <row r="2368" spans="1:12">
      <c r="A2368" s="12"/>
      <c r="E2368" s="14"/>
      <c r="F2368" s="14"/>
      <c r="G2368" s="13">
        <v>0</v>
      </c>
      <c r="H2368" s="13">
        <v>0</v>
      </c>
      <c r="I2368" s="13"/>
      <c r="J2368" s="13"/>
      <c r="K2368" s="13"/>
      <c r="L2368" s="15">
        <v>0</v>
      </c>
    </row>
    <row r="2369" spans="1:12">
      <c r="A2369" s="12"/>
      <c r="E2369" s="14"/>
      <c r="F2369" s="14"/>
      <c r="G2369" s="13">
        <v>0</v>
      </c>
      <c r="H2369" s="13">
        <v>0</v>
      </c>
      <c r="I2369" s="13"/>
      <c r="J2369" s="13"/>
      <c r="K2369" s="13"/>
      <c r="L2369" s="15">
        <v>0</v>
      </c>
    </row>
    <row r="2370" spans="1:12">
      <c r="A2370" s="12"/>
      <c r="E2370" s="14"/>
      <c r="F2370" s="14"/>
      <c r="G2370" s="13">
        <v>0</v>
      </c>
      <c r="H2370" s="13">
        <v>0</v>
      </c>
      <c r="I2370" s="13"/>
      <c r="J2370" s="13"/>
      <c r="K2370" s="13"/>
      <c r="L2370" s="15">
        <v>0</v>
      </c>
    </row>
    <row r="2371" spans="1:12">
      <c r="A2371" s="12"/>
      <c r="E2371" s="14"/>
      <c r="F2371" s="14"/>
      <c r="G2371" s="13">
        <v>0</v>
      </c>
      <c r="H2371" s="13">
        <v>0</v>
      </c>
      <c r="I2371" s="13"/>
      <c r="J2371" s="13"/>
      <c r="K2371" s="13"/>
      <c r="L2371" s="15">
        <v>0</v>
      </c>
    </row>
    <row r="2372" spans="1:12">
      <c r="A2372" s="12"/>
      <c r="E2372" s="14"/>
      <c r="F2372" s="14"/>
      <c r="G2372" s="13">
        <v>0</v>
      </c>
      <c r="H2372" s="13">
        <v>0</v>
      </c>
      <c r="I2372" s="13"/>
      <c r="J2372" s="13"/>
      <c r="K2372" s="13"/>
      <c r="L2372" s="15">
        <v>0</v>
      </c>
    </row>
    <row r="2373" spans="1:12">
      <c r="A2373" s="12"/>
      <c r="E2373" s="14"/>
      <c r="F2373" s="14"/>
      <c r="G2373" s="13">
        <v>0</v>
      </c>
      <c r="H2373" s="13">
        <v>0</v>
      </c>
      <c r="I2373" s="13"/>
      <c r="J2373" s="13"/>
      <c r="K2373" s="13"/>
      <c r="L2373" s="15">
        <v>0</v>
      </c>
    </row>
    <row r="2374" spans="1:12">
      <c r="A2374" s="12"/>
      <c r="E2374" s="14"/>
      <c r="F2374" s="14"/>
      <c r="G2374" s="13">
        <v>0</v>
      </c>
      <c r="H2374" s="13">
        <v>0</v>
      </c>
      <c r="I2374" s="13"/>
      <c r="J2374" s="13"/>
      <c r="K2374" s="13"/>
      <c r="L2374" s="15">
        <v>0</v>
      </c>
    </row>
    <row r="2375" spans="1:12">
      <c r="A2375" s="12"/>
      <c r="E2375" s="14"/>
      <c r="F2375" s="14"/>
      <c r="G2375" s="13">
        <v>0</v>
      </c>
      <c r="H2375" s="13">
        <v>0</v>
      </c>
      <c r="I2375" s="13"/>
      <c r="J2375" s="13"/>
      <c r="K2375" s="13"/>
      <c r="L2375" s="15">
        <v>0</v>
      </c>
    </row>
    <row r="2376" spans="1:12">
      <c r="A2376" s="12"/>
      <c r="E2376" s="14"/>
      <c r="F2376" s="14"/>
      <c r="G2376" s="13">
        <v>0</v>
      </c>
      <c r="H2376" s="13">
        <v>0</v>
      </c>
      <c r="I2376" s="13"/>
      <c r="J2376" s="13"/>
      <c r="K2376" s="13"/>
      <c r="L2376" s="15">
        <v>0</v>
      </c>
    </row>
    <row r="2377" spans="1:12">
      <c r="A2377" s="12"/>
      <c r="E2377" s="14"/>
      <c r="F2377" s="14"/>
      <c r="G2377" s="13">
        <v>0</v>
      </c>
      <c r="H2377" s="13">
        <v>0</v>
      </c>
      <c r="I2377" s="13"/>
      <c r="J2377" s="13"/>
      <c r="K2377" s="13"/>
      <c r="L2377" s="15">
        <v>0</v>
      </c>
    </row>
    <row r="2378" spans="1:12">
      <c r="A2378" s="12"/>
      <c r="E2378" s="14"/>
      <c r="F2378" s="14"/>
      <c r="G2378" s="13">
        <v>0</v>
      </c>
      <c r="H2378" s="13">
        <v>0</v>
      </c>
      <c r="I2378" s="13"/>
      <c r="J2378" s="13"/>
      <c r="K2378" s="13"/>
      <c r="L2378" s="15">
        <v>0</v>
      </c>
    </row>
    <row r="2379" spans="1:12">
      <c r="A2379" s="12"/>
      <c r="E2379" s="14"/>
      <c r="F2379" s="14"/>
      <c r="G2379" s="13">
        <v>0</v>
      </c>
      <c r="H2379" s="13">
        <v>0</v>
      </c>
      <c r="I2379" s="13"/>
      <c r="J2379" s="13"/>
      <c r="K2379" s="13"/>
      <c r="L2379" s="15">
        <v>0</v>
      </c>
    </row>
    <row r="2380" spans="1:12">
      <c r="A2380" s="12"/>
      <c r="E2380" s="14"/>
      <c r="F2380" s="14"/>
      <c r="G2380" s="13">
        <v>0</v>
      </c>
      <c r="H2380" s="13">
        <v>0</v>
      </c>
      <c r="I2380" s="13"/>
      <c r="J2380" s="13"/>
      <c r="K2380" s="13"/>
      <c r="L2380" s="15">
        <v>0</v>
      </c>
    </row>
    <row r="2381" spans="1:12">
      <c r="A2381" s="12"/>
      <c r="E2381" s="14"/>
      <c r="F2381" s="14"/>
      <c r="G2381" s="13">
        <v>0</v>
      </c>
      <c r="H2381" s="13">
        <v>0</v>
      </c>
      <c r="I2381" s="13"/>
      <c r="J2381" s="13"/>
      <c r="K2381" s="13"/>
      <c r="L2381" s="15">
        <v>0</v>
      </c>
    </row>
    <row r="2382" spans="1:12">
      <c r="A2382" s="12"/>
      <c r="E2382" s="14"/>
      <c r="F2382" s="14"/>
      <c r="G2382" s="13">
        <v>0</v>
      </c>
      <c r="H2382" s="13">
        <v>0</v>
      </c>
      <c r="I2382" s="13"/>
      <c r="J2382" s="13"/>
      <c r="K2382" s="13"/>
      <c r="L2382" s="15">
        <v>0</v>
      </c>
    </row>
    <row r="2383" spans="1:12">
      <c r="A2383" s="12"/>
      <c r="E2383" s="14"/>
      <c r="F2383" s="14"/>
      <c r="G2383" s="13">
        <v>0</v>
      </c>
      <c r="H2383" s="13">
        <v>0</v>
      </c>
      <c r="I2383" s="13"/>
      <c r="J2383" s="13"/>
      <c r="K2383" s="13"/>
      <c r="L2383" s="15">
        <v>0</v>
      </c>
    </row>
    <row r="2384" spans="1:12">
      <c r="A2384" s="12"/>
      <c r="E2384" s="14"/>
      <c r="F2384" s="14"/>
      <c r="G2384" s="13">
        <v>0</v>
      </c>
      <c r="H2384" s="13">
        <v>0</v>
      </c>
      <c r="I2384" s="13"/>
      <c r="J2384" s="13"/>
      <c r="K2384" s="13"/>
      <c r="L2384" s="15">
        <v>0</v>
      </c>
    </row>
    <row r="2385" spans="1:12">
      <c r="A2385" s="12"/>
      <c r="E2385" s="14"/>
      <c r="F2385" s="14"/>
      <c r="G2385" s="13">
        <v>0</v>
      </c>
      <c r="H2385" s="13">
        <v>0</v>
      </c>
      <c r="I2385" s="13"/>
      <c r="J2385" s="13"/>
      <c r="K2385" s="13"/>
      <c r="L2385" s="15">
        <v>0</v>
      </c>
    </row>
    <row r="2386" spans="1:12">
      <c r="A2386" s="12"/>
      <c r="E2386" s="14"/>
      <c r="F2386" s="14"/>
      <c r="G2386" s="13">
        <v>0</v>
      </c>
      <c r="H2386" s="13">
        <v>0</v>
      </c>
      <c r="I2386" s="13"/>
      <c r="J2386" s="13"/>
      <c r="K2386" s="13"/>
      <c r="L2386" s="15">
        <v>0</v>
      </c>
    </row>
    <row r="2387" spans="1:12">
      <c r="A2387" s="12"/>
      <c r="E2387" s="14"/>
      <c r="F2387" s="14"/>
      <c r="G2387" s="13">
        <v>0</v>
      </c>
      <c r="H2387" s="13">
        <v>0</v>
      </c>
      <c r="I2387" s="13"/>
      <c r="J2387" s="13"/>
      <c r="K2387" s="13"/>
      <c r="L2387" s="15">
        <v>0</v>
      </c>
    </row>
    <row r="2388" spans="1:12">
      <c r="A2388" s="12"/>
      <c r="E2388" s="14"/>
      <c r="F2388" s="14"/>
      <c r="G2388" s="13">
        <v>0</v>
      </c>
      <c r="H2388" s="13">
        <v>0</v>
      </c>
      <c r="I2388" s="13"/>
      <c r="J2388" s="13"/>
      <c r="K2388" s="13"/>
      <c r="L2388" s="15">
        <v>0</v>
      </c>
    </row>
    <row r="2389" spans="1:12">
      <c r="A2389" s="12"/>
      <c r="E2389" s="14"/>
      <c r="F2389" s="14"/>
      <c r="G2389" s="13">
        <v>0</v>
      </c>
      <c r="H2389" s="13">
        <v>0</v>
      </c>
      <c r="I2389" s="13"/>
      <c r="J2389" s="13"/>
      <c r="K2389" s="13"/>
      <c r="L2389" s="15">
        <v>0</v>
      </c>
    </row>
    <row r="2390" spans="1:12">
      <c r="A2390" s="12"/>
      <c r="E2390" s="14"/>
      <c r="F2390" s="14"/>
      <c r="G2390" s="13">
        <v>0</v>
      </c>
      <c r="H2390" s="13">
        <v>0</v>
      </c>
      <c r="I2390" s="13"/>
      <c r="J2390" s="13"/>
      <c r="K2390" s="13"/>
      <c r="L2390" s="15">
        <v>0</v>
      </c>
    </row>
    <row r="2391" spans="1:12">
      <c r="A2391" s="12"/>
      <c r="E2391" s="14"/>
      <c r="F2391" s="14"/>
      <c r="G2391" s="13">
        <v>0</v>
      </c>
      <c r="H2391" s="13">
        <v>0</v>
      </c>
      <c r="I2391" s="13"/>
      <c r="J2391" s="13"/>
      <c r="K2391" s="13"/>
      <c r="L2391" s="15">
        <v>0</v>
      </c>
    </row>
    <row r="2392" spans="1:12">
      <c r="A2392" s="12"/>
      <c r="E2392" s="14"/>
      <c r="F2392" s="14"/>
      <c r="G2392" s="13">
        <v>0</v>
      </c>
      <c r="H2392" s="13">
        <v>0</v>
      </c>
      <c r="I2392" s="13"/>
      <c r="J2392" s="13"/>
      <c r="K2392" s="13"/>
      <c r="L2392" s="15">
        <v>0</v>
      </c>
    </row>
    <row r="2393" spans="1:12">
      <c r="A2393" s="12"/>
      <c r="E2393" s="14"/>
      <c r="F2393" s="14"/>
      <c r="G2393" s="13">
        <v>0</v>
      </c>
      <c r="H2393" s="13">
        <v>0</v>
      </c>
      <c r="I2393" s="13"/>
      <c r="J2393" s="13"/>
      <c r="K2393" s="13"/>
      <c r="L2393" s="15">
        <v>0</v>
      </c>
    </row>
    <row r="2394" spans="1:12">
      <c r="A2394" s="12"/>
      <c r="E2394" s="14"/>
      <c r="F2394" s="14"/>
      <c r="G2394" s="13">
        <v>0</v>
      </c>
      <c r="H2394" s="13">
        <v>0</v>
      </c>
      <c r="I2394" s="13"/>
      <c r="J2394" s="13"/>
      <c r="K2394" s="13"/>
      <c r="L2394" s="15">
        <v>0</v>
      </c>
    </row>
    <row r="2395" spans="1:12">
      <c r="A2395" s="12"/>
      <c r="E2395" s="14"/>
      <c r="F2395" s="14"/>
      <c r="G2395" s="13">
        <v>0</v>
      </c>
      <c r="H2395" s="13">
        <v>0</v>
      </c>
      <c r="I2395" s="13"/>
      <c r="J2395" s="13"/>
      <c r="K2395" s="13"/>
      <c r="L2395" s="15">
        <v>0</v>
      </c>
    </row>
    <row r="2396" spans="1:12">
      <c r="A2396" s="12"/>
      <c r="E2396" s="14"/>
      <c r="F2396" s="14"/>
      <c r="G2396" s="13">
        <v>0</v>
      </c>
      <c r="H2396" s="13">
        <v>0</v>
      </c>
      <c r="I2396" s="13"/>
      <c r="J2396" s="13"/>
      <c r="K2396" s="13"/>
      <c r="L2396" s="15">
        <v>0</v>
      </c>
    </row>
    <row r="2397" spans="1:12">
      <c r="A2397" s="12"/>
      <c r="E2397" s="14"/>
      <c r="F2397" s="14"/>
      <c r="G2397" s="13">
        <v>0</v>
      </c>
      <c r="H2397" s="13">
        <v>0</v>
      </c>
      <c r="I2397" s="13"/>
      <c r="J2397" s="13"/>
      <c r="K2397" s="13"/>
      <c r="L2397" s="15">
        <v>0</v>
      </c>
    </row>
    <row r="2398" spans="1:12">
      <c r="A2398" s="12"/>
      <c r="E2398" s="14"/>
      <c r="F2398" s="14"/>
      <c r="G2398" s="13">
        <v>0</v>
      </c>
      <c r="H2398" s="13">
        <v>0</v>
      </c>
      <c r="I2398" s="13"/>
      <c r="J2398" s="13"/>
      <c r="K2398" s="13"/>
      <c r="L2398" s="15">
        <v>0</v>
      </c>
    </row>
    <row r="2399" spans="1:12">
      <c r="A2399" s="12"/>
      <c r="E2399" s="14"/>
      <c r="F2399" s="14"/>
      <c r="G2399" s="13">
        <v>0</v>
      </c>
      <c r="H2399" s="13">
        <v>0</v>
      </c>
      <c r="I2399" s="13"/>
      <c r="J2399" s="13"/>
      <c r="K2399" s="13"/>
      <c r="L2399" s="15">
        <v>0</v>
      </c>
    </row>
    <row r="2400" spans="1:12">
      <c r="A2400" s="12"/>
      <c r="E2400" s="14"/>
      <c r="F2400" s="14"/>
      <c r="G2400" s="13">
        <v>0</v>
      </c>
      <c r="H2400" s="13">
        <v>0</v>
      </c>
      <c r="I2400" s="13"/>
      <c r="J2400" s="13"/>
      <c r="K2400" s="13"/>
      <c r="L2400" s="15">
        <v>0</v>
      </c>
    </row>
    <row r="2401" spans="1:12">
      <c r="A2401" s="12"/>
      <c r="E2401" s="14"/>
      <c r="F2401" s="14"/>
      <c r="G2401" s="13">
        <v>0</v>
      </c>
      <c r="H2401" s="13">
        <v>0</v>
      </c>
      <c r="I2401" s="13"/>
      <c r="J2401" s="13"/>
      <c r="K2401" s="13"/>
      <c r="L2401" s="15">
        <v>0</v>
      </c>
    </row>
    <row r="2402" spans="1:12">
      <c r="A2402" s="12"/>
      <c r="E2402" s="14"/>
      <c r="F2402" s="14"/>
      <c r="G2402" s="13">
        <v>0</v>
      </c>
      <c r="H2402" s="13">
        <v>0</v>
      </c>
      <c r="I2402" s="13"/>
      <c r="J2402" s="13"/>
      <c r="K2402" s="13"/>
      <c r="L2402" s="15">
        <v>0</v>
      </c>
    </row>
    <row r="2403" spans="1:12">
      <c r="A2403" s="12"/>
      <c r="E2403" s="14"/>
      <c r="F2403" s="14"/>
      <c r="G2403" s="13">
        <v>0</v>
      </c>
      <c r="H2403" s="13">
        <v>0</v>
      </c>
      <c r="I2403" s="13"/>
      <c r="J2403" s="13"/>
      <c r="K2403" s="13"/>
      <c r="L2403" s="15">
        <v>0</v>
      </c>
    </row>
    <row r="2404" spans="1:12">
      <c r="A2404" s="12"/>
      <c r="E2404" s="14"/>
      <c r="F2404" s="14"/>
      <c r="G2404" s="13">
        <v>0</v>
      </c>
      <c r="H2404" s="13">
        <v>0</v>
      </c>
      <c r="I2404" s="13"/>
      <c r="J2404" s="13"/>
      <c r="K2404" s="13"/>
      <c r="L2404" s="15">
        <v>0</v>
      </c>
    </row>
    <row r="2405" spans="1:12">
      <c r="A2405" s="12"/>
      <c r="E2405" s="14"/>
      <c r="F2405" s="14"/>
      <c r="G2405" s="13">
        <v>0</v>
      </c>
      <c r="H2405" s="13">
        <v>0</v>
      </c>
      <c r="I2405" s="13"/>
      <c r="J2405" s="13"/>
      <c r="K2405" s="13"/>
      <c r="L2405" s="15">
        <v>0</v>
      </c>
    </row>
    <row r="2406" spans="1:12">
      <c r="A2406" s="12"/>
      <c r="E2406" s="14"/>
      <c r="F2406" s="14"/>
      <c r="G2406" s="13">
        <v>0</v>
      </c>
      <c r="H2406" s="13">
        <v>0</v>
      </c>
      <c r="I2406" s="13"/>
      <c r="J2406" s="13"/>
      <c r="K2406" s="13"/>
      <c r="L2406" s="15">
        <v>0</v>
      </c>
    </row>
    <row r="2407" spans="1:12">
      <c r="A2407" s="12"/>
      <c r="E2407" s="14"/>
      <c r="F2407" s="14"/>
      <c r="G2407" s="13">
        <v>0</v>
      </c>
      <c r="H2407" s="13">
        <v>0</v>
      </c>
      <c r="I2407" s="13"/>
      <c r="J2407" s="13"/>
      <c r="K2407" s="13"/>
      <c r="L2407" s="15">
        <v>0</v>
      </c>
    </row>
    <row r="2408" spans="1:12">
      <c r="A2408" s="12"/>
      <c r="E2408" s="14"/>
      <c r="F2408" s="14"/>
      <c r="G2408" s="13">
        <v>0</v>
      </c>
      <c r="H2408" s="13">
        <v>0</v>
      </c>
      <c r="I2408" s="13"/>
      <c r="J2408" s="13"/>
      <c r="K2408" s="13"/>
      <c r="L2408" s="15">
        <v>0</v>
      </c>
    </row>
    <row r="2409" spans="1:12">
      <c r="A2409" s="12"/>
      <c r="E2409" s="14"/>
      <c r="F2409" s="14"/>
      <c r="G2409" s="13">
        <v>0</v>
      </c>
      <c r="H2409" s="13">
        <v>0</v>
      </c>
      <c r="I2409" s="13"/>
      <c r="J2409" s="13"/>
      <c r="K2409" s="13"/>
      <c r="L2409" s="15">
        <v>0</v>
      </c>
    </row>
    <row r="2410" spans="1:12">
      <c r="A2410" s="12"/>
      <c r="E2410" s="14"/>
      <c r="F2410" s="14"/>
      <c r="G2410" s="13">
        <v>0</v>
      </c>
      <c r="H2410" s="13">
        <v>0</v>
      </c>
      <c r="I2410" s="13"/>
      <c r="J2410" s="13"/>
      <c r="K2410" s="13"/>
      <c r="L2410" s="15">
        <v>0</v>
      </c>
    </row>
    <row r="2411" spans="1:12">
      <c r="A2411" s="12"/>
      <c r="E2411" s="14"/>
      <c r="F2411" s="14"/>
      <c r="G2411" s="13">
        <v>0</v>
      </c>
      <c r="H2411" s="13">
        <v>0</v>
      </c>
      <c r="I2411" s="13"/>
      <c r="J2411" s="13"/>
      <c r="K2411" s="13"/>
      <c r="L2411" s="15">
        <v>0</v>
      </c>
    </row>
    <row r="2412" spans="1:12">
      <c r="A2412" s="12"/>
      <c r="E2412" s="14"/>
      <c r="F2412" s="14"/>
      <c r="G2412" s="13">
        <v>0</v>
      </c>
      <c r="H2412" s="13">
        <v>0</v>
      </c>
      <c r="I2412" s="13"/>
      <c r="J2412" s="13"/>
      <c r="K2412" s="13"/>
      <c r="L2412" s="15">
        <v>0</v>
      </c>
    </row>
    <row r="2413" spans="1:12">
      <c r="A2413" s="12"/>
      <c r="E2413" s="14"/>
      <c r="F2413" s="14"/>
      <c r="G2413" s="13">
        <v>0</v>
      </c>
      <c r="H2413" s="13">
        <v>0</v>
      </c>
      <c r="I2413" s="13"/>
      <c r="J2413" s="13"/>
      <c r="K2413" s="13"/>
      <c r="L2413" s="15">
        <v>0</v>
      </c>
    </row>
    <row r="2414" spans="1:12">
      <c r="A2414" s="12"/>
      <c r="E2414" s="14"/>
      <c r="F2414" s="14"/>
      <c r="G2414" s="13">
        <v>0</v>
      </c>
      <c r="H2414" s="13">
        <v>0</v>
      </c>
      <c r="I2414" s="13"/>
      <c r="J2414" s="13"/>
      <c r="K2414" s="13"/>
      <c r="L2414" s="15">
        <v>0</v>
      </c>
    </row>
    <row r="2415" spans="1:12">
      <c r="A2415" s="12"/>
      <c r="E2415" s="14"/>
      <c r="F2415" s="14"/>
      <c r="G2415" s="13">
        <v>0</v>
      </c>
      <c r="H2415" s="13">
        <v>0</v>
      </c>
      <c r="I2415" s="13"/>
      <c r="J2415" s="13"/>
      <c r="K2415" s="13"/>
      <c r="L2415" s="15">
        <v>0</v>
      </c>
    </row>
    <row r="2416" spans="1:12">
      <c r="A2416" s="12"/>
      <c r="E2416" s="14"/>
      <c r="F2416" s="14"/>
      <c r="G2416" s="13">
        <v>0</v>
      </c>
      <c r="H2416" s="13">
        <v>0</v>
      </c>
      <c r="I2416" s="13"/>
      <c r="J2416" s="13"/>
      <c r="K2416" s="13"/>
      <c r="L2416" s="15">
        <v>0</v>
      </c>
    </row>
    <row r="2417" spans="1:12">
      <c r="A2417" s="12"/>
      <c r="E2417" s="14"/>
      <c r="F2417" s="14"/>
      <c r="G2417" s="13">
        <v>0</v>
      </c>
      <c r="H2417" s="13">
        <v>0</v>
      </c>
      <c r="I2417" s="13"/>
      <c r="J2417" s="13"/>
      <c r="K2417" s="13"/>
      <c r="L2417" s="15">
        <v>0</v>
      </c>
    </row>
    <row r="2418" spans="1:12">
      <c r="A2418" s="12"/>
      <c r="E2418" s="14"/>
      <c r="F2418" s="14"/>
      <c r="G2418" s="13">
        <v>0</v>
      </c>
      <c r="H2418" s="13">
        <v>0</v>
      </c>
      <c r="I2418" s="13"/>
      <c r="J2418" s="13"/>
      <c r="K2418" s="13"/>
      <c r="L2418" s="15">
        <v>0</v>
      </c>
    </row>
    <row r="2419" spans="1:12">
      <c r="A2419" s="12"/>
      <c r="E2419" s="14"/>
      <c r="F2419" s="14"/>
      <c r="G2419" s="13">
        <v>0</v>
      </c>
      <c r="H2419" s="13">
        <v>0</v>
      </c>
      <c r="I2419" s="13"/>
      <c r="J2419" s="13"/>
      <c r="K2419" s="13"/>
      <c r="L2419" s="15">
        <v>0</v>
      </c>
    </row>
    <row r="2420" spans="1:12">
      <c r="A2420" s="12"/>
      <c r="E2420" s="14"/>
      <c r="F2420" s="14"/>
      <c r="G2420" s="13">
        <v>0</v>
      </c>
      <c r="H2420" s="13">
        <v>0</v>
      </c>
      <c r="I2420" s="13"/>
      <c r="J2420" s="13"/>
      <c r="K2420" s="13"/>
      <c r="L2420" s="15">
        <v>0</v>
      </c>
    </row>
    <row r="2421" spans="1:12">
      <c r="A2421" s="12"/>
      <c r="E2421" s="14"/>
      <c r="F2421" s="14"/>
      <c r="G2421" s="13">
        <v>0</v>
      </c>
      <c r="H2421" s="13">
        <v>0</v>
      </c>
      <c r="I2421" s="13"/>
      <c r="J2421" s="13"/>
      <c r="K2421" s="13"/>
      <c r="L2421" s="15">
        <v>0</v>
      </c>
    </row>
    <row r="2422" spans="1:12">
      <c r="A2422" s="12"/>
      <c r="E2422" s="14"/>
      <c r="F2422" s="14"/>
      <c r="G2422" s="13">
        <v>0</v>
      </c>
      <c r="H2422" s="13">
        <v>0</v>
      </c>
      <c r="I2422" s="13"/>
      <c r="J2422" s="13"/>
      <c r="K2422" s="13"/>
      <c r="L2422" s="15">
        <v>0</v>
      </c>
    </row>
    <row r="2423" spans="1:12">
      <c r="A2423" s="12"/>
      <c r="E2423" s="14"/>
      <c r="F2423" s="14"/>
      <c r="G2423" s="13">
        <v>0</v>
      </c>
      <c r="H2423" s="13">
        <v>0</v>
      </c>
      <c r="I2423" s="13"/>
      <c r="J2423" s="13"/>
      <c r="K2423" s="13"/>
      <c r="L2423" s="15">
        <v>0</v>
      </c>
    </row>
    <row r="2424" spans="1:12">
      <c r="A2424" s="12"/>
      <c r="E2424" s="14"/>
      <c r="F2424" s="14"/>
      <c r="G2424" s="13">
        <v>0</v>
      </c>
      <c r="H2424" s="13">
        <v>0</v>
      </c>
      <c r="I2424" s="13"/>
      <c r="J2424" s="13"/>
      <c r="K2424" s="13"/>
      <c r="L2424" s="15">
        <v>0</v>
      </c>
    </row>
    <row r="2425" spans="1:12">
      <c r="A2425" s="12"/>
      <c r="E2425" s="14"/>
      <c r="F2425" s="14"/>
      <c r="G2425" s="13">
        <v>0</v>
      </c>
      <c r="H2425" s="13">
        <v>0</v>
      </c>
      <c r="I2425" s="13"/>
      <c r="J2425" s="13"/>
      <c r="K2425" s="13"/>
      <c r="L2425" s="15">
        <v>0</v>
      </c>
    </row>
    <row r="2426" spans="1:12">
      <c r="A2426" s="12"/>
      <c r="E2426" s="14"/>
      <c r="F2426" s="14"/>
      <c r="G2426" s="13">
        <v>0</v>
      </c>
      <c r="H2426" s="13">
        <v>0</v>
      </c>
      <c r="I2426" s="13"/>
      <c r="J2426" s="13"/>
      <c r="K2426" s="13"/>
      <c r="L2426" s="15">
        <v>0</v>
      </c>
    </row>
    <row r="2427" spans="1:12">
      <c r="A2427" s="12"/>
      <c r="E2427" s="14"/>
      <c r="F2427" s="14"/>
      <c r="G2427" s="13">
        <v>0</v>
      </c>
      <c r="H2427" s="13">
        <v>0</v>
      </c>
      <c r="I2427" s="13"/>
      <c r="J2427" s="13"/>
      <c r="K2427" s="13"/>
      <c r="L2427" s="15">
        <v>0</v>
      </c>
    </row>
    <row r="2428" spans="1:12">
      <c r="A2428" s="12"/>
      <c r="E2428" s="14"/>
      <c r="F2428" s="14"/>
      <c r="G2428" s="13">
        <v>0</v>
      </c>
      <c r="H2428" s="13">
        <v>0</v>
      </c>
      <c r="I2428" s="13"/>
      <c r="J2428" s="13"/>
      <c r="K2428" s="13"/>
      <c r="L2428" s="15">
        <v>0</v>
      </c>
    </row>
    <row r="2429" spans="1:12">
      <c r="A2429" s="12"/>
      <c r="E2429" s="14"/>
      <c r="F2429" s="14"/>
      <c r="G2429" s="13">
        <v>0</v>
      </c>
      <c r="H2429" s="13">
        <v>0</v>
      </c>
      <c r="I2429" s="13"/>
      <c r="J2429" s="13"/>
      <c r="K2429" s="13"/>
      <c r="L2429" s="15">
        <v>0</v>
      </c>
    </row>
    <row r="2430" spans="1:12">
      <c r="A2430" s="12"/>
      <c r="E2430" s="14"/>
      <c r="F2430" s="14"/>
      <c r="G2430" s="13">
        <v>0</v>
      </c>
      <c r="H2430" s="13">
        <v>0</v>
      </c>
      <c r="I2430" s="13"/>
      <c r="J2430" s="13"/>
      <c r="K2430" s="13"/>
      <c r="L2430" s="15">
        <v>0</v>
      </c>
    </row>
    <row r="2431" spans="1:12">
      <c r="A2431" s="12"/>
      <c r="E2431" s="14"/>
      <c r="F2431" s="14"/>
      <c r="G2431" s="13">
        <v>0</v>
      </c>
      <c r="H2431" s="13">
        <v>0</v>
      </c>
      <c r="I2431" s="13"/>
      <c r="J2431" s="13"/>
      <c r="K2431" s="13"/>
      <c r="L2431" s="15">
        <v>0</v>
      </c>
    </row>
    <row r="2432" spans="1:12">
      <c r="A2432" s="12"/>
      <c r="E2432" s="14"/>
      <c r="F2432" s="14"/>
      <c r="G2432" s="13">
        <v>0</v>
      </c>
      <c r="H2432" s="13">
        <v>0</v>
      </c>
      <c r="I2432" s="13"/>
      <c r="J2432" s="13"/>
      <c r="K2432" s="13"/>
      <c r="L2432" s="15">
        <v>0</v>
      </c>
    </row>
    <row r="2433" spans="1:12">
      <c r="A2433" s="12"/>
      <c r="E2433" s="14"/>
      <c r="F2433" s="14"/>
      <c r="G2433" s="13">
        <v>0</v>
      </c>
      <c r="H2433" s="13">
        <v>0</v>
      </c>
      <c r="I2433" s="13"/>
      <c r="J2433" s="13"/>
      <c r="K2433" s="13"/>
      <c r="L2433" s="15">
        <v>0</v>
      </c>
    </row>
    <row r="2434" spans="1:12">
      <c r="A2434" s="12"/>
      <c r="E2434" s="14"/>
      <c r="F2434" s="14"/>
      <c r="G2434" s="13">
        <v>0</v>
      </c>
      <c r="H2434" s="13">
        <v>0</v>
      </c>
      <c r="I2434" s="13"/>
      <c r="J2434" s="13"/>
      <c r="K2434" s="13"/>
      <c r="L2434" s="15">
        <v>0</v>
      </c>
    </row>
    <row r="2435" spans="1:12">
      <c r="A2435" s="12"/>
      <c r="E2435" s="14"/>
      <c r="F2435" s="14"/>
      <c r="G2435" s="13">
        <v>0</v>
      </c>
      <c r="H2435" s="13">
        <v>0</v>
      </c>
      <c r="I2435" s="13"/>
      <c r="J2435" s="13"/>
      <c r="K2435" s="13"/>
      <c r="L2435" s="15">
        <v>0</v>
      </c>
    </row>
    <row r="2436" spans="1:12">
      <c r="A2436" s="12"/>
      <c r="E2436" s="14"/>
      <c r="F2436" s="14"/>
      <c r="G2436" s="13">
        <v>0</v>
      </c>
      <c r="H2436" s="13">
        <v>0</v>
      </c>
      <c r="I2436" s="13"/>
      <c r="J2436" s="13"/>
      <c r="K2436" s="13"/>
      <c r="L2436" s="15">
        <v>0</v>
      </c>
    </row>
    <row r="2437" spans="1:12">
      <c r="A2437" s="12"/>
      <c r="E2437" s="14"/>
      <c r="F2437" s="14"/>
      <c r="G2437" s="13">
        <v>0</v>
      </c>
      <c r="H2437" s="13">
        <v>0</v>
      </c>
      <c r="I2437" s="13"/>
      <c r="J2437" s="13"/>
      <c r="K2437" s="13"/>
      <c r="L2437" s="15">
        <v>0</v>
      </c>
    </row>
    <row r="2438" spans="1:12">
      <c r="A2438" s="12"/>
      <c r="E2438" s="14"/>
      <c r="F2438" s="14"/>
      <c r="G2438" s="13">
        <v>0</v>
      </c>
      <c r="H2438" s="13">
        <v>0</v>
      </c>
      <c r="I2438" s="13"/>
      <c r="J2438" s="13"/>
      <c r="K2438" s="13"/>
      <c r="L2438" s="15">
        <v>0</v>
      </c>
    </row>
    <row r="2439" spans="1:12">
      <c r="A2439" s="12"/>
      <c r="E2439" s="14"/>
      <c r="F2439" s="14"/>
      <c r="G2439" s="13">
        <v>0</v>
      </c>
      <c r="H2439" s="13">
        <v>0</v>
      </c>
      <c r="I2439" s="13"/>
      <c r="J2439" s="13"/>
      <c r="K2439" s="13"/>
      <c r="L2439" s="15">
        <v>0</v>
      </c>
    </row>
    <row r="2440" spans="1:12">
      <c r="A2440" s="12"/>
      <c r="E2440" s="14"/>
      <c r="F2440" s="14"/>
      <c r="G2440" s="13">
        <v>0</v>
      </c>
      <c r="H2440" s="13">
        <v>0</v>
      </c>
      <c r="I2440" s="13"/>
      <c r="J2440" s="13"/>
      <c r="K2440" s="13"/>
      <c r="L2440" s="15">
        <v>0</v>
      </c>
    </row>
    <row r="2441" spans="1:12">
      <c r="A2441" s="12"/>
      <c r="E2441" s="14"/>
      <c r="F2441" s="14"/>
      <c r="G2441" s="13">
        <v>0</v>
      </c>
      <c r="H2441" s="13">
        <v>0</v>
      </c>
      <c r="I2441" s="13"/>
      <c r="J2441" s="13"/>
      <c r="K2441" s="13"/>
      <c r="L2441" s="15">
        <v>0</v>
      </c>
    </row>
    <row r="2442" spans="1:12">
      <c r="A2442" s="12"/>
      <c r="E2442" s="14"/>
      <c r="F2442" s="14"/>
      <c r="G2442" s="13">
        <v>0</v>
      </c>
      <c r="H2442" s="13">
        <v>0</v>
      </c>
      <c r="I2442" s="13"/>
      <c r="J2442" s="13"/>
      <c r="K2442" s="13"/>
      <c r="L2442" s="15">
        <v>0</v>
      </c>
    </row>
    <row r="2443" spans="1:12">
      <c r="A2443" s="12"/>
      <c r="E2443" s="14"/>
      <c r="F2443" s="14"/>
      <c r="G2443" s="13">
        <v>0</v>
      </c>
      <c r="H2443" s="13">
        <v>0</v>
      </c>
      <c r="I2443" s="13"/>
      <c r="J2443" s="13"/>
      <c r="K2443" s="13"/>
      <c r="L2443" s="15">
        <v>0</v>
      </c>
    </row>
    <row r="2444" spans="1:12">
      <c r="A2444" s="12"/>
      <c r="E2444" s="14"/>
      <c r="F2444" s="14"/>
      <c r="G2444" s="13">
        <v>0</v>
      </c>
      <c r="H2444" s="13">
        <v>0</v>
      </c>
      <c r="I2444" s="13"/>
      <c r="J2444" s="13"/>
      <c r="K2444" s="13"/>
      <c r="L2444" s="15">
        <v>0</v>
      </c>
    </row>
    <row r="2445" spans="1:12">
      <c r="A2445" s="12"/>
      <c r="E2445" s="14"/>
      <c r="F2445" s="14"/>
      <c r="G2445" s="13">
        <v>0</v>
      </c>
      <c r="H2445" s="13">
        <v>0</v>
      </c>
      <c r="I2445" s="13"/>
      <c r="J2445" s="13"/>
      <c r="K2445" s="13"/>
      <c r="L2445" s="15">
        <v>0</v>
      </c>
    </row>
    <row r="2446" spans="1:12">
      <c r="A2446" s="12"/>
      <c r="E2446" s="14"/>
      <c r="F2446" s="14"/>
      <c r="G2446" s="13">
        <v>0</v>
      </c>
      <c r="H2446" s="13">
        <v>0</v>
      </c>
      <c r="I2446" s="13"/>
      <c r="J2446" s="13"/>
      <c r="K2446" s="13"/>
      <c r="L2446" s="15">
        <v>0</v>
      </c>
    </row>
    <row r="2447" spans="1:12">
      <c r="A2447" s="12"/>
      <c r="E2447" s="14"/>
      <c r="F2447" s="14"/>
      <c r="G2447" s="13">
        <v>0</v>
      </c>
      <c r="H2447" s="13">
        <v>0</v>
      </c>
      <c r="I2447" s="13"/>
      <c r="J2447" s="13"/>
      <c r="K2447" s="13"/>
      <c r="L2447" s="15">
        <v>0</v>
      </c>
    </row>
    <row r="2448" spans="1:12">
      <c r="A2448" s="12"/>
      <c r="E2448" s="14"/>
      <c r="F2448" s="14"/>
      <c r="G2448" s="13">
        <v>0</v>
      </c>
      <c r="H2448" s="13">
        <v>0</v>
      </c>
      <c r="I2448" s="13"/>
      <c r="J2448" s="13"/>
      <c r="K2448" s="13"/>
      <c r="L2448" s="15">
        <v>0</v>
      </c>
    </row>
    <row r="2449" spans="1:12">
      <c r="A2449" s="12"/>
      <c r="E2449" s="14"/>
      <c r="F2449" s="14"/>
      <c r="G2449" s="13">
        <v>0</v>
      </c>
      <c r="H2449" s="13">
        <v>0</v>
      </c>
      <c r="I2449" s="13"/>
      <c r="J2449" s="13"/>
      <c r="K2449" s="13"/>
      <c r="L2449" s="15">
        <v>0</v>
      </c>
    </row>
    <row r="2450" spans="1:12">
      <c r="A2450" s="12"/>
      <c r="E2450" s="14"/>
      <c r="F2450" s="14"/>
      <c r="G2450" s="13">
        <v>0</v>
      </c>
      <c r="H2450" s="13">
        <v>0</v>
      </c>
      <c r="I2450" s="13"/>
      <c r="J2450" s="13"/>
      <c r="K2450" s="13"/>
      <c r="L2450" s="15">
        <v>0</v>
      </c>
    </row>
    <row r="2451" spans="1:12">
      <c r="A2451" s="12"/>
      <c r="E2451" s="14"/>
      <c r="F2451" s="14"/>
      <c r="G2451" s="13">
        <v>0</v>
      </c>
      <c r="H2451" s="13">
        <v>0</v>
      </c>
      <c r="I2451" s="13"/>
      <c r="J2451" s="13"/>
      <c r="K2451" s="13"/>
      <c r="L2451" s="15">
        <v>0</v>
      </c>
    </row>
    <row r="2452" spans="1:12">
      <c r="A2452" s="12"/>
      <c r="E2452" s="14"/>
      <c r="F2452" s="14"/>
      <c r="G2452" s="13">
        <v>0</v>
      </c>
      <c r="H2452" s="13">
        <v>0</v>
      </c>
      <c r="I2452" s="13"/>
      <c r="J2452" s="13"/>
      <c r="K2452" s="13"/>
      <c r="L2452" s="15">
        <v>0</v>
      </c>
    </row>
    <row r="2453" spans="1:12">
      <c r="A2453" s="12"/>
      <c r="E2453" s="14"/>
      <c r="F2453" s="14"/>
      <c r="G2453" s="13">
        <v>0</v>
      </c>
      <c r="H2453" s="13">
        <v>0</v>
      </c>
      <c r="I2453" s="13"/>
      <c r="J2453" s="13"/>
      <c r="K2453" s="13"/>
      <c r="L2453" s="15">
        <v>0</v>
      </c>
    </row>
    <row r="2454" spans="1:12">
      <c r="A2454" s="12"/>
      <c r="E2454" s="14"/>
      <c r="F2454" s="14"/>
      <c r="G2454" s="13">
        <v>0</v>
      </c>
      <c r="H2454" s="13">
        <v>0</v>
      </c>
      <c r="I2454" s="13"/>
      <c r="J2454" s="13"/>
      <c r="K2454" s="13"/>
      <c r="L2454" s="15">
        <v>0</v>
      </c>
    </row>
    <row r="2455" spans="1:12">
      <c r="A2455" s="12"/>
      <c r="E2455" s="14"/>
      <c r="F2455" s="14"/>
      <c r="G2455" s="13">
        <v>0</v>
      </c>
      <c r="H2455" s="13">
        <v>0</v>
      </c>
      <c r="I2455" s="13"/>
      <c r="J2455" s="13"/>
      <c r="K2455" s="13"/>
      <c r="L2455" s="15">
        <v>0</v>
      </c>
    </row>
    <row r="2456" spans="1:12">
      <c r="A2456" s="12"/>
      <c r="E2456" s="14"/>
      <c r="F2456" s="14"/>
      <c r="G2456" s="13">
        <v>0</v>
      </c>
      <c r="H2456" s="13">
        <v>0</v>
      </c>
      <c r="I2456" s="13"/>
      <c r="J2456" s="13"/>
      <c r="K2456" s="13"/>
      <c r="L2456" s="15">
        <v>0</v>
      </c>
    </row>
    <row r="2457" spans="1:12">
      <c r="A2457" s="12"/>
      <c r="E2457" s="14"/>
      <c r="F2457" s="14"/>
      <c r="G2457" s="13">
        <v>0</v>
      </c>
      <c r="H2457" s="13">
        <v>0</v>
      </c>
      <c r="I2457" s="13"/>
      <c r="J2457" s="13"/>
      <c r="K2457" s="13"/>
      <c r="L2457" s="15">
        <v>0</v>
      </c>
    </row>
    <row r="2458" spans="1:12">
      <c r="A2458" s="12"/>
      <c r="E2458" s="14"/>
      <c r="F2458" s="14"/>
      <c r="G2458" s="13">
        <v>0</v>
      </c>
      <c r="H2458" s="13">
        <v>0</v>
      </c>
      <c r="I2458" s="13"/>
      <c r="J2458" s="13"/>
      <c r="K2458" s="13"/>
      <c r="L2458" s="15">
        <v>0</v>
      </c>
    </row>
    <row r="2459" spans="1:12">
      <c r="A2459" s="12"/>
      <c r="E2459" s="14"/>
      <c r="F2459" s="14"/>
      <c r="G2459" s="13">
        <v>0</v>
      </c>
      <c r="H2459" s="13">
        <v>0</v>
      </c>
      <c r="I2459" s="13"/>
      <c r="J2459" s="13"/>
      <c r="K2459" s="13"/>
      <c r="L2459" s="15">
        <v>0</v>
      </c>
    </row>
    <row r="2460" spans="1:12">
      <c r="A2460" s="12"/>
      <c r="E2460" s="14"/>
      <c r="F2460" s="14"/>
      <c r="G2460" s="13">
        <v>0</v>
      </c>
      <c r="H2460" s="13">
        <v>0</v>
      </c>
      <c r="I2460" s="13"/>
      <c r="J2460" s="13"/>
      <c r="K2460" s="13"/>
      <c r="L2460" s="15">
        <v>0</v>
      </c>
    </row>
    <row r="2461" spans="1:12">
      <c r="A2461" s="12"/>
      <c r="E2461" s="14"/>
      <c r="F2461" s="14"/>
      <c r="G2461" s="13">
        <v>0</v>
      </c>
      <c r="H2461" s="13">
        <v>0</v>
      </c>
      <c r="I2461" s="13"/>
      <c r="J2461" s="13"/>
      <c r="K2461" s="13"/>
      <c r="L2461" s="15">
        <v>0</v>
      </c>
    </row>
    <row r="2462" spans="1:12">
      <c r="A2462" s="12"/>
      <c r="E2462" s="14"/>
      <c r="F2462" s="14"/>
      <c r="G2462" s="13">
        <v>0</v>
      </c>
      <c r="H2462" s="13">
        <v>0</v>
      </c>
      <c r="I2462" s="13"/>
      <c r="J2462" s="13"/>
      <c r="K2462" s="13"/>
      <c r="L2462" s="15">
        <v>0</v>
      </c>
    </row>
    <row r="2463" spans="1:12">
      <c r="A2463" s="12"/>
      <c r="E2463" s="14"/>
      <c r="F2463" s="14"/>
      <c r="G2463" s="13">
        <v>0</v>
      </c>
      <c r="H2463" s="13">
        <v>0</v>
      </c>
      <c r="I2463" s="13"/>
      <c r="J2463" s="13"/>
      <c r="K2463" s="13"/>
      <c r="L2463" s="15">
        <v>0</v>
      </c>
    </row>
    <row r="2464" spans="1:12">
      <c r="A2464" s="12"/>
      <c r="E2464" s="14"/>
      <c r="F2464" s="14"/>
      <c r="G2464" s="13">
        <v>0</v>
      </c>
      <c r="H2464" s="13">
        <v>0</v>
      </c>
      <c r="I2464" s="13"/>
      <c r="J2464" s="13"/>
      <c r="K2464" s="13"/>
      <c r="L2464" s="15">
        <v>0</v>
      </c>
    </row>
    <row r="2465" spans="1:12">
      <c r="A2465" s="12"/>
      <c r="E2465" s="14"/>
      <c r="F2465" s="14"/>
      <c r="G2465" s="13">
        <v>0</v>
      </c>
      <c r="H2465" s="13">
        <v>0</v>
      </c>
      <c r="I2465" s="13"/>
      <c r="J2465" s="13"/>
      <c r="K2465" s="13"/>
      <c r="L2465" s="15">
        <v>0</v>
      </c>
    </row>
    <row r="2466" spans="1:12">
      <c r="A2466" s="12"/>
      <c r="E2466" s="14"/>
      <c r="F2466" s="14"/>
      <c r="G2466" s="13">
        <v>0</v>
      </c>
      <c r="H2466" s="13">
        <v>0</v>
      </c>
      <c r="I2466" s="13"/>
      <c r="J2466" s="13"/>
      <c r="K2466" s="13"/>
      <c r="L2466" s="15">
        <v>0</v>
      </c>
    </row>
    <row r="2467" spans="1:12">
      <c r="A2467" s="12"/>
      <c r="E2467" s="14"/>
      <c r="F2467" s="14"/>
      <c r="G2467" s="13">
        <v>0</v>
      </c>
      <c r="H2467" s="13">
        <v>0</v>
      </c>
      <c r="I2467" s="13"/>
      <c r="J2467" s="13"/>
      <c r="K2467" s="13"/>
      <c r="L2467" s="15">
        <v>0</v>
      </c>
    </row>
    <row r="2468" spans="1:12">
      <c r="A2468" s="12"/>
      <c r="E2468" s="14"/>
      <c r="F2468" s="14"/>
      <c r="G2468" s="13">
        <v>0</v>
      </c>
      <c r="H2468" s="13">
        <v>0</v>
      </c>
      <c r="I2468" s="13"/>
      <c r="J2468" s="13"/>
      <c r="K2468" s="13"/>
      <c r="L2468" s="15">
        <v>0</v>
      </c>
    </row>
    <row r="2469" spans="1:12">
      <c r="A2469" s="12"/>
      <c r="E2469" s="14"/>
      <c r="F2469" s="14"/>
      <c r="G2469" s="13">
        <v>0</v>
      </c>
      <c r="H2469" s="13">
        <v>0</v>
      </c>
      <c r="I2469" s="13"/>
      <c r="J2469" s="13"/>
      <c r="K2469" s="13"/>
      <c r="L2469" s="15">
        <v>0</v>
      </c>
    </row>
    <row r="2470" spans="1:12">
      <c r="A2470" s="12"/>
      <c r="E2470" s="14"/>
      <c r="F2470" s="14"/>
      <c r="G2470" s="13">
        <v>0</v>
      </c>
      <c r="H2470" s="13">
        <v>0</v>
      </c>
      <c r="I2470" s="13"/>
      <c r="J2470" s="13"/>
      <c r="K2470" s="13"/>
      <c r="L2470" s="15">
        <v>0</v>
      </c>
    </row>
    <row r="2471" spans="1:12">
      <c r="A2471" s="12"/>
      <c r="E2471" s="14"/>
      <c r="F2471" s="14"/>
      <c r="G2471" s="13">
        <v>0</v>
      </c>
      <c r="H2471" s="13">
        <v>0</v>
      </c>
      <c r="I2471" s="13"/>
      <c r="J2471" s="13"/>
      <c r="K2471" s="13"/>
      <c r="L2471" s="15">
        <v>0</v>
      </c>
    </row>
    <row r="2472" spans="1:12">
      <c r="A2472" s="12"/>
      <c r="E2472" s="14"/>
      <c r="F2472" s="14"/>
      <c r="G2472" s="13">
        <v>0</v>
      </c>
      <c r="H2472" s="13">
        <v>0</v>
      </c>
      <c r="I2472" s="13"/>
      <c r="J2472" s="13"/>
      <c r="K2472" s="13"/>
      <c r="L2472" s="15">
        <v>0</v>
      </c>
    </row>
    <row r="2473" spans="1:12">
      <c r="A2473" s="12"/>
      <c r="E2473" s="14"/>
      <c r="F2473" s="14"/>
      <c r="G2473" s="13">
        <v>0</v>
      </c>
      <c r="H2473" s="13">
        <v>0</v>
      </c>
      <c r="I2473" s="13"/>
      <c r="J2473" s="13"/>
      <c r="K2473" s="13"/>
      <c r="L2473" s="15">
        <v>0</v>
      </c>
    </row>
    <row r="2474" spans="1:12">
      <c r="A2474" s="12"/>
      <c r="E2474" s="14"/>
      <c r="F2474" s="14"/>
      <c r="G2474" s="13">
        <v>0</v>
      </c>
      <c r="H2474" s="13">
        <v>0</v>
      </c>
      <c r="I2474" s="13"/>
      <c r="J2474" s="13"/>
      <c r="K2474" s="13"/>
      <c r="L2474" s="15">
        <v>0</v>
      </c>
    </row>
    <row r="2475" spans="1:12">
      <c r="A2475" s="12"/>
      <c r="E2475" s="14"/>
      <c r="F2475" s="14"/>
      <c r="G2475" s="13">
        <v>0</v>
      </c>
      <c r="H2475" s="13">
        <v>0</v>
      </c>
      <c r="I2475" s="13"/>
      <c r="J2475" s="13"/>
      <c r="K2475" s="13"/>
      <c r="L2475" s="15">
        <v>0</v>
      </c>
    </row>
    <row r="2476" spans="1:12">
      <c r="A2476" s="12"/>
      <c r="E2476" s="14"/>
      <c r="F2476" s="14"/>
      <c r="G2476" s="13">
        <v>0</v>
      </c>
      <c r="H2476" s="13">
        <v>0</v>
      </c>
      <c r="I2476" s="13"/>
      <c r="J2476" s="13"/>
      <c r="K2476" s="13"/>
      <c r="L2476" s="15">
        <v>0</v>
      </c>
    </row>
    <row r="2477" spans="1:12">
      <c r="A2477" s="12"/>
      <c r="E2477" s="14"/>
      <c r="F2477" s="14"/>
      <c r="G2477" s="13">
        <v>0</v>
      </c>
      <c r="H2477" s="13">
        <v>0</v>
      </c>
      <c r="I2477" s="13"/>
      <c r="J2477" s="13"/>
      <c r="K2477" s="13"/>
      <c r="L2477" s="15">
        <v>0</v>
      </c>
    </row>
    <row r="2478" spans="1:12">
      <c r="A2478" s="12"/>
      <c r="E2478" s="14"/>
      <c r="F2478" s="14"/>
      <c r="G2478" s="13">
        <v>0</v>
      </c>
      <c r="H2478" s="13">
        <v>0</v>
      </c>
      <c r="I2478" s="13"/>
      <c r="J2478" s="13"/>
      <c r="K2478" s="13"/>
      <c r="L2478" s="15">
        <v>0</v>
      </c>
    </row>
    <row r="2479" spans="1:12">
      <c r="A2479" s="12"/>
      <c r="E2479" s="14"/>
      <c r="F2479" s="14"/>
      <c r="G2479" s="13">
        <v>0</v>
      </c>
      <c r="H2479" s="13">
        <v>0</v>
      </c>
      <c r="I2479" s="13"/>
      <c r="J2479" s="13"/>
      <c r="K2479" s="13"/>
      <c r="L2479" s="15">
        <v>0</v>
      </c>
    </row>
    <row r="2480" spans="1:12">
      <c r="A2480" s="12"/>
      <c r="E2480" s="14"/>
      <c r="F2480" s="14"/>
      <c r="G2480" s="13">
        <v>0</v>
      </c>
      <c r="H2480" s="13">
        <v>0</v>
      </c>
      <c r="I2480" s="13"/>
      <c r="J2480" s="13"/>
      <c r="K2480" s="13"/>
      <c r="L2480" s="15">
        <v>0</v>
      </c>
    </row>
    <row r="2481" spans="1:12">
      <c r="A2481" s="12"/>
      <c r="E2481" s="14"/>
      <c r="F2481" s="14"/>
      <c r="G2481" s="13">
        <v>0</v>
      </c>
      <c r="H2481" s="13">
        <v>0</v>
      </c>
      <c r="I2481" s="13"/>
      <c r="J2481" s="13"/>
      <c r="K2481" s="13"/>
      <c r="L2481" s="15">
        <v>0</v>
      </c>
    </row>
    <row r="2482" spans="1:12">
      <c r="A2482" s="12"/>
      <c r="E2482" s="14"/>
      <c r="F2482" s="14"/>
      <c r="G2482" s="13">
        <v>0</v>
      </c>
      <c r="H2482" s="13">
        <v>0</v>
      </c>
      <c r="I2482" s="13"/>
      <c r="J2482" s="13"/>
      <c r="K2482" s="13"/>
      <c r="L2482" s="15">
        <v>0</v>
      </c>
    </row>
    <row r="2483" spans="1:12">
      <c r="A2483" s="12"/>
      <c r="E2483" s="14"/>
      <c r="F2483" s="14"/>
      <c r="G2483" s="13">
        <v>0</v>
      </c>
      <c r="H2483" s="13">
        <v>0</v>
      </c>
      <c r="I2483" s="13"/>
      <c r="J2483" s="13"/>
      <c r="K2483" s="13"/>
      <c r="L2483" s="15">
        <v>0</v>
      </c>
    </row>
    <row r="2484" spans="1:12">
      <c r="A2484" s="12"/>
      <c r="E2484" s="14"/>
      <c r="F2484" s="14"/>
      <c r="G2484" s="13">
        <v>0</v>
      </c>
      <c r="H2484" s="13">
        <v>0</v>
      </c>
      <c r="I2484" s="13"/>
      <c r="J2484" s="13"/>
      <c r="K2484" s="13"/>
      <c r="L2484" s="15">
        <v>0</v>
      </c>
    </row>
    <row r="2485" spans="1:12">
      <c r="A2485" s="12"/>
      <c r="E2485" s="14"/>
      <c r="F2485" s="14"/>
      <c r="G2485" s="13">
        <v>0</v>
      </c>
      <c r="H2485" s="13">
        <v>0</v>
      </c>
      <c r="I2485" s="13"/>
      <c r="J2485" s="13"/>
      <c r="K2485" s="13"/>
      <c r="L2485" s="15">
        <v>0</v>
      </c>
    </row>
    <row r="2486" spans="1:12">
      <c r="A2486" s="12"/>
      <c r="E2486" s="14"/>
      <c r="F2486" s="14"/>
      <c r="G2486" s="13">
        <v>0</v>
      </c>
      <c r="H2486" s="13">
        <v>0</v>
      </c>
      <c r="I2486" s="13"/>
      <c r="J2486" s="13"/>
      <c r="K2486" s="13"/>
      <c r="L2486" s="15">
        <v>0</v>
      </c>
    </row>
    <row r="2487" spans="1:12">
      <c r="A2487" s="12"/>
      <c r="E2487" s="14"/>
      <c r="F2487" s="14"/>
      <c r="G2487" s="13">
        <v>0</v>
      </c>
      <c r="H2487" s="13">
        <v>0</v>
      </c>
      <c r="I2487" s="13"/>
      <c r="J2487" s="13"/>
      <c r="K2487" s="13"/>
      <c r="L2487" s="15">
        <v>0</v>
      </c>
    </row>
    <row r="2488" spans="1:12">
      <c r="A2488" s="12"/>
      <c r="E2488" s="14"/>
      <c r="F2488" s="14"/>
      <c r="G2488" s="13">
        <v>0</v>
      </c>
      <c r="H2488" s="13">
        <v>0</v>
      </c>
      <c r="I2488" s="13"/>
      <c r="J2488" s="13"/>
      <c r="K2488" s="13"/>
      <c r="L2488" s="15">
        <v>0</v>
      </c>
    </row>
    <row r="2489" spans="1:12">
      <c r="A2489" s="12"/>
      <c r="E2489" s="14"/>
      <c r="F2489" s="14"/>
      <c r="G2489" s="13">
        <v>0</v>
      </c>
      <c r="H2489" s="13">
        <v>0</v>
      </c>
      <c r="I2489" s="13"/>
      <c r="J2489" s="13"/>
      <c r="K2489" s="13"/>
      <c r="L2489" s="15">
        <v>0</v>
      </c>
    </row>
    <row r="2490" spans="1:12">
      <c r="A2490" s="12"/>
      <c r="E2490" s="14"/>
      <c r="F2490" s="14"/>
      <c r="G2490" s="13">
        <v>0</v>
      </c>
      <c r="H2490" s="13">
        <v>0</v>
      </c>
      <c r="I2490" s="13"/>
      <c r="J2490" s="13"/>
      <c r="K2490" s="13"/>
      <c r="L2490" s="15">
        <v>0</v>
      </c>
    </row>
    <row r="2491" spans="1:12">
      <c r="A2491" s="12"/>
      <c r="E2491" s="14"/>
      <c r="F2491" s="14"/>
      <c r="G2491" s="13">
        <v>0</v>
      </c>
      <c r="H2491" s="13">
        <v>0</v>
      </c>
      <c r="I2491" s="13"/>
      <c r="J2491" s="13"/>
      <c r="K2491" s="13"/>
      <c r="L2491" s="15">
        <v>0</v>
      </c>
    </row>
    <row r="2492" spans="1:12">
      <c r="A2492" s="12"/>
      <c r="E2492" s="14"/>
      <c r="F2492" s="14"/>
      <c r="G2492" s="13">
        <v>0</v>
      </c>
      <c r="H2492" s="13">
        <v>0</v>
      </c>
      <c r="I2492" s="13"/>
      <c r="J2492" s="13"/>
      <c r="K2492" s="13"/>
      <c r="L2492" s="15">
        <v>0</v>
      </c>
    </row>
    <row r="2493" spans="1:12">
      <c r="A2493" s="12"/>
      <c r="E2493" s="14"/>
      <c r="F2493" s="14"/>
      <c r="G2493" s="13">
        <v>0</v>
      </c>
      <c r="H2493" s="13">
        <v>0</v>
      </c>
      <c r="I2493" s="13"/>
      <c r="J2493" s="13"/>
      <c r="K2493" s="13"/>
      <c r="L2493" s="15">
        <v>0</v>
      </c>
    </row>
    <row r="2494" spans="1:12">
      <c r="A2494" s="12"/>
      <c r="E2494" s="14"/>
      <c r="F2494" s="14"/>
      <c r="G2494" s="13">
        <v>0</v>
      </c>
      <c r="H2494" s="13">
        <v>0</v>
      </c>
      <c r="I2494" s="13"/>
      <c r="J2494" s="13"/>
      <c r="K2494" s="13"/>
      <c r="L2494" s="15">
        <v>0</v>
      </c>
    </row>
    <row r="2495" spans="1:12">
      <c r="A2495" s="12"/>
      <c r="E2495" s="14"/>
      <c r="F2495" s="14"/>
      <c r="G2495" s="13">
        <v>0</v>
      </c>
      <c r="H2495" s="13">
        <v>0</v>
      </c>
      <c r="I2495" s="13"/>
      <c r="J2495" s="13"/>
      <c r="K2495" s="13"/>
      <c r="L2495" s="15">
        <v>0</v>
      </c>
    </row>
    <row r="2496" spans="1:12">
      <c r="A2496" s="12"/>
      <c r="E2496" s="14"/>
      <c r="F2496" s="14"/>
      <c r="G2496" s="13">
        <v>0</v>
      </c>
      <c r="H2496" s="13">
        <v>0</v>
      </c>
      <c r="I2496" s="13"/>
      <c r="J2496" s="13"/>
      <c r="K2496" s="13"/>
      <c r="L2496" s="15">
        <v>0</v>
      </c>
    </row>
    <row r="2497" spans="1:12">
      <c r="A2497" s="12"/>
      <c r="E2497" s="14"/>
      <c r="F2497" s="14"/>
      <c r="G2497" s="13">
        <v>0</v>
      </c>
      <c r="H2497" s="13">
        <v>0</v>
      </c>
      <c r="I2497" s="13"/>
      <c r="J2497" s="13"/>
      <c r="K2497" s="13"/>
      <c r="L2497" s="15">
        <v>0</v>
      </c>
    </row>
    <row r="2498" spans="1:12">
      <c r="A2498" s="12"/>
      <c r="E2498" s="14"/>
      <c r="F2498" s="14"/>
      <c r="G2498" s="13">
        <v>0</v>
      </c>
      <c r="H2498" s="13">
        <v>0</v>
      </c>
      <c r="I2498" s="13"/>
      <c r="J2498" s="13"/>
      <c r="K2498" s="13"/>
      <c r="L2498" s="15">
        <v>0</v>
      </c>
    </row>
    <row r="2499" spans="1:12">
      <c r="A2499" s="12"/>
      <c r="E2499" s="14"/>
      <c r="F2499" s="14"/>
      <c r="G2499" s="13">
        <v>0</v>
      </c>
      <c r="H2499" s="13">
        <v>0</v>
      </c>
      <c r="I2499" s="13"/>
      <c r="J2499" s="13"/>
      <c r="K2499" s="13"/>
      <c r="L2499" s="15">
        <v>0</v>
      </c>
    </row>
    <row r="2500" spans="1:12">
      <c r="A2500" s="12"/>
      <c r="E2500" s="14"/>
      <c r="F2500" s="14"/>
      <c r="G2500" s="13">
        <v>0</v>
      </c>
      <c r="H2500" s="13">
        <v>0</v>
      </c>
      <c r="I2500" s="13"/>
      <c r="J2500" s="13"/>
      <c r="K2500" s="13"/>
      <c r="L2500" s="15">
        <v>0</v>
      </c>
    </row>
    <row r="2501" spans="1:12">
      <c r="A2501" s="12"/>
      <c r="E2501" s="14"/>
      <c r="F2501" s="14"/>
      <c r="G2501" s="13">
        <v>0</v>
      </c>
      <c r="H2501" s="13">
        <v>0</v>
      </c>
      <c r="I2501" s="13"/>
      <c r="J2501" s="13"/>
      <c r="K2501" s="13"/>
      <c r="L2501" s="15">
        <v>0</v>
      </c>
    </row>
    <row r="2502" spans="1:12">
      <c r="A2502" s="12"/>
      <c r="E2502" s="14"/>
      <c r="F2502" s="14"/>
      <c r="G2502" s="13">
        <v>0</v>
      </c>
      <c r="H2502" s="13">
        <v>0</v>
      </c>
      <c r="I2502" s="13"/>
      <c r="J2502" s="13"/>
      <c r="K2502" s="13"/>
      <c r="L2502" s="15">
        <v>0</v>
      </c>
    </row>
    <row r="2503" spans="1:12">
      <c r="A2503" s="12"/>
      <c r="E2503" s="14"/>
      <c r="F2503" s="14"/>
      <c r="G2503" s="13">
        <v>0</v>
      </c>
      <c r="H2503" s="13">
        <v>0</v>
      </c>
      <c r="I2503" s="13"/>
      <c r="J2503" s="13"/>
      <c r="K2503" s="13"/>
      <c r="L2503" s="15">
        <v>0</v>
      </c>
    </row>
    <row r="2504" spans="1:12">
      <c r="A2504" s="12"/>
      <c r="E2504" s="14"/>
      <c r="F2504" s="14"/>
      <c r="G2504" s="13">
        <v>0</v>
      </c>
      <c r="H2504" s="13">
        <v>0</v>
      </c>
      <c r="I2504" s="13"/>
      <c r="J2504" s="13"/>
      <c r="K2504" s="13"/>
      <c r="L2504" s="15">
        <v>0</v>
      </c>
    </row>
    <row r="2505" spans="1:12">
      <c r="A2505" s="12"/>
      <c r="E2505" s="14"/>
      <c r="F2505" s="14"/>
      <c r="G2505" s="13">
        <v>0</v>
      </c>
      <c r="H2505" s="13">
        <v>0</v>
      </c>
      <c r="I2505" s="13"/>
      <c r="J2505" s="13"/>
      <c r="K2505" s="13"/>
      <c r="L2505" s="15">
        <v>0</v>
      </c>
    </row>
    <row r="2506" spans="1:12">
      <c r="A2506" s="12"/>
      <c r="E2506" s="14"/>
      <c r="F2506" s="14"/>
      <c r="G2506" s="13">
        <v>0</v>
      </c>
      <c r="H2506" s="13">
        <v>0</v>
      </c>
      <c r="I2506" s="13"/>
      <c r="J2506" s="13"/>
      <c r="K2506" s="13"/>
      <c r="L2506" s="15">
        <v>0</v>
      </c>
    </row>
    <row r="2507" spans="1:12">
      <c r="A2507" s="12"/>
      <c r="E2507" s="14"/>
      <c r="F2507" s="14"/>
      <c r="G2507" s="13">
        <v>0</v>
      </c>
      <c r="H2507" s="13">
        <v>0</v>
      </c>
      <c r="I2507" s="13"/>
      <c r="J2507" s="13"/>
      <c r="K2507" s="13"/>
      <c r="L2507" s="15">
        <v>0</v>
      </c>
    </row>
    <row r="2508" spans="1:12">
      <c r="A2508" s="12"/>
      <c r="E2508" s="14"/>
      <c r="F2508" s="14"/>
      <c r="G2508" s="13">
        <v>0</v>
      </c>
      <c r="H2508" s="13">
        <v>0</v>
      </c>
      <c r="I2508" s="13"/>
      <c r="J2508" s="13"/>
      <c r="K2508" s="13"/>
      <c r="L2508" s="15">
        <v>0</v>
      </c>
    </row>
    <row r="2509" spans="1:12">
      <c r="A2509" s="12"/>
      <c r="E2509" s="14"/>
      <c r="F2509" s="14"/>
      <c r="G2509" s="13">
        <v>0</v>
      </c>
      <c r="H2509" s="13">
        <v>0</v>
      </c>
      <c r="I2509" s="13"/>
      <c r="J2509" s="13"/>
      <c r="K2509" s="13"/>
      <c r="L2509" s="15">
        <v>0</v>
      </c>
    </row>
    <row r="2510" spans="1:12">
      <c r="A2510" s="12"/>
      <c r="E2510" s="14"/>
      <c r="F2510" s="14"/>
      <c r="G2510" s="13">
        <v>0</v>
      </c>
      <c r="H2510" s="13">
        <v>0</v>
      </c>
      <c r="I2510" s="13"/>
      <c r="J2510" s="13"/>
      <c r="K2510" s="13"/>
      <c r="L2510" s="15">
        <v>0</v>
      </c>
    </row>
    <row r="2511" spans="1:12">
      <c r="A2511" s="12"/>
      <c r="E2511" s="14"/>
      <c r="F2511" s="14"/>
      <c r="G2511" s="13">
        <v>0</v>
      </c>
      <c r="H2511" s="13">
        <v>0</v>
      </c>
      <c r="I2511" s="13"/>
      <c r="J2511" s="13"/>
      <c r="K2511" s="13"/>
      <c r="L2511" s="15">
        <v>0</v>
      </c>
    </row>
    <row r="2512" spans="1:12">
      <c r="A2512" s="12"/>
      <c r="E2512" s="14"/>
      <c r="F2512" s="14"/>
      <c r="G2512" s="13">
        <v>0</v>
      </c>
      <c r="H2512" s="13">
        <v>0</v>
      </c>
      <c r="I2512" s="13"/>
      <c r="J2512" s="13"/>
      <c r="K2512" s="13"/>
      <c r="L2512" s="15">
        <v>0</v>
      </c>
    </row>
    <row r="2513" spans="1:12">
      <c r="A2513" s="12"/>
      <c r="E2513" s="14"/>
      <c r="F2513" s="14"/>
      <c r="G2513" s="13">
        <v>0</v>
      </c>
      <c r="H2513" s="13">
        <v>0</v>
      </c>
      <c r="I2513" s="13"/>
      <c r="J2513" s="13"/>
      <c r="K2513" s="13"/>
      <c r="L2513" s="15">
        <v>0</v>
      </c>
    </row>
    <row r="2514" spans="1:12">
      <c r="A2514" s="12"/>
      <c r="E2514" s="14"/>
      <c r="F2514" s="14"/>
      <c r="G2514" s="13">
        <v>0</v>
      </c>
      <c r="H2514" s="13">
        <v>0</v>
      </c>
      <c r="I2514" s="13"/>
      <c r="J2514" s="13"/>
      <c r="K2514" s="13"/>
      <c r="L2514" s="15">
        <v>0</v>
      </c>
    </row>
    <row r="2515" spans="1:12">
      <c r="A2515" s="12"/>
      <c r="E2515" s="14"/>
      <c r="F2515" s="14"/>
      <c r="G2515" s="13">
        <v>0</v>
      </c>
      <c r="H2515" s="13">
        <v>0</v>
      </c>
      <c r="I2515" s="13"/>
      <c r="J2515" s="13"/>
      <c r="K2515" s="13"/>
      <c r="L2515" s="15">
        <v>0</v>
      </c>
    </row>
    <row r="2516" spans="1:12">
      <c r="A2516" s="12"/>
      <c r="E2516" s="14"/>
      <c r="F2516" s="14"/>
      <c r="G2516" s="13">
        <v>0</v>
      </c>
      <c r="H2516" s="13">
        <v>0</v>
      </c>
      <c r="I2516" s="13"/>
      <c r="J2516" s="13"/>
      <c r="K2516" s="13"/>
      <c r="L2516" s="15">
        <v>0</v>
      </c>
    </row>
    <row r="2517" spans="1:12">
      <c r="A2517" s="12"/>
      <c r="E2517" s="14"/>
      <c r="F2517" s="14"/>
      <c r="G2517" s="13">
        <v>0</v>
      </c>
      <c r="H2517" s="13">
        <v>0</v>
      </c>
      <c r="I2517" s="13"/>
      <c r="J2517" s="13"/>
      <c r="K2517" s="13"/>
      <c r="L2517" s="15">
        <v>0</v>
      </c>
    </row>
    <row r="2518" spans="1:12">
      <c r="A2518" s="12"/>
      <c r="E2518" s="14"/>
      <c r="F2518" s="14"/>
      <c r="G2518" s="13">
        <v>0</v>
      </c>
      <c r="H2518" s="13">
        <v>0</v>
      </c>
      <c r="I2518" s="13"/>
      <c r="J2518" s="13"/>
      <c r="K2518" s="13"/>
      <c r="L2518" s="15">
        <v>0</v>
      </c>
    </row>
    <row r="2519" spans="1:12">
      <c r="A2519" s="12"/>
      <c r="E2519" s="14"/>
      <c r="F2519" s="14"/>
      <c r="G2519" s="13">
        <v>0</v>
      </c>
      <c r="H2519" s="13">
        <v>0</v>
      </c>
      <c r="I2519" s="13"/>
      <c r="J2519" s="13"/>
      <c r="K2519" s="13"/>
      <c r="L2519" s="15">
        <v>0</v>
      </c>
    </row>
    <row r="2520" spans="1:12">
      <c r="A2520" s="12"/>
      <c r="E2520" s="14"/>
      <c r="F2520" s="14"/>
      <c r="G2520" s="13">
        <v>0</v>
      </c>
      <c r="H2520" s="13">
        <v>0</v>
      </c>
      <c r="I2520" s="13"/>
      <c r="J2520" s="13"/>
      <c r="K2520" s="13"/>
      <c r="L2520" s="15">
        <v>0</v>
      </c>
    </row>
    <row r="2521" spans="1:12">
      <c r="A2521" s="12"/>
      <c r="E2521" s="14"/>
      <c r="F2521" s="14"/>
      <c r="G2521" s="13">
        <v>0</v>
      </c>
      <c r="H2521" s="13">
        <v>0</v>
      </c>
      <c r="I2521" s="13"/>
      <c r="J2521" s="13"/>
      <c r="K2521" s="13"/>
      <c r="L2521" s="15">
        <v>0</v>
      </c>
    </row>
    <row r="2522" spans="1:12">
      <c r="A2522" s="12"/>
      <c r="E2522" s="14"/>
      <c r="F2522" s="14"/>
      <c r="G2522" s="13">
        <v>0</v>
      </c>
      <c r="H2522" s="13">
        <v>0</v>
      </c>
      <c r="I2522" s="13"/>
      <c r="J2522" s="13"/>
      <c r="K2522" s="13"/>
      <c r="L2522" s="15">
        <v>0</v>
      </c>
    </row>
    <row r="2523" spans="1:12">
      <c r="A2523" s="12"/>
      <c r="E2523" s="14"/>
      <c r="F2523" s="14"/>
      <c r="G2523" s="13">
        <v>0</v>
      </c>
      <c r="H2523" s="13">
        <v>0</v>
      </c>
      <c r="I2523" s="13"/>
      <c r="J2523" s="13"/>
      <c r="K2523" s="13"/>
      <c r="L2523" s="15">
        <v>0</v>
      </c>
    </row>
    <row r="2524" spans="1:12">
      <c r="A2524" s="12"/>
      <c r="E2524" s="14"/>
      <c r="F2524" s="14"/>
      <c r="G2524" s="13">
        <v>0</v>
      </c>
      <c r="H2524" s="13">
        <v>0</v>
      </c>
      <c r="I2524" s="13"/>
      <c r="J2524" s="13"/>
      <c r="K2524" s="13"/>
      <c r="L2524" s="15">
        <v>0</v>
      </c>
    </row>
    <row r="2525" spans="1:12">
      <c r="A2525" s="12"/>
      <c r="E2525" s="14"/>
      <c r="F2525" s="14"/>
      <c r="G2525" s="13">
        <v>0</v>
      </c>
      <c r="H2525" s="13">
        <v>0</v>
      </c>
      <c r="I2525" s="13"/>
      <c r="J2525" s="13"/>
      <c r="K2525" s="13"/>
      <c r="L2525" s="15">
        <v>0</v>
      </c>
    </row>
    <row r="2526" spans="1:12">
      <c r="A2526" s="12"/>
      <c r="E2526" s="14"/>
      <c r="F2526" s="14"/>
      <c r="G2526" s="13">
        <v>0</v>
      </c>
      <c r="H2526" s="13">
        <v>0</v>
      </c>
      <c r="I2526" s="13"/>
      <c r="J2526" s="13"/>
      <c r="K2526" s="13"/>
      <c r="L2526" s="15">
        <v>0</v>
      </c>
    </row>
    <row r="2527" spans="1:12">
      <c r="A2527" s="12"/>
      <c r="E2527" s="14"/>
      <c r="F2527" s="14"/>
      <c r="G2527" s="13">
        <v>0</v>
      </c>
      <c r="H2527" s="13">
        <v>0</v>
      </c>
      <c r="I2527" s="13"/>
      <c r="J2527" s="13"/>
      <c r="K2527" s="13"/>
      <c r="L2527" s="15">
        <v>0</v>
      </c>
    </row>
    <row r="2528" spans="1:12">
      <c r="A2528" s="12"/>
      <c r="E2528" s="14"/>
      <c r="F2528" s="14"/>
      <c r="G2528" s="13">
        <v>0</v>
      </c>
      <c r="H2528" s="13">
        <v>0</v>
      </c>
      <c r="I2528" s="13"/>
      <c r="J2528" s="13"/>
      <c r="K2528" s="13"/>
      <c r="L2528" s="15">
        <v>0</v>
      </c>
    </row>
    <row r="2529" spans="1:12">
      <c r="A2529" s="12"/>
      <c r="E2529" s="14"/>
      <c r="F2529" s="14"/>
      <c r="G2529" s="13">
        <v>0</v>
      </c>
      <c r="H2529" s="13">
        <v>0</v>
      </c>
      <c r="I2529" s="13"/>
      <c r="J2529" s="13"/>
      <c r="K2529" s="13"/>
      <c r="L2529" s="15">
        <v>0</v>
      </c>
    </row>
    <row r="2530" spans="1:12">
      <c r="A2530" s="12"/>
      <c r="E2530" s="14"/>
      <c r="F2530" s="14"/>
      <c r="G2530" s="13">
        <v>0</v>
      </c>
      <c r="H2530" s="13">
        <v>0</v>
      </c>
      <c r="I2530" s="13"/>
      <c r="J2530" s="13"/>
      <c r="K2530" s="13"/>
      <c r="L2530" s="15">
        <v>0</v>
      </c>
    </row>
    <row r="2531" spans="1:12">
      <c r="A2531" s="12"/>
      <c r="E2531" s="14"/>
      <c r="F2531" s="14"/>
      <c r="G2531" s="13">
        <v>0</v>
      </c>
      <c r="H2531" s="13">
        <v>0</v>
      </c>
      <c r="I2531" s="13"/>
      <c r="J2531" s="13"/>
      <c r="K2531" s="13"/>
      <c r="L2531" s="15">
        <v>0</v>
      </c>
    </row>
    <row r="2532" spans="1:12">
      <c r="A2532" s="12"/>
      <c r="E2532" s="14"/>
      <c r="F2532" s="14"/>
      <c r="G2532" s="13">
        <v>0</v>
      </c>
      <c r="H2532" s="13">
        <v>0</v>
      </c>
      <c r="I2532" s="13"/>
      <c r="J2532" s="13"/>
      <c r="K2532" s="13"/>
      <c r="L2532" s="15">
        <v>0</v>
      </c>
    </row>
    <row r="2533" spans="1:12">
      <c r="A2533" s="12"/>
      <c r="E2533" s="14"/>
      <c r="F2533" s="14"/>
      <c r="G2533" s="13">
        <v>0</v>
      </c>
      <c r="H2533" s="13">
        <v>0</v>
      </c>
      <c r="I2533" s="13"/>
      <c r="J2533" s="13"/>
      <c r="K2533" s="13"/>
      <c r="L2533" s="15">
        <v>0</v>
      </c>
    </row>
    <row r="2534" spans="1:12">
      <c r="A2534" s="12"/>
      <c r="E2534" s="14"/>
      <c r="F2534" s="14"/>
      <c r="G2534" s="13">
        <v>0</v>
      </c>
      <c r="H2534" s="13">
        <v>0</v>
      </c>
      <c r="I2534" s="13"/>
      <c r="J2534" s="13"/>
      <c r="K2534" s="13"/>
      <c r="L2534" s="15">
        <v>0</v>
      </c>
    </row>
    <row r="2535" spans="1:12">
      <c r="A2535" s="12"/>
      <c r="E2535" s="14"/>
      <c r="F2535" s="14"/>
      <c r="G2535" s="13">
        <v>0</v>
      </c>
      <c r="H2535" s="13">
        <v>0</v>
      </c>
      <c r="I2535" s="13"/>
      <c r="J2535" s="13"/>
      <c r="K2535" s="13"/>
      <c r="L2535" s="15">
        <v>0</v>
      </c>
    </row>
    <row r="2536" spans="1:12">
      <c r="A2536" s="12"/>
      <c r="E2536" s="14"/>
      <c r="F2536" s="14"/>
      <c r="G2536" s="13">
        <v>0</v>
      </c>
      <c r="H2536" s="13">
        <v>0</v>
      </c>
      <c r="I2536" s="13"/>
      <c r="J2536" s="13"/>
      <c r="K2536" s="13"/>
      <c r="L2536" s="15">
        <v>0</v>
      </c>
    </row>
    <row r="2537" spans="1:12">
      <c r="A2537" s="12"/>
      <c r="E2537" s="14"/>
      <c r="F2537" s="14"/>
      <c r="G2537" s="13">
        <v>0</v>
      </c>
      <c r="H2537" s="13">
        <v>0</v>
      </c>
      <c r="I2537" s="13"/>
      <c r="J2537" s="13"/>
      <c r="K2537" s="13"/>
      <c r="L2537" s="15">
        <v>0</v>
      </c>
    </row>
    <row r="2538" spans="1:12">
      <c r="A2538" s="12"/>
      <c r="E2538" s="14"/>
      <c r="F2538" s="14"/>
      <c r="G2538" s="13">
        <v>0</v>
      </c>
      <c r="H2538" s="13">
        <v>0</v>
      </c>
      <c r="I2538" s="13"/>
      <c r="J2538" s="13"/>
      <c r="K2538" s="13"/>
      <c r="L2538" s="15">
        <v>0</v>
      </c>
    </row>
    <row r="2539" spans="1:12">
      <c r="A2539" s="12"/>
      <c r="E2539" s="14"/>
      <c r="F2539" s="14"/>
      <c r="G2539" s="13">
        <v>0</v>
      </c>
      <c r="H2539" s="13">
        <v>0</v>
      </c>
      <c r="I2539" s="13"/>
      <c r="J2539" s="13"/>
      <c r="K2539" s="13"/>
      <c r="L2539" s="15">
        <v>0</v>
      </c>
    </row>
    <row r="2540" spans="1:12">
      <c r="A2540" s="12"/>
      <c r="E2540" s="14"/>
      <c r="F2540" s="14"/>
      <c r="G2540" s="13">
        <v>0</v>
      </c>
      <c r="H2540" s="13">
        <v>0</v>
      </c>
      <c r="I2540" s="13"/>
      <c r="J2540" s="13"/>
      <c r="K2540" s="13"/>
      <c r="L2540" s="15">
        <v>0</v>
      </c>
    </row>
    <row r="2541" spans="1:12">
      <c r="A2541" s="12"/>
      <c r="E2541" s="14"/>
      <c r="F2541" s="14"/>
      <c r="G2541" s="13">
        <v>0</v>
      </c>
      <c r="H2541" s="13">
        <v>0</v>
      </c>
      <c r="I2541" s="13"/>
      <c r="J2541" s="13"/>
      <c r="K2541" s="13"/>
      <c r="L2541" s="15">
        <v>0</v>
      </c>
    </row>
    <row r="2542" spans="1:12">
      <c r="A2542" s="12"/>
      <c r="E2542" s="14"/>
      <c r="F2542" s="14"/>
      <c r="G2542" s="13">
        <v>0</v>
      </c>
      <c r="H2542" s="13">
        <v>0</v>
      </c>
      <c r="I2542" s="13"/>
      <c r="J2542" s="13"/>
      <c r="K2542" s="13"/>
      <c r="L2542" s="15">
        <v>0</v>
      </c>
    </row>
    <row r="2543" spans="1:12">
      <c r="A2543" s="12"/>
      <c r="E2543" s="14"/>
      <c r="F2543" s="14"/>
      <c r="G2543" s="13">
        <v>0</v>
      </c>
      <c r="H2543" s="13">
        <v>0</v>
      </c>
      <c r="I2543" s="13"/>
      <c r="J2543" s="13"/>
      <c r="K2543" s="13"/>
      <c r="L2543" s="15">
        <v>0</v>
      </c>
    </row>
    <row r="2544" spans="1:12">
      <c r="A2544" s="12"/>
      <c r="E2544" s="14"/>
      <c r="F2544" s="14"/>
      <c r="G2544" s="13">
        <v>0</v>
      </c>
      <c r="H2544" s="13">
        <v>0</v>
      </c>
      <c r="I2544" s="13"/>
      <c r="J2544" s="13"/>
      <c r="K2544" s="13"/>
      <c r="L2544" s="15">
        <v>0</v>
      </c>
    </row>
    <row r="2545" spans="1:12">
      <c r="A2545" s="12"/>
      <c r="E2545" s="14"/>
      <c r="F2545" s="14"/>
      <c r="G2545" s="13">
        <v>0</v>
      </c>
      <c r="H2545" s="13">
        <v>0</v>
      </c>
      <c r="I2545" s="13"/>
      <c r="J2545" s="13"/>
      <c r="K2545" s="13"/>
      <c r="L2545" s="15">
        <v>0</v>
      </c>
    </row>
    <row r="2546" spans="1:12">
      <c r="A2546" s="12"/>
      <c r="E2546" s="14"/>
      <c r="F2546" s="14"/>
      <c r="G2546" s="13">
        <v>0</v>
      </c>
      <c r="H2546" s="13">
        <v>0</v>
      </c>
      <c r="I2546" s="13"/>
      <c r="J2546" s="13"/>
      <c r="K2546" s="13"/>
      <c r="L2546" s="15">
        <v>0</v>
      </c>
    </row>
    <row r="2547" spans="1:12">
      <c r="A2547" s="12"/>
      <c r="E2547" s="14"/>
      <c r="F2547" s="14"/>
      <c r="G2547" s="13">
        <v>0</v>
      </c>
      <c r="H2547" s="13">
        <v>0</v>
      </c>
      <c r="I2547" s="13"/>
      <c r="J2547" s="13"/>
      <c r="K2547" s="13"/>
      <c r="L2547" s="15">
        <v>0</v>
      </c>
    </row>
    <row r="2548" spans="1:12">
      <c r="A2548" s="12"/>
      <c r="E2548" s="14"/>
      <c r="F2548" s="14"/>
      <c r="G2548" s="13">
        <v>0</v>
      </c>
      <c r="H2548" s="13">
        <v>0</v>
      </c>
      <c r="I2548" s="13"/>
      <c r="J2548" s="13"/>
      <c r="K2548" s="13"/>
      <c r="L2548" s="15">
        <v>0</v>
      </c>
    </row>
    <row r="2549" spans="1:12">
      <c r="A2549" s="12"/>
      <c r="E2549" s="14"/>
      <c r="F2549" s="14"/>
      <c r="G2549" s="13">
        <v>0</v>
      </c>
      <c r="H2549" s="13">
        <v>0</v>
      </c>
      <c r="I2549" s="13"/>
      <c r="J2549" s="13"/>
      <c r="K2549" s="13"/>
      <c r="L2549" s="15">
        <v>0</v>
      </c>
    </row>
    <row r="2550" spans="1:12">
      <c r="A2550" s="12"/>
      <c r="E2550" s="14"/>
      <c r="F2550" s="14"/>
      <c r="G2550" s="13">
        <v>0</v>
      </c>
      <c r="H2550" s="13">
        <v>0</v>
      </c>
      <c r="I2550" s="13"/>
      <c r="J2550" s="13"/>
      <c r="K2550" s="13"/>
      <c r="L2550" s="15">
        <v>0</v>
      </c>
    </row>
    <row r="2551" spans="1:12">
      <c r="A2551" s="12"/>
      <c r="E2551" s="14"/>
      <c r="F2551" s="14"/>
      <c r="G2551" s="13">
        <v>0</v>
      </c>
      <c r="H2551" s="13">
        <v>0</v>
      </c>
      <c r="I2551" s="13"/>
      <c r="J2551" s="13"/>
      <c r="K2551" s="13"/>
      <c r="L2551" s="15">
        <v>0</v>
      </c>
    </row>
    <row r="2552" spans="1:12">
      <c r="A2552" s="12"/>
      <c r="E2552" s="14"/>
      <c r="F2552" s="14"/>
      <c r="G2552" s="13">
        <v>0</v>
      </c>
      <c r="H2552" s="13">
        <v>0</v>
      </c>
      <c r="I2552" s="13"/>
      <c r="J2552" s="13"/>
      <c r="K2552" s="13"/>
      <c r="L2552" s="15">
        <v>0</v>
      </c>
    </row>
    <row r="2553" spans="1:12">
      <c r="A2553" s="12"/>
      <c r="E2553" s="14"/>
      <c r="F2553" s="14"/>
      <c r="G2553" s="13">
        <v>0</v>
      </c>
      <c r="H2553" s="13">
        <v>0</v>
      </c>
      <c r="I2553" s="13"/>
      <c r="J2553" s="13"/>
      <c r="K2553" s="13"/>
      <c r="L2553" s="15">
        <v>0</v>
      </c>
    </row>
    <row r="2554" spans="1:12">
      <c r="A2554" s="12"/>
      <c r="E2554" s="14"/>
      <c r="F2554" s="14"/>
      <c r="G2554" s="13">
        <v>0</v>
      </c>
      <c r="H2554" s="13">
        <v>0</v>
      </c>
      <c r="I2554" s="13"/>
      <c r="J2554" s="13"/>
      <c r="K2554" s="13"/>
      <c r="L2554" s="15">
        <v>0</v>
      </c>
    </row>
    <row r="2555" spans="1:12">
      <c r="A2555" s="12"/>
      <c r="E2555" s="14"/>
      <c r="F2555" s="14"/>
      <c r="G2555" s="13">
        <v>0</v>
      </c>
      <c r="H2555" s="13">
        <v>0</v>
      </c>
      <c r="I2555" s="13"/>
      <c r="J2555" s="13"/>
      <c r="K2555" s="13"/>
      <c r="L2555" s="15">
        <v>0</v>
      </c>
    </row>
    <row r="2556" spans="1:12">
      <c r="A2556" s="12"/>
      <c r="E2556" s="14"/>
      <c r="F2556" s="14"/>
      <c r="G2556" s="13">
        <v>0</v>
      </c>
      <c r="H2556" s="13">
        <v>0</v>
      </c>
      <c r="I2556" s="13"/>
      <c r="J2556" s="13"/>
      <c r="K2556" s="13"/>
      <c r="L2556" s="15">
        <v>0</v>
      </c>
    </row>
    <row r="2557" spans="1:12">
      <c r="A2557" s="12"/>
      <c r="E2557" s="14"/>
      <c r="F2557" s="14"/>
      <c r="G2557" s="13">
        <v>0</v>
      </c>
      <c r="H2557" s="13">
        <v>0</v>
      </c>
      <c r="I2557" s="13"/>
      <c r="J2557" s="13"/>
      <c r="K2557" s="13"/>
      <c r="L2557" s="15">
        <v>0</v>
      </c>
    </row>
    <row r="2558" spans="1:12">
      <c r="A2558" s="12"/>
      <c r="E2558" s="14"/>
      <c r="F2558" s="14"/>
      <c r="G2558" s="13">
        <v>0</v>
      </c>
      <c r="H2558" s="13">
        <v>0</v>
      </c>
      <c r="I2558" s="13"/>
      <c r="J2558" s="13"/>
      <c r="K2558" s="13"/>
      <c r="L2558" s="15">
        <v>0</v>
      </c>
    </row>
    <row r="2559" spans="1:12">
      <c r="A2559" s="12"/>
      <c r="E2559" s="14"/>
      <c r="F2559" s="14"/>
      <c r="G2559" s="13">
        <v>0</v>
      </c>
      <c r="H2559" s="13">
        <v>0</v>
      </c>
      <c r="I2559" s="13"/>
      <c r="J2559" s="13"/>
      <c r="K2559" s="13"/>
      <c r="L2559" s="15">
        <v>0</v>
      </c>
    </row>
    <row r="2560" spans="1:12">
      <c r="A2560" s="12"/>
      <c r="E2560" s="14"/>
      <c r="F2560" s="14"/>
      <c r="G2560" s="13">
        <v>0</v>
      </c>
      <c r="H2560" s="13">
        <v>0</v>
      </c>
      <c r="I2560" s="13"/>
      <c r="J2560" s="13"/>
      <c r="K2560" s="13"/>
      <c r="L2560" s="15">
        <v>0</v>
      </c>
    </row>
    <row r="2561" spans="1:12">
      <c r="A2561" s="12"/>
      <c r="E2561" s="14"/>
      <c r="F2561" s="14"/>
      <c r="G2561" s="13">
        <v>0</v>
      </c>
      <c r="H2561" s="13">
        <v>0</v>
      </c>
      <c r="I2561" s="13"/>
      <c r="J2561" s="13"/>
      <c r="K2561" s="13"/>
      <c r="L2561" s="15">
        <v>0</v>
      </c>
    </row>
    <row r="2562" spans="1:12">
      <c r="A2562" s="12"/>
      <c r="E2562" s="14"/>
      <c r="F2562" s="14"/>
      <c r="G2562" s="13">
        <v>0</v>
      </c>
      <c r="H2562" s="13">
        <v>0</v>
      </c>
      <c r="I2562" s="13"/>
      <c r="J2562" s="13"/>
      <c r="K2562" s="13"/>
      <c r="L2562" s="15">
        <v>0</v>
      </c>
    </row>
    <row r="2563" spans="1:12">
      <c r="A2563" s="12"/>
      <c r="E2563" s="14"/>
      <c r="F2563" s="14"/>
      <c r="G2563" s="13">
        <v>0</v>
      </c>
      <c r="H2563" s="13">
        <v>0</v>
      </c>
      <c r="I2563" s="13"/>
      <c r="J2563" s="13"/>
      <c r="K2563" s="13"/>
      <c r="L2563" s="15">
        <v>0</v>
      </c>
    </row>
    <row r="2564" spans="1:12">
      <c r="A2564" s="12"/>
      <c r="E2564" s="14"/>
      <c r="F2564" s="14"/>
      <c r="G2564" s="13">
        <v>0</v>
      </c>
      <c r="H2564" s="13">
        <v>0</v>
      </c>
      <c r="I2564" s="13"/>
      <c r="J2564" s="13"/>
      <c r="K2564" s="13"/>
      <c r="L2564" s="15">
        <v>0</v>
      </c>
    </row>
    <row r="2565" spans="1:12">
      <c r="A2565" s="12"/>
      <c r="E2565" s="14"/>
      <c r="F2565" s="14"/>
      <c r="G2565" s="13">
        <v>0</v>
      </c>
      <c r="H2565" s="13">
        <v>0</v>
      </c>
      <c r="I2565" s="13"/>
      <c r="J2565" s="13"/>
      <c r="K2565" s="13"/>
      <c r="L2565" s="15">
        <v>0</v>
      </c>
    </row>
    <row r="2566" spans="1:12">
      <c r="A2566" s="12"/>
      <c r="E2566" s="14"/>
      <c r="F2566" s="14"/>
      <c r="G2566" s="13">
        <v>0</v>
      </c>
      <c r="H2566" s="13">
        <v>0</v>
      </c>
      <c r="I2566" s="13"/>
      <c r="J2566" s="13"/>
      <c r="K2566" s="13"/>
      <c r="L2566" s="15">
        <v>0</v>
      </c>
    </row>
    <row r="2567" spans="1:12">
      <c r="A2567" s="12"/>
      <c r="E2567" s="14"/>
      <c r="F2567" s="14"/>
      <c r="G2567" s="13">
        <v>0</v>
      </c>
      <c r="H2567" s="13">
        <v>0</v>
      </c>
      <c r="I2567" s="13"/>
      <c r="J2567" s="13"/>
      <c r="K2567" s="13"/>
      <c r="L2567" s="15">
        <v>0</v>
      </c>
    </row>
    <row r="2568" spans="1:12">
      <c r="A2568" s="12"/>
      <c r="E2568" s="14"/>
      <c r="F2568" s="14"/>
      <c r="G2568" s="13">
        <v>0</v>
      </c>
      <c r="H2568" s="13">
        <v>0</v>
      </c>
      <c r="I2568" s="13"/>
      <c r="J2568" s="13"/>
      <c r="K2568" s="13"/>
      <c r="L2568" s="15">
        <v>0</v>
      </c>
    </row>
    <row r="2569" spans="1:12">
      <c r="A2569" s="12"/>
      <c r="E2569" s="14"/>
      <c r="F2569" s="14"/>
      <c r="G2569" s="13">
        <v>0</v>
      </c>
      <c r="H2569" s="13">
        <v>0</v>
      </c>
      <c r="I2569" s="13"/>
      <c r="J2569" s="13"/>
      <c r="K2569" s="13"/>
      <c r="L2569" s="15">
        <v>0</v>
      </c>
    </row>
    <row r="2570" spans="1:12">
      <c r="A2570" s="12"/>
      <c r="E2570" s="14"/>
      <c r="F2570" s="14"/>
      <c r="G2570" s="13">
        <v>0</v>
      </c>
      <c r="H2570" s="13">
        <v>0</v>
      </c>
      <c r="I2570" s="13"/>
      <c r="J2570" s="13"/>
      <c r="K2570" s="13"/>
      <c r="L2570" s="15">
        <v>0</v>
      </c>
    </row>
    <row r="2571" spans="1:12">
      <c r="A2571" s="12"/>
      <c r="E2571" s="14"/>
      <c r="F2571" s="14"/>
      <c r="G2571" s="13">
        <v>0</v>
      </c>
      <c r="H2571" s="13">
        <v>0</v>
      </c>
      <c r="I2571" s="13"/>
      <c r="J2571" s="13"/>
      <c r="K2571" s="13"/>
      <c r="L2571" s="15">
        <v>0</v>
      </c>
    </row>
    <row r="2572" spans="1:12">
      <c r="A2572" s="12"/>
      <c r="E2572" s="14"/>
      <c r="F2572" s="14"/>
      <c r="G2572" s="13">
        <v>0</v>
      </c>
      <c r="H2572" s="13">
        <v>0</v>
      </c>
      <c r="I2572" s="13"/>
      <c r="J2572" s="13"/>
      <c r="K2572" s="13"/>
      <c r="L2572" s="15">
        <v>0</v>
      </c>
    </row>
    <row r="2573" spans="1:12">
      <c r="A2573" s="12"/>
      <c r="E2573" s="14"/>
      <c r="F2573" s="14"/>
      <c r="G2573" s="13">
        <v>0</v>
      </c>
      <c r="H2573" s="13">
        <v>0</v>
      </c>
      <c r="I2573" s="13"/>
      <c r="J2573" s="13"/>
      <c r="K2573" s="13"/>
      <c r="L2573" s="15">
        <v>0</v>
      </c>
    </row>
    <row r="2574" spans="1:12">
      <c r="A2574" s="12"/>
      <c r="E2574" s="14"/>
      <c r="F2574" s="14"/>
      <c r="G2574" s="13">
        <v>0</v>
      </c>
      <c r="H2574" s="13">
        <v>0</v>
      </c>
      <c r="I2574" s="13"/>
      <c r="J2574" s="13"/>
      <c r="K2574" s="13"/>
      <c r="L2574" s="15">
        <v>0</v>
      </c>
    </row>
    <row r="2575" spans="1:12">
      <c r="A2575" s="12"/>
      <c r="E2575" s="14"/>
      <c r="F2575" s="14"/>
      <c r="G2575" s="13">
        <v>0</v>
      </c>
      <c r="H2575" s="13">
        <v>0</v>
      </c>
      <c r="I2575" s="13"/>
      <c r="J2575" s="13"/>
      <c r="K2575" s="13"/>
      <c r="L2575" s="15">
        <v>0</v>
      </c>
    </row>
    <row r="2576" spans="1:12">
      <c r="A2576" s="12"/>
      <c r="E2576" s="14"/>
      <c r="F2576" s="14"/>
      <c r="G2576" s="13">
        <v>0</v>
      </c>
      <c r="H2576" s="13">
        <v>0</v>
      </c>
      <c r="I2576" s="13"/>
      <c r="J2576" s="13"/>
      <c r="K2576" s="13"/>
      <c r="L2576" s="15">
        <v>0</v>
      </c>
    </row>
    <row r="2577" spans="1:12">
      <c r="A2577" s="12"/>
      <c r="E2577" s="14"/>
      <c r="F2577" s="14"/>
      <c r="G2577" s="13">
        <v>0</v>
      </c>
      <c r="H2577" s="13">
        <v>0</v>
      </c>
      <c r="I2577" s="13"/>
      <c r="J2577" s="13"/>
      <c r="K2577" s="13"/>
      <c r="L2577" s="15">
        <v>0</v>
      </c>
    </row>
    <row r="2578" spans="1:12">
      <c r="A2578" s="12"/>
      <c r="E2578" s="14"/>
      <c r="F2578" s="14"/>
      <c r="G2578" s="13">
        <v>0</v>
      </c>
      <c r="H2578" s="13">
        <v>0</v>
      </c>
      <c r="I2578" s="13"/>
      <c r="J2578" s="13"/>
      <c r="K2578" s="13"/>
      <c r="L2578" s="15">
        <v>0</v>
      </c>
    </row>
    <row r="2579" spans="1:12">
      <c r="A2579" s="12"/>
      <c r="E2579" s="14"/>
      <c r="F2579" s="14"/>
      <c r="G2579" s="13">
        <v>0</v>
      </c>
      <c r="H2579" s="13">
        <v>0</v>
      </c>
      <c r="I2579" s="13"/>
      <c r="J2579" s="13"/>
      <c r="K2579" s="13"/>
      <c r="L2579" s="15">
        <v>0</v>
      </c>
    </row>
    <row r="2580" spans="1:12">
      <c r="A2580" s="12"/>
      <c r="E2580" s="14"/>
      <c r="F2580" s="14"/>
      <c r="G2580" s="13">
        <v>0</v>
      </c>
      <c r="H2580" s="13">
        <v>0</v>
      </c>
      <c r="I2580" s="13"/>
      <c r="J2580" s="13"/>
      <c r="K2580" s="13"/>
      <c r="L2580" s="15">
        <v>0</v>
      </c>
    </row>
    <row r="2581" spans="1:12">
      <c r="A2581" s="12"/>
      <c r="E2581" s="14"/>
      <c r="F2581" s="14"/>
      <c r="G2581" s="13">
        <v>0</v>
      </c>
      <c r="H2581" s="13">
        <v>0</v>
      </c>
      <c r="I2581" s="13"/>
      <c r="J2581" s="13"/>
      <c r="K2581" s="13"/>
      <c r="L2581" s="15">
        <v>0</v>
      </c>
    </row>
    <row r="2582" spans="1:12">
      <c r="A2582" s="12"/>
      <c r="E2582" s="14"/>
      <c r="F2582" s="14"/>
      <c r="G2582" s="13">
        <v>0</v>
      </c>
      <c r="H2582" s="13">
        <v>0</v>
      </c>
      <c r="I2582" s="13"/>
      <c r="J2582" s="13"/>
      <c r="K2582" s="13"/>
      <c r="L2582" s="15">
        <v>0</v>
      </c>
    </row>
    <row r="2583" spans="1:12">
      <c r="A2583" s="12"/>
      <c r="E2583" s="14"/>
      <c r="F2583" s="14"/>
      <c r="G2583" s="13">
        <v>0</v>
      </c>
      <c r="H2583" s="13">
        <v>0</v>
      </c>
      <c r="I2583" s="13"/>
      <c r="J2583" s="13"/>
      <c r="K2583" s="13"/>
      <c r="L2583" s="15">
        <v>0</v>
      </c>
    </row>
    <row r="2584" spans="1:12">
      <c r="A2584" s="12"/>
      <c r="E2584" s="14"/>
      <c r="F2584" s="14"/>
      <c r="G2584" s="13">
        <v>0</v>
      </c>
      <c r="H2584" s="13">
        <v>0</v>
      </c>
      <c r="I2584" s="13"/>
      <c r="J2584" s="13"/>
      <c r="K2584" s="13"/>
      <c r="L2584" s="15">
        <v>0</v>
      </c>
    </row>
    <row r="2585" spans="1:12">
      <c r="A2585" s="12"/>
      <c r="E2585" s="14"/>
      <c r="F2585" s="14"/>
      <c r="G2585" s="13">
        <v>0</v>
      </c>
      <c r="H2585" s="13">
        <v>0</v>
      </c>
      <c r="I2585" s="13"/>
      <c r="J2585" s="13"/>
      <c r="K2585" s="13"/>
      <c r="L2585" s="15">
        <v>0</v>
      </c>
    </row>
    <row r="2586" spans="1:12">
      <c r="A2586" s="12"/>
      <c r="E2586" s="14"/>
      <c r="F2586" s="14"/>
      <c r="G2586" s="13">
        <v>0</v>
      </c>
      <c r="H2586" s="13">
        <v>0</v>
      </c>
      <c r="I2586" s="13"/>
      <c r="J2586" s="13"/>
      <c r="K2586" s="13"/>
      <c r="L2586" s="15">
        <v>0</v>
      </c>
    </row>
    <row r="2587" spans="1:12">
      <c r="A2587" s="12"/>
      <c r="E2587" s="14"/>
      <c r="F2587" s="14"/>
      <c r="G2587" s="13">
        <v>0</v>
      </c>
      <c r="H2587" s="13">
        <v>0</v>
      </c>
      <c r="I2587" s="13"/>
      <c r="J2587" s="13"/>
      <c r="K2587" s="13"/>
      <c r="L2587" s="15">
        <v>0</v>
      </c>
    </row>
    <row r="2588" spans="1:12">
      <c r="A2588" s="12"/>
      <c r="E2588" s="14"/>
      <c r="F2588" s="14"/>
      <c r="G2588" s="13">
        <v>0</v>
      </c>
      <c r="H2588" s="13">
        <v>0</v>
      </c>
      <c r="I2588" s="13"/>
      <c r="J2588" s="13"/>
      <c r="K2588" s="13"/>
      <c r="L2588" s="15">
        <v>0</v>
      </c>
    </row>
    <row r="2589" spans="1:12">
      <c r="A2589" s="12"/>
      <c r="E2589" s="14"/>
      <c r="F2589" s="14"/>
      <c r="G2589" s="13">
        <v>0</v>
      </c>
      <c r="H2589" s="13">
        <v>0</v>
      </c>
      <c r="I2589" s="13"/>
      <c r="J2589" s="13"/>
      <c r="K2589" s="13"/>
      <c r="L2589" s="15">
        <v>0</v>
      </c>
    </row>
    <row r="2590" spans="1:12">
      <c r="A2590" s="12"/>
      <c r="E2590" s="14"/>
      <c r="F2590" s="14"/>
      <c r="G2590" s="13">
        <v>0</v>
      </c>
      <c r="H2590" s="13">
        <v>0</v>
      </c>
      <c r="I2590" s="13"/>
      <c r="J2590" s="13"/>
      <c r="K2590" s="13"/>
      <c r="L2590" s="15">
        <v>0</v>
      </c>
    </row>
    <row r="2591" spans="1:12">
      <c r="A2591" s="12"/>
      <c r="E2591" s="14"/>
      <c r="F2591" s="14"/>
      <c r="G2591" s="13">
        <v>0</v>
      </c>
      <c r="H2591" s="13">
        <v>0</v>
      </c>
      <c r="I2591" s="13"/>
      <c r="J2591" s="13"/>
      <c r="K2591" s="13"/>
      <c r="L2591" s="15">
        <v>0</v>
      </c>
    </row>
    <row r="2592" spans="1:12">
      <c r="A2592" s="12"/>
      <c r="E2592" s="14"/>
      <c r="F2592" s="14"/>
      <c r="G2592" s="13">
        <v>0</v>
      </c>
      <c r="H2592" s="13">
        <v>0</v>
      </c>
      <c r="I2592" s="13"/>
      <c r="J2592" s="13"/>
      <c r="K2592" s="13"/>
      <c r="L2592" s="15">
        <v>0</v>
      </c>
    </row>
    <row r="2593" spans="1:12">
      <c r="A2593" s="12"/>
      <c r="E2593" s="14"/>
      <c r="F2593" s="14"/>
      <c r="G2593" s="13">
        <v>0</v>
      </c>
      <c r="H2593" s="13">
        <v>0</v>
      </c>
      <c r="I2593" s="13"/>
      <c r="J2593" s="13"/>
      <c r="K2593" s="13"/>
      <c r="L2593" s="15">
        <v>0</v>
      </c>
    </row>
    <row r="2594" spans="1:12">
      <c r="A2594" s="12"/>
      <c r="E2594" s="14"/>
      <c r="F2594" s="14"/>
      <c r="G2594" s="13">
        <v>0</v>
      </c>
      <c r="H2594" s="13">
        <v>0</v>
      </c>
      <c r="I2594" s="13"/>
      <c r="J2594" s="13"/>
      <c r="K2594" s="13"/>
      <c r="L2594" s="15">
        <v>0</v>
      </c>
    </row>
    <row r="2595" spans="1:12">
      <c r="A2595" s="12"/>
      <c r="E2595" s="14"/>
      <c r="F2595" s="14"/>
      <c r="G2595" s="13">
        <v>0</v>
      </c>
      <c r="H2595" s="13">
        <v>0</v>
      </c>
      <c r="I2595" s="13"/>
      <c r="J2595" s="13"/>
      <c r="K2595" s="13"/>
      <c r="L2595" s="15">
        <v>0</v>
      </c>
    </row>
    <row r="2596" spans="1:12">
      <c r="A2596" s="12"/>
      <c r="E2596" s="14"/>
      <c r="F2596" s="14"/>
      <c r="G2596" s="13">
        <v>0</v>
      </c>
      <c r="H2596" s="13">
        <v>0</v>
      </c>
      <c r="I2596" s="13"/>
      <c r="J2596" s="13"/>
      <c r="K2596" s="13"/>
      <c r="L2596" s="15">
        <v>0</v>
      </c>
    </row>
    <row r="2597" spans="1:12">
      <c r="A2597" s="12"/>
      <c r="E2597" s="14"/>
      <c r="F2597" s="14"/>
      <c r="G2597" s="13">
        <v>0</v>
      </c>
      <c r="H2597" s="13">
        <v>0</v>
      </c>
      <c r="I2597" s="13"/>
      <c r="J2597" s="13"/>
      <c r="K2597" s="13"/>
      <c r="L2597" s="15">
        <v>0</v>
      </c>
    </row>
    <row r="2598" spans="1:12">
      <c r="A2598" s="12"/>
      <c r="E2598" s="14"/>
      <c r="F2598" s="14"/>
      <c r="G2598" s="13">
        <v>0</v>
      </c>
      <c r="H2598" s="13">
        <v>0</v>
      </c>
      <c r="I2598" s="13"/>
      <c r="J2598" s="13"/>
      <c r="K2598" s="13"/>
      <c r="L2598" s="15">
        <v>0</v>
      </c>
    </row>
    <row r="2599" spans="1:12">
      <c r="A2599" s="12"/>
      <c r="E2599" s="14"/>
      <c r="F2599" s="14"/>
      <c r="G2599" s="13">
        <v>0</v>
      </c>
      <c r="H2599" s="13">
        <v>0</v>
      </c>
      <c r="I2599" s="13"/>
      <c r="J2599" s="13"/>
      <c r="K2599" s="13"/>
      <c r="L2599" s="15">
        <v>0</v>
      </c>
    </row>
    <row r="2600" spans="1:12">
      <c r="A2600" s="12"/>
      <c r="E2600" s="14"/>
      <c r="F2600" s="14"/>
      <c r="G2600" s="13">
        <v>0</v>
      </c>
      <c r="H2600" s="13">
        <v>0</v>
      </c>
      <c r="I2600" s="13"/>
      <c r="J2600" s="13"/>
      <c r="K2600" s="13"/>
      <c r="L2600" s="15">
        <v>0</v>
      </c>
    </row>
    <row r="2601" spans="1:12">
      <c r="A2601" s="12"/>
      <c r="E2601" s="14"/>
      <c r="F2601" s="14"/>
      <c r="G2601" s="13">
        <v>0</v>
      </c>
      <c r="H2601" s="13">
        <v>0</v>
      </c>
      <c r="I2601" s="13"/>
      <c r="J2601" s="13"/>
      <c r="K2601" s="13"/>
      <c r="L2601" s="15">
        <v>0</v>
      </c>
    </row>
    <row r="2602" spans="1:12">
      <c r="A2602" s="12"/>
      <c r="E2602" s="14"/>
      <c r="F2602" s="14"/>
      <c r="G2602" s="13">
        <v>0</v>
      </c>
      <c r="H2602" s="13">
        <v>0</v>
      </c>
      <c r="I2602" s="13"/>
      <c r="J2602" s="13"/>
      <c r="K2602" s="13"/>
      <c r="L2602" s="15">
        <v>0</v>
      </c>
    </row>
    <row r="2603" spans="1:12">
      <c r="A2603" s="12"/>
      <c r="E2603" s="14"/>
      <c r="F2603" s="14"/>
      <c r="G2603" s="13">
        <v>0</v>
      </c>
      <c r="H2603" s="13">
        <v>0</v>
      </c>
      <c r="I2603" s="13"/>
      <c r="J2603" s="13"/>
      <c r="K2603" s="13"/>
      <c r="L2603" s="15">
        <v>0</v>
      </c>
    </row>
    <row r="2604" spans="1:12">
      <c r="A2604" s="12"/>
      <c r="E2604" s="14"/>
      <c r="F2604" s="14"/>
      <c r="G2604" s="13">
        <v>0</v>
      </c>
      <c r="H2604" s="13">
        <v>0</v>
      </c>
      <c r="I2604" s="13"/>
      <c r="J2604" s="13"/>
      <c r="K2604" s="13"/>
      <c r="L2604" s="15">
        <v>0</v>
      </c>
    </row>
    <row r="2605" spans="1:12">
      <c r="A2605" s="12"/>
      <c r="E2605" s="14"/>
      <c r="F2605" s="14"/>
      <c r="G2605" s="13">
        <v>0</v>
      </c>
      <c r="H2605" s="13">
        <v>0</v>
      </c>
      <c r="I2605" s="13"/>
      <c r="J2605" s="13"/>
      <c r="K2605" s="13"/>
      <c r="L2605" s="15">
        <v>0</v>
      </c>
    </row>
    <row r="2606" spans="1:12">
      <c r="A2606" s="12"/>
      <c r="E2606" s="14"/>
      <c r="F2606" s="14"/>
      <c r="G2606" s="13">
        <v>0</v>
      </c>
      <c r="H2606" s="13">
        <v>0</v>
      </c>
      <c r="I2606" s="13"/>
      <c r="J2606" s="13"/>
      <c r="K2606" s="13"/>
      <c r="L2606" s="15">
        <v>0</v>
      </c>
    </row>
    <row r="2607" spans="1:12">
      <c r="A2607" s="12"/>
      <c r="E2607" s="14"/>
      <c r="F2607" s="14"/>
      <c r="G2607" s="13">
        <v>0</v>
      </c>
      <c r="H2607" s="13">
        <v>0</v>
      </c>
      <c r="I2607" s="13"/>
      <c r="J2607" s="13"/>
      <c r="K2607" s="13"/>
      <c r="L2607" s="15">
        <v>0</v>
      </c>
    </row>
    <row r="2608" spans="1:12">
      <c r="A2608" s="12"/>
      <c r="E2608" s="14"/>
      <c r="F2608" s="14"/>
      <c r="G2608" s="13">
        <v>0</v>
      </c>
      <c r="H2608" s="13">
        <v>0</v>
      </c>
      <c r="I2608" s="13"/>
      <c r="J2608" s="13"/>
      <c r="K2608" s="13"/>
      <c r="L2608" s="15">
        <v>0</v>
      </c>
    </row>
    <row r="2609" spans="1:12">
      <c r="A2609" s="12"/>
      <c r="E2609" s="14"/>
      <c r="F2609" s="14"/>
      <c r="G2609" s="13">
        <v>0</v>
      </c>
      <c r="H2609" s="13">
        <v>0</v>
      </c>
      <c r="I2609" s="13"/>
      <c r="J2609" s="13"/>
      <c r="K2609" s="13"/>
      <c r="L2609" s="15">
        <v>0</v>
      </c>
    </row>
    <row r="2610" spans="1:12">
      <c r="A2610" s="12"/>
      <c r="E2610" s="14"/>
      <c r="F2610" s="14"/>
      <c r="G2610" s="13">
        <v>0</v>
      </c>
      <c r="H2610" s="13">
        <v>0</v>
      </c>
      <c r="I2610" s="13"/>
      <c r="J2610" s="13"/>
      <c r="K2610" s="13"/>
      <c r="L2610" s="15">
        <v>0</v>
      </c>
    </row>
    <row r="2611" spans="1:12">
      <c r="A2611" s="12"/>
      <c r="E2611" s="14"/>
      <c r="F2611" s="14"/>
      <c r="G2611" s="13">
        <v>0</v>
      </c>
      <c r="H2611" s="13">
        <v>0</v>
      </c>
      <c r="I2611" s="13"/>
      <c r="J2611" s="13"/>
      <c r="K2611" s="13"/>
      <c r="L2611" s="15">
        <v>0</v>
      </c>
    </row>
    <row r="2612" spans="1:12">
      <c r="A2612" s="12"/>
      <c r="E2612" s="14"/>
      <c r="F2612" s="14"/>
      <c r="G2612" s="13">
        <v>0</v>
      </c>
      <c r="H2612" s="13">
        <v>0</v>
      </c>
      <c r="I2612" s="13"/>
      <c r="J2612" s="13"/>
      <c r="K2612" s="13"/>
      <c r="L2612" s="15">
        <v>0</v>
      </c>
    </row>
    <row r="2613" spans="1:12">
      <c r="A2613" s="12"/>
      <c r="E2613" s="14"/>
      <c r="F2613" s="14"/>
      <c r="G2613" s="13">
        <v>0</v>
      </c>
      <c r="H2613" s="13">
        <v>0</v>
      </c>
      <c r="I2613" s="13"/>
      <c r="J2613" s="13"/>
      <c r="K2613" s="13"/>
      <c r="L2613" s="15">
        <v>0</v>
      </c>
    </row>
    <row r="2614" spans="1:12">
      <c r="A2614" s="12"/>
      <c r="E2614" s="14"/>
      <c r="F2614" s="14"/>
      <c r="G2614" s="13">
        <v>0</v>
      </c>
      <c r="H2614" s="13">
        <v>0</v>
      </c>
      <c r="I2614" s="13"/>
      <c r="J2614" s="13"/>
      <c r="K2614" s="13"/>
      <c r="L2614" s="15">
        <v>0</v>
      </c>
    </row>
    <row r="2615" spans="1:12">
      <c r="A2615" s="12"/>
      <c r="E2615" s="14"/>
      <c r="F2615" s="14"/>
      <c r="G2615" s="13">
        <v>0</v>
      </c>
      <c r="H2615" s="13">
        <v>0</v>
      </c>
      <c r="I2615" s="13"/>
      <c r="J2615" s="13"/>
      <c r="K2615" s="13"/>
      <c r="L2615" s="15">
        <v>0</v>
      </c>
    </row>
    <row r="2616" spans="1:12">
      <c r="A2616" s="12"/>
      <c r="E2616" s="14"/>
      <c r="F2616" s="14"/>
      <c r="G2616" s="13">
        <v>0</v>
      </c>
      <c r="H2616" s="13">
        <v>0</v>
      </c>
      <c r="I2616" s="13"/>
      <c r="J2616" s="13"/>
      <c r="K2616" s="13"/>
      <c r="L2616" s="15">
        <v>0</v>
      </c>
    </row>
    <row r="2617" spans="1:12">
      <c r="A2617" s="12"/>
      <c r="E2617" s="14"/>
      <c r="F2617" s="14"/>
      <c r="G2617" s="13">
        <v>0</v>
      </c>
      <c r="H2617" s="13">
        <v>0</v>
      </c>
      <c r="I2617" s="13"/>
      <c r="J2617" s="13"/>
      <c r="K2617" s="13"/>
      <c r="L2617" s="15">
        <v>0</v>
      </c>
    </row>
    <row r="2618" spans="1:12">
      <c r="A2618" s="12"/>
      <c r="E2618" s="14"/>
      <c r="F2618" s="14"/>
      <c r="G2618" s="13">
        <v>0</v>
      </c>
      <c r="H2618" s="13">
        <v>0</v>
      </c>
      <c r="I2618" s="13"/>
      <c r="J2618" s="13"/>
      <c r="K2618" s="13"/>
      <c r="L2618" s="15">
        <v>0</v>
      </c>
    </row>
    <row r="2619" spans="1:12">
      <c r="A2619" s="12"/>
      <c r="E2619" s="14"/>
      <c r="F2619" s="14"/>
      <c r="G2619" s="13">
        <v>0</v>
      </c>
      <c r="H2619" s="13">
        <v>0</v>
      </c>
      <c r="I2619" s="13"/>
      <c r="J2619" s="13"/>
      <c r="K2619" s="13"/>
      <c r="L2619" s="15">
        <v>0</v>
      </c>
    </row>
    <row r="2620" spans="1:12">
      <c r="A2620" s="12"/>
      <c r="E2620" s="14"/>
      <c r="F2620" s="14"/>
      <c r="G2620" s="13">
        <v>0</v>
      </c>
      <c r="H2620" s="13">
        <v>0</v>
      </c>
      <c r="I2620" s="13"/>
      <c r="J2620" s="13"/>
      <c r="K2620" s="13"/>
      <c r="L2620" s="15">
        <v>0</v>
      </c>
    </row>
    <row r="2621" spans="1:12">
      <c r="A2621" s="12"/>
      <c r="E2621" s="14"/>
      <c r="F2621" s="14"/>
      <c r="G2621" s="13">
        <v>0</v>
      </c>
      <c r="H2621" s="13">
        <v>0</v>
      </c>
      <c r="I2621" s="13"/>
      <c r="J2621" s="13"/>
      <c r="K2621" s="13"/>
      <c r="L2621" s="15">
        <v>0</v>
      </c>
    </row>
    <row r="2622" spans="1:12">
      <c r="A2622" s="12"/>
      <c r="E2622" s="14"/>
      <c r="F2622" s="14"/>
      <c r="G2622" s="13">
        <v>0</v>
      </c>
      <c r="H2622" s="13">
        <v>0</v>
      </c>
      <c r="I2622" s="13"/>
      <c r="J2622" s="13"/>
      <c r="K2622" s="13"/>
      <c r="L2622" s="15">
        <v>0</v>
      </c>
    </row>
    <row r="2623" spans="1:12">
      <c r="A2623" s="12"/>
      <c r="E2623" s="14"/>
      <c r="F2623" s="14"/>
      <c r="G2623" s="13">
        <v>0</v>
      </c>
      <c r="H2623" s="13">
        <v>0</v>
      </c>
      <c r="I2623" s="13"/>
      <c r="J2623" s="13"/>
      <c r="K2623" s="13"/>
      <c r="L2623" s="15">
        <v>0</v>
      </c>
    </row>
    <row r="2624" spans="1:12">
      <c r="A2624" s="12"/>
      <c r="E2624" s="14"/>
      <c r="F2624" s="14"/>
      <c r="G2624" s="13">
        <v>0</v>
      </c>
      <c r="H2624" s="13">
        <v>0</v>
      </c>
      <c r="I2624" s="13"/>
      <c r="J2624" s="13"/>
      <c r="K2624" s="13"/>
      <c r="L2624" s="15">
        <v>0</v>
      </c>
    </row>
    <row r="2625" spans="1:12">
      <c r="A2625" s="12"/>
      <c r="E2625" s="14"/>
      <c r="F2625" s="14"/>
      <c r="G2625" s="13">
        <v>0</v>
      </c>
      <c r="H2625" s="13">
        <v>0</v>
      </c>
      <c r="I2625" s="13"/>
      <c r="J2625" s="13"/>
      <c r="K2625" s="13"/>
      <c r="L2625" s="15">
        <v>0</v>
      </c>
    </row>
    <row r="2626" spans="1:12">
      <c r="A2626" s="12"/>
      <c r="E2626" s="14"/>
      <c r="F2626" s="14"/>
      <c r="G2626" s="13">
        <v>0</v>
      </c>
      <c r="H2626" s="13">
        <v>0</v>
      </c>
      <c r="I2626" s="13"/>
      <c r="J2626" s="13"/>
      <c r="K2626" s="13"/>
      <c r="L2626" s="15">
        <v>0</v>
      </c>
    </row>
    <row r="2627" spans="1:12">
      <c r="A2627" s="12"/>
      <c r="E2627" s="14"/>
      <c r="F2627" s="14"/>
      <c r="G2627" s="13">
        <v>0</v>
      </c>
      <c r="H2627" s="13">
        <v>0</v>
      </c>
      <c r="I2627" s="13"/>
      <c r="J2627" s="13"/>
      <c r="K2627" s="13"/>
      <c r="L2627" s="15">
        <v>0</v>
      </c>
    </row>
    <row r="2628" spans="1:12">
      <c r="A2628" s="12"/>
      <c r="E2628" s="14"/>
      <c r="F2628" s="14"/>
      <c r="G2628" s="13">
        <v>0</v>
      </c>
      <c r="H2628" s="13">
        <v>0</v>
      </c>
      <c r="I2628" s="13"/>
      <c r="J2628" s="13"/>
      <c r="K2628" s="13"/>
      <c r="L2628" s="15">
        <v>0</v>
      </c>
    </row>
    <row r="2629" spans="1:12">
      <c r="A2629" s="12"/>
      <c r="E2629" s="14"/>
      <c r="F2629" s="14"/>
      <c r="G2629" s="13">
        <v>0</v>
      </c>
      <c r="H2629" s="13">
        <v>0</v>
      </c>
      <c r="I2629" s="13"/>
      <c r="J2629" s="13"/>
      <c r="K2629" s="13"/>
      <c r="L2629" s="15">
        <v>0</v>
      </c>
    </row>
    <row r="2630" spans="1:12">
      <c r="A2630" s="12"/>
      <c r="E2630" s="14"/>
      <c r="F2630" s="14"/>
      <c r="G2630" s="13">
        <v>0</v>
      </c>
      <c r="H2630" s="13">
        <v>0</v>
      </c>
      <c r="I2630" s="13"/>
      <c r="J2630" s="13"/>
      <c r="K2630" s="13"/>
      <c r="L2630" s="15">
        <v>0</v>
      </c>
    </row>
    <row r="2631" spans="1:12">
      <c r="A2631" s="12"/>
      <c r="E2631" s="14"/>
      <c r="F2631" s="14"/>
      <c r="G2631" s="13">
        <v>0</v>
      </c>
      <c r="H2631" s="13">
        <v>0</v>
      </c>
      <c r="I2631" s="13"/>
      <c r="J2631" s="13"/>
      <c r="K2631" s="13"/>
      <c r="L2631" s="15">
        <v>0</v>
      </c>
    </row>
    <row r="2632" spans="1:12">
      <c r="A2632" s="12"/>
      <c r="E2632" s="14"/>
      <c r="F2632" s="14"/>
      <c r="G2632" s="13">
        <v>0</v>
      </c>
      <c r="H2632" s="13">
        <v>0</v>
      </c>
      <c r="I2632" s="13"/>
      <c r="J2632" s="13"/>
      <c r="K2632" s="13"/>
      <c r="L2632" s="15">
        <v>0</v>
      </c>
    </row>
    <row r="2633" spans="1:12">
      <c r="A2633" s="12"/>
      <c r="E2633" s="14"/>
      <c r="F2633" s="14"/>
      <c r="G2633" s="13">
        <v>0</v>
      </c>
      <c r="H2633" s="13">
        <v>0</v>
      </c>
      <c r="I2633" s="13"/>
      <c r="J2633" s="13"/>
      <c r="K2633" s="13"/>
      <c r="L2633" s="15">
        <v>0</v>
      </c>
    </row>
    <row r="2634" spans="1:12">
      <c r="A2634" s="12"/>
      <c r="E2634" s="14"/>
      <c r="F2634" s="14"/>
      <c r="G2634" s="13">
        <v>0</v>
      </c>
      <c r="H2634" s="13">
        <v>0</v>
      </c>
      <c r="I2634" s="13"/>
      <c r="J2634" s="13"/>
      <c r="K2634" s="13"/>
      <c r="L2634" s="15">
        <v>0</v>
      </c>
    </row>
    <row r="2635" spans="1:12">
      <c r="A2635" s="12"/>
      <c r="E2635" s="14"/>
      <c r="F2635" s="14"/>
      <c r="G2635" s="13">
        <v>0</v>
      </c>
      <c r="H2635" s="13">
        <v>0</v>
      </c>
      <c r="I2635" s="13"/>
      <c r="J2635" s="13"/>
      <c r="K2635" s="13"/>
      <c r="L2635" s="15">
        <v>0</v>
      </c>
    </row>
    <row r="2636" spans="1:12">
      <c r="A2636" s="12"/>
      <c r="E2636" s="14"/>
      <c r="F2636" s="14"/>
      <c r="G2636" s="13">
        <v>0</v>
      </c>
      <c r="H2636" s="13">
        <v>0</v>
      </c>
      <c r="I2636" s="13"/>
      <c r="J2636" s="13"/>
      <c r="K2636" s="13"/>
      <c r="L2636" s="15">
        <v>0</v>
      </c>
    </row>
    <row r="2637" spans="1:12">
      <c r="A2637" s="12"/>
      <c r="E2637" s="14"/>
      <c r="F2637" s="14"/>
      <c r="G2637" s="13">
        <v>0</v>
      </c>
      <c r="H2637" s="13">
        <v>0</v>
      </c>
      <c r="I2637" s="13"/>
      <c r="J2637" s="13"/>
      <c r="K2637" s="13"/>
      <c r="L2637" s="15">
        <v>0</v>
      </c>
    </row>
    <row r="2638" spans="1:12">
      <c r="A2638" s="12"/>
      <c r="E2638" s="14"/>
      <c r="F2638" s="14"/>
      <c r="G2638" s="13">
        <v>0</v>
      </c>
      <c r="H2638" s="13">
        <v>0</v>
      </c>
      <c r="I2638" s="13"/>
      <c r="J2638" s="13"/>
      <c r="K2638" s="13"/>
      <c r="L2638" s="15">
        <v>0</v>
      </c>
    </row>
    <row r="2639" spans="1:12">
      <c r="A2639" s="12"/>
      <c r="E2639" s="14"/>
      <c r="F2639" s="14"/>
      <c r="G2639" s="13">
        <v>0</v>
      </c>
      <c r="H2639" s="13">
        <v>0</v>
      </c>
      <c r="I2639" s="13"/>
      <c r="J2639" s="13"/>
      <c r="K2639" s="13"/>
      <c r="L2639" s="15">
        <v>0</v>
      </c>
    </row>
    <row r="2640" spans="1:12">
      <c r="A2640" s="12"/>
      <c r="E2640" s="14"/>
      <c r="F2640" s="14"/>
      <c r="G2640" s="13">
        <v>0</v>
      </c>
      <c r="H2640" s="13">
        <v>0</v>
      </c>
      <c r="I2640" s="13"/>
      <c r="J2640" s="13"/>
      <c r="K2640" s="13"/>
      <c r="L2640" s="15">
        <v>0</v>
      </c>
    </row>
    <row r="2641" spans="1:12">
      <c r="A2641" s="12"/>
      <c r="E2641" s="14"/>
      <c r="F2641" s="14"/>
      <c r="G2641" s="13">
        <v>0</v>
      </c>
      <c r="H2641" s="13">
        <v>0</v>
      </c>
      <c r="I2641" s="13"/>
      <c r="J2641" s="13"/>
      <c r="K2641" s="13"/>
      <c r="L2641" s="15">
        <v>0</v>
      </c>
    </row>
    <row r="2642" spans="1:12">
      <c r="A2642" s="12"/>
      <c r="E2642" s="14"/>
      <c r="F2642" s="14"/>
      <c r="G2642" s="13">
        <v>0</v>
      </c>
      <c r="H2642" s="13">
        <v>0</v>
      </c>
      <c r="I2642" s="13"/>
      <c r="J2642" s="13"/>
      <c r="K2642" s="13"/>
      <c r="L2642" s="15">
        <v>0</v>
      </c>
    </row>
    <row r="2643" spans="1:12">
      <c r="A2643" s="12"/>
      <c r="E2643" s="14"/>
      <c r="F2643" s="14"/>
      <c r="G2643" s="13">
        <v>0</v>
      </c>
      <c r="H2643" s="13">
        <v>0</v>
      </c>
      <c r="I2643" s="13"/>
      <c r="J2643" s="13"/>
      <c r="K2643" s="13"/>
      <c r="L2643" s="15">
        <v>0</v>
      </c>
    </row>
    <row r="2644" spans="1:12">
      <c r="A2644" s="12"/>
      <c r="E2644" s="14"/>
      <c r="F2644" s="14"/>
      <c r="G2644" s="13">
        <v>0</v>
      </c>
      <c r="H2644" s="13">
        <v>0</v>
      </c>
      <c r="I2644" s="13"/>
      <c r="J2644" s="13"/>
      <c r="K2644" s="13"/>
      <c r="L2644" s="15">
        <v>0</v>
      </c>
    </row>
    <row r="2645" spans="1:12">
      <c r="A2645" s="12"/>
      <c r="E2645" s="14"/>
      <c r="F2645" s="14"/>
      <c r="G2645" s="13">
        <v>0</v>
      </c>
      <c r="H2645" s="13">
        <v>0</v>
      </c>
      <c r="I2645" s="13"/>
      <c r="J2645" s="13"/>
      <c r="K2645" s="13"/>
      <c r="L2645" s="15">
        <v>0</v>
      </c>
    </row>
    <row r="2646" spans="1:12">
      <c r="A2646" s="12"/>
      <c r="E2646" s="14"/>
      <c r="F2646" s="14"/>
      <c r="G2646" s="13">
        <v>0</v>
      </c>
      <c r="H2646" s="13">
        <v>0</v>
      </c>
      <c r="I2646" s="13"/>
      <c r="J2646" s="13"/>
      <c r="K2646" s="13"/>
      <c r="L2646" s="15">
        <v>0</v>
      </c>
    </row>
    <row r="2647" spans="1:12">
      <c r="A2647" s="12"/>
      <c r="E2647" s="14"/>
      <c r="F2647" s="14"/>
      <c r="G2647" s="13">
        <v>0</v>
      </c>
      <c r="H2647" s="13">
        <v>0</v>
      </c>
      <c r="I2647" s="13"/>
      <c r="J2647" s="13"/>
      <c r="K2647" s="13"/>
      <c r="L2647" s="15">
        <v>0</v>
      </c>
    </row>
    <row r="2648" spans="1:12">
      <c r="A2648" s="12"/>
      <c r="E2648" s="14"/>
      <c r="F2648" s="14"/>
      <c r="G2648" s="13">
        <v>0</v>
      </c>
      <c r="H2648" s="13">
        <v>0</v>
      </c>
      <c r="I2648" s="13"/>
      <c r="J2648" s="13"/>
      <c r="K2648" s="13"/>
      <c r="L2648" s="15">
        <v>0</v>
      </c>
    </row>
    <row r="2649" spans="1:12">
      <c r="A2649" s="12"/>
      <c r="E2649" s="14"/>
      <c r="F2649" s="14"/>
      <c r="G2649" s="13">
        <v>0</v>
      </c>
      <c r="H2649" s="13">
        <v>0</v>
      </c>
      <c r="I2649" s="13"/>
      <c r="J2649" s="13"/>
      <c r="K2649" s="13"/>
      <c r="L2649" s="15">
        <v>0</v>
      </c>
    </row>
    <row r="2650" spans="1:12">
      <c r="A2650" s="12"/>
      <c r="E2650" s="14"/>
      <c r="F2650" s="14"/>
      <c r="G2650" s="13">
        <v>0</v>
      </c>
      <c r="H2650" s="13">
        <v>0</v>
      </c>
      <c r="I2650" s="13"/>
      <c r="J2650" s="13"/>
      <c r="K2650" s="13"/>
      <c r="L2650" s="15">
        <v>0</v>
      </c>
    </row>
    <row r="2651" spans="1:12">
      <c r="A2651" s="12"/>
      <c r="E2651" s="14"/>
      <c r="F2651" s="14"/>
      <c r="G2651" s="13">
        <v>0</v>
      </c>
      <c r="H2651" s="13">
        <v>0</v>
      </c>
      <c r="I2651" s="13"/>
      <c r="J2651" s="13"/>
      <c r="K2651" s="13"/>
      <c r="L2651" s="15">
        <v>0</v>
      </c>
    </row>
    <row r="2652" spans="1:12">
      <c r="A2652" s="12"/>
      <c r="E2652" s="14"/>
      <c r="F2652" s="14"/>
      <c r="G2652" s="13">
        <v>0</v>
      </c>
      <c r="H2652" s="13">
        <v>0</v>
      </c>
      <c r="I2652" s="13"/>
      <c r="J2652" s="13"/>
      <c r="K2652" s="13"/>
      <c r="L2652" s="15">
        <v>0</v>
      </c>
    </row>
    <row r="2653" spans="1:12">
      <c r="A2653" s="12"/>
      <c r="E2653" s="14"/>
      <c r="F2653" s="14"/>
      <c r="G2653" s="13">
        <v>0</v>
      </c>
      <c r="H2653" s="13">
        <v>0</v>
      </c>
      <c r="I2653" s="13"/>
      <c r="J2653" s="13"/>
      <c r="K2653" s="13"/>
      <c r="L2653" s="15">
        <v>0</v>
      </c>
    </row>
    <row r="2654" spans="1:12">
      <c r="A2654" s="12"/>
      <c r="E2654" s="14"/>
      <c r="F2654" s="14"/>
      <c r="G2654" s="13">
        <v>0</v>
      </c>
      <c r="H2654" s="13">
        <v>0</v>
      </c>
      <c r="I2654" s="13"/>
      <c r="J2654" s="13"/>
      <c r="K2654" s="13"/>
      <c r="L2654" s="15">
        <v>0</v>
      </c>
    </row>
    <row r="2655" spans="1:12">
      <c r="A2655" s="12"/>
      <c r="E2655" s="14"/>
      <c r="F2655" s="14"/>
      <c r="G2655" s="13">
        <v>0</v>
      </c>
      <c r="H2655" s="13">
        <v>0</v>
      </c>
      <c r="I2655" s="13"/>
      <c r="J2655" s="13"/>
      <c r="K2655" s="13"/>
      <c r="L2655" s="15">
        <v>0</v>
      </c>
    </row>
    <row r="2656" spans="1:12">
      <c r="A2656" s="12"/>
      <c r="E2656" s="14"/>
      <c r="F2656" s="14"/>
      <c r="G2656" s="13">
        <v>0</v>
      </c>
      <c r="H2656" s="13">
        <v>0</v>
      </c>
      <c r="I2656" s="13"/>
      <c r="J2656" s="13"/>
      <c r="K2656" s="13"/>
      <c r="L2656" s="15">
        <v>0</v>
      </c>
    </row>
    <row r="2657" spans="1:12">
      <c r="A2657" s="12"/>
      <c r="E2657" s="14"/>
      <c r="F2657" s="14"/>
      <c r="G2657" s="13">
        <v>0</v>
      </c>
      <c r="H2657" s="13">
        <v>0</v>
      </c>
      <c r="I2657" s="13"/>
      <c r="J2657" s="13"/>
      <c r="K2657" s="13"/>
      <c r="L2657" s="15">
        <v>0</v>
      </c>
    </row>
    <row r="2658" spans="1:12">
      <c r="A2658" s="12"/>
      <c r="E2658" s="14"/>
      <c r="F2658" s="14"/>
      <c r="G2658" s="13">
        <v>0</v>
      </c>
      <c r="H2658" s="13">
        <v>0</v>
      </c>
      <c r="I2658" s="13"/>
      <c r="J2658" s="13"/>
      <c r="K2658" s="13"/>
      <c r="L2658" s="15">
        <v>0</v>
      </c>
    </row>
    <row r="2659" spans="1:12">
      <c r="A2659" s="12"/>
      <c r="E2659" s="14"/>
      <c r="F2659" s="14"/>
      <c r="G2659" s="13">
        <v>0</v>
      </c>
      <c r="H2659" s="13">
        <v>0</v>
      </c>
      <c r="I2659" s="13"/>
      <c r="J2659" s="13"/>
      <c r="K2659" s="13"/>
      <c r="L2659" s="15">
        <v>0</v>
      </c>
    </row>
    <row r="2660" spans="1:12">
      <c r="A2660" s="12"/>
      <c r="E2660" s="14"/>
      <c r="F2660" s="14"/>
      <c r="G2660" s="13">
        <v>0</v>
      </c>
      <c r="H2660" s="13">
        <v>0</v>
      </c>
      <c r="I2660" s="13"/>
      <c r="J2660" s="13"/>
      <c r="K2660" s="13"/>
      <c r="L2660" s="15">
        <v>0</v>
      </c>
    </row>
    <row r="2661" spans="1:12">
      <c r="A2661" s="12"/>
      <c r="E2661" s="14"/>
      <c r="F2661" s="14"/>
      <c r="G2661" s="13">
        <v>0</v>
      </c>
      <c r="H2661" s="13">
        <v>0</v>
      </c>
      <c r="I2661" s="13"/>
      <c r="J2661" s="13"/>
      <c r="K2661" s="13"/>
      <c r="L2661" s="15">
        <v>0</v>
      </c>
    </row>
    <row r="2662" spans="1:12">
      <c r="A2662" s="12"/>
      <c r="E2662" s="14"/>
      <c r="F2662" s="14"/>
      <c r="G2662" s="13">
        <v>0</v>
      </c>
      <c r="H2662" s="13">
        <v>0</v>
      </c>
      <c r="I2662" s="13"/>
      <c r="J2662" s="13"/>
      <c r="K2662" s="13"/>
      <c r="L2662" s="15">
        <v>0</v>
      </c>
    </row>
    <row r="2663" spans="1:12">
      <c r="A2663" s="12"/>
      <c r="E2663" s="14"/>
      <c r="F2663" s="14"/>
      <c r="G2663" s="13">
        <v>0</v>
      </c>
      <c r="H2663" s="13">
        <v>0</v>
      </c>
      <c r="I2663" s="13"/>
      <c r="J2663" s="13"/>
      <c r="K2663" s="13"/>
      <c r="L2663" s="15">
        <v>0</v>
      </c>
    </row>
    <row r="2664" spans="1:12">
      <c r="A2664" s="12"/>
      <c r="E2664" s="14"/>
      <c r="F2664" s="14"/>
      <c r="G2664" s="13">
        <v>0</v>
      </c>
      <c r="H2664" s="13">
        <v>0</v>
      </c>
      <c r="I2664" s="13"/>
      <c r="J2664" s="13"/>
      <c r="K2664" s="13"/>
      <c r="L2664" s="15">
        <v>0</v>
      </c>
    </row>
    <row r="2665" spans="1:12">
      <c r="A2665" s="12"/>
      <c r="E2665" s="14"/>
      <c r="F2665" s="14"/>
      <c r="G2665" s="13">
        <v>0</v>
      </c>
      <c r="H2665" s="13">
        <v>0</v>
      </c>
      <c r="I2665" s="13"/>
      <c r="J2665" s="13"/>
      <c r="K2665" s="13"/>
      <c r="L2665" s="15">
        <v>0</v>
      </c>
    </row>
    <row r="2666" spans="1:12">
      <c r="A2666" s="12"/>
      <c r="E2666" s="14"/>
      <c r="F2666" s="14"/>
      <c r="G2666" s="13">
        <v>0</v>
      </c>
      <c r="H2666" s="13">
        <v>0</v>
      </c>
      <c r="I2666" s="13"/>
      <c r="J2666" s="13"/>
      <c r="K2666" s="13"/>
      <c r="L2666" s="15">
        <v>0</v>
      </c>
    </row>
    <row r="2667" spans="1:12">
      <c r="A2667" s="12"/>
      <c r="E2667" s="14"/>
      <c r="F2667" s="14"/>
      <c r="G2667" s="13">
        <v>0</v>
      </c>
      <c r="H2667" s="13">
        <v>0</v>
      </c>
      <c r="I2667" s="13"/>
      <c r="J2667" s="13"/>
      <c r="K2667" s="13"/>
      <c r="L2667" s="15">
        <v>0</v>
      </c>
    </row>
    <row r="2668" spans="1:12">
      <c r="A2668" s="12"/>
      <c r="E2668" s="14"/>
      <c r="F2668" s="14"/>
      <c r="G2668" s="13">
        <v>0</v>
      </c>
      <c r="H2668" s="13">
        <v>0</v>
      </c>
      <c r="I2668" s="13"/>
      <c r="J2668" s="13"/>
      <c r="K2668" s="13"/>
      <c r="L2668" s="15">
        <v>0</v>
      </c>
    </row>
    <row r="2669" spans="1:12">
      <c r="A2669" s="12"/>
      <c r="E2669" s="14"/>
      <c r="F2669" s="14"/>
      <c r="G2669" s="13">
        <v>0</v>
      </c>
      <c r="H2669" s="13">
        <v>0</v>
      </c>
      <c r="I2669" s="13"/>
      <c r="J2669" s="13"/>
      <c r="K2669" s="13"/>
      <c r="L2669" s="15">
        <v>0</v>
      </c>
    </row>
    <row r="2670" spans="1:12">
      <c r="A2670" s="12"/>
      <c r="E2670" s="14"/>
      <c r="F2670" s="14"/>
      <c r="G2670" s="13">
        <v>0</v>
      </c>
      <c r="H2670" s="13">
        <v>0</v>
      </c>
      <c r="I2670" s="13"/>
      <c r="J2670" s="13"/>
      <c r="K2670" s="13"/>
      <c r="L2670" s="15">
        <v>0</v>
      </c>
    </row>
    <row r="2671" spans="1:12">
      <c r="A2671" s="12"/>
      <c r="E2671" s="14"/>
      <c r="F2671" s="14"/>
      <c r="G2671" s="13">
        <v>0</v>
      </c>
      <c r="H2671" s="13">
        <v>0</v>
      </c>
      <c r="I2671" s="13"/>
      <c r="J2671" s="13"/>
      <c r="K2671" s="13"/>
      <c r="L2671" s="15">
        <v>0</v>
      </c>
    </row>
    <row r="2672" spans="1:12">
      <c r="A2672" s="12"/>
      <c r="E2672" s="14"/>
      <c r="F2672" s="14"/>
      <c r="G2672" s="13">
        <v>0</v>
      </c>
      <c r="H2672" s="13">
        <v>0</v>
      </c>
      <c r="I2672" s="13"/>
      <c r="J2672" s="13"/>
      <c r="K2672" s="13"/>
      <c r="L2672" s="15">
        <v>0</v>
      </c>
    </row>
    <row r="2673" spans="1:12">
      <c r="A2673" s="12"/>
      <c r="E2673" s="14"/>
      <c r="F2673" s="14"/>
      <c r="G2673" s="13">
        <v>0</v>
      </c>
      <c r="H2673" s="13">
        <v>0</v>
      </c>
      <c r="I2673" s="13"/>
      <c r="J2673" s="13"/>
      <c r="K2673" s="13"/>
      <c r="L2673" s="15">
        <v>0</v>
      </c>
    </row>
    <row r="2674" spans="1:12">
      <c r="A2674" s="12"/>
      <c r="E2674" s="14"/>
      <c r="F2674" s="14"/>
      <c r="G2674" s="13">
        <v>0</v>
      </c>
      <c r="H2674" s="13">
        <v>0</v>
      </c>
      <c r="I2674" s="13"/>
      <c r="J2674" s="13"/>
      <c r="K2674" s="13"/>
      <c r="L2674" s="15">
        <v>0</v>
      </c>
    </row>
    <row r="2675" spans="1:12">
      <c r="A2675" s="12"/>
      <c r="E2675" s="14"/>
      <c r="F2675" s="14"/>
      <c r="G2675" s="13">
        <v>0</v>
      </c>
      <c r="H2675" s="13">
        <v>0</v>
      </c>
      <c r="I2675" s="13"/>
      <c r="J2675" s="13"/>
      <c r="K2675" s="13"/>
      <c r="L2675" s="15">
        <v>0</v>
      </c>
    </row>
    <row r="2676" spans="1:12">
      <c r="A2676" s="12"/>
      <c r="E2676" s="14"/>
      <c r="F2676" s="14"/>
      <c r="G2676" s="13">
        <v>0</v>
      </c>
      <c r="H2676" s="13">
        <v>0</v>
      </c>
      <c r="I2676" s="13"/>
      <c r="J2676" s="13"/>
      <c r="K2676" s="13"/>
      <c r="L2676" s="15">
        <v>0</v>
      </c>
    </row>
    <row r="2677" spans="1:12">
      <c r="A2677" s="12"/>
      <c r="E2677" s="14"/>
      <c r="F2677" s="14"/>
      <c r="G2677" s="13">
        <v>0</v>
      </c>
      <c r="H2677" s="13">
        <v>0</v>
      </c>
      <c r="I2677" s="13"/>
      <c r="J2677" s="13"/>
      <c r="K2677" s="13"/>
      <c r="L2677" s="15">
        <v>0</v>
      </c>
    </row>
    <row r="2678" spans="1:12">
      <c r="A2678" s="12"/>
      <c r="E2678" s="14"/>
      <c r="F2678" s="14"/>
      <c r="G2678" s="13">
        <v>0</v>
      </c>
      <c r="H2678" s="13">
        <v>0</v>
      </c>
      <c r="I2678" s="13"/>
      <c r="J2678" s="13"/>
      <c r="K2678" s="13"/>
      <c r="L2678" s="15">
        <v>0</v>
      </c>
    </row>
    <row r="2679" spans="1:12">
      <c r="A2679" s="12"/>
      <c r="E2679" s="14"/>
      <c r="F2679" s="14"/>
      <c r="G2679" s="13">
        <v>0</v>
      </c>
      <c r="H2679" s="13">
        <v>0</v>
      </c>
      <c r="I2679" s="13"/>
      <c r="J2679" s="13"/>
      <c r="K2679" s="13"/>
      <c r="L2679" s="15">
        <v>0</v>
      </c>
    </row>
    <row r="2680" spans="1:12">
      <c r="A2680" s="12"/>
      <c r="E2680" s="14"/>
      <c r="F2680" s="14"/>
      <c r="G2680" s="13">
        <v>0</v>
      </c>
      <c r="H2680" s="13">
        <v>0</v>
      </c>
      <c r="I2680" s="13"/>
      <c r="J2680" s="13"/>
      <c r="K2680" s="13"/>
      <c r="L2680" s="15">
        <v>0</v>
      </c>
    </row>
    <row r="2681" spans="1:12">
      <c r="A2681" s="12"/>
      <c r="E2681" s="14"/>
      <c r="F2681" s="14"/>
      <c r="G2681" s="13">
        <v>0</v>
      </c>
      <c r="H2681" s="13">
        <v>0</v>
      </c>
      <c r="I2681" s="13"/>
      <c r="J2681" s="13"/>
      <c r="K2681" s="13"/>
      <c r="L2681" s="15">
        <v>0</v>
      </c>
    </row>
    <row r="2682" spans="1:12">
      <c r="A2682" s="12"/>
      <c r="E2682" s="14"/>
      <c r="F2682" s="14"/>
      <c r="G2682" s="13">
        <v>0</v>
      </c>
      <c r="H2682" s="13">
        <v>0</v>
      </c>
      <c r="I2682" s="13"/>
      <c r="J2682" s="13"/>
      <c r="K2682" s="13"/>
      <c r="L2682" s="15">
        <v>0</v>
      </c>
    </row>
    <row r="2683" spans="1:12">
      <c r="A2683" s="12"/>
      <c r="E2683" s="14"/>
      <c r="F2683" s="14"/>
      <c r="G2683" s="13">
        <v>0</v>
      </c>
      <c r="H2683" s="13">
        <v>0</v>
      </c>
      <c r="I2683" s="13"/>
      <c r="J2683" s="13"/>
      <c r="K2683" s="13"/>
      <c r="L2683" s="15">
        <v>0</v>
      </c>
    </row>
    <row r="2684" spans="1:12">
      <c r="A2684" s="12"/>
      <c r="E2684" s="14"/>
      <c r="F2684" s="14"/>
      <c r="G2684" s="13">
        <v>0</v>
      </c>
      <c r="H2684" s="13">
        <v>0</v>
      </c>
      <c r="I2684" s="13"/>
      <c r="J2684" s="13"/>
      <c r="K2684" s="13"/>
      <c r="L2684" s="15">
        <v>0</v>
      </c>
    </row>
    <row r="2685" spans="1:12">
      <c r="A2685" s="12"/>
      <c r="E2685" s="14"/>
      <c r="F2685" s="14"/>
      <c r="G2685" s="13">
        <v>0</v>
      </c>
      <c r="H2685" s="13">
        <v>0</v>
      </c>
      <c r="I2685" s="13"/>
      <c r="J2685" s="13"/>
      <c r="K2685" s="13"/>
      <c r="L2685" s="15">
        <v>0</v>
      </c>
    </row>
    <row r="2686" spans="1:12">
      <c r="A2686" s="12"/>
      <c r="E2686" s="14"/>
      <c r="F2686" s="14"/>
      <c r="G2686" s="13">
        <v>0</v>
      </c>
      <c r="H2686" s="13">
        <v>0</v>
      </c>
      <c r="I2686" s="13"/>
      <c r="J2686" s="13"/>
      <c r="K2686" s="13"/>
      <c r="L2686" s="15">
        <v>0</v>
      </c>
    </row>
    <row r="2687" spans="1:12">
      <c r="A2687" s="12"/>
      <c r="E2687" s="14"/>
      <c r="F2687" s="14"/>
      <c r="G2687" s="13">
        <v>0</v>
      </c>
      <c r="H2687" s="13">
        <v>0</v>
      </c>
      <c r="I2687" s="13"/>
      <c r="J2687" s="13"/>
      <c r="K2687" s="13"/>
      <c r="L2687" s="15">
        <v>0</v>
      </c>
    </row>
    <row r="2688" spans="1:12">
      <c r="A2688" s="12"/>
      <c r="E2688" s="14"/>
      <c r="F2688" s="14"/>
      <c r="G2688" s="13">
        <v>0</v>
      </c>
      <c r="H2688" s="13">
        <v>0</v>
      </c>
      <c r="I2688" s="13"/>
      <c r="J2688" s="13"/>
      <c r="K2688" s="13"/>
      <c r="L2688" s="15">
        <v>0</v>
      </c>
    </row>
    <row r="2689" spans="1:12">
      <c r="A2689" s="12"/>
      <c r="E2689" s="14"/>
      <c r="F2689" s="14"/>
      <c r="G2689" s="13">
        <v>0</v>
      </c>
      <c r="H2689" s="13">
        <v>0</v>
      </c>
      <c r="I2689" s="13"/>
      <c r="J2689" s="13"/>
      <c r="K2689" s="13"/>
      <c r="L2689" s="15">
        <v>0</v>
      </c>
    </row>
    <row r="2690" spans="1:12">
      <c r="A2690" s="12"/>
      <c r="E2690" s="14"/>
      <c r="F2690" s="14"/>
      <c r="G2690" s="13">
        <v>0</v>
      </c>
      <c r="H2690" s="13">
        <v>0</v>
      </c>
      <c r="I2690" s="13"/>
      <c r="J2690" s="13"/>
      <c r="K2690" s="13"/>
      <c r="L2690" s="15">
        <v>0</v>
      </c>
    </row>
    <row r="2691" spans="1:12">
      <c r="A2691" s="12"/>
      <c r="E2691" s="14"/>
      <c r="F2691" s="14"/>
      <c r="G2691" s="13">
        <v>0</v>
      </c>
      <c r="H2691" s="13">
        <v>0</v>
      </c>
      <c r="I2691" s="13"/>
      <c r="J2691" s="13"/>
      <c r="K2691" s="13"/>
      <c r="L2691" s="15">
        <v>0</v>
      </c>
    </row>
    <row r="2692" spans="1:12">
      <c r="A2692" s="12"/>
      <c r="E2692" s="14"/>
      <c r="F2692" s="14"/>
      <c r="G2692" s="13">
        <v>0</v>
      </c>
      <c r="H2692" s="13">
        <v>0</v>
      </c>
      <c r="I2692" s="13"/>
      <c r="J2692" s="13"/>
      <c r="K2692" s="13"/>
      <c r="L2692" s="15">
        <v>0</v>
      </c>
    </row>
    <row r="2693" spans="1:12">
      <c r="A2693" s="12"/>
      <c r="E2693" s="14"/>
      <c r="F2693" s="14"/>
      <c r="G2693" s="13">
        <v>0</v>
      </c>
      <c r="H2693" s="13">
        <v>0</v>
      </c>
      <c r="I2693" s="13"/>
      <c r="J2693" s="13"/>
      <c r="K2693" s="13"/>
      <c r="L2693" s="15">
        <v>0</v>
      </c>
    </row>
    <row r="2694" spans="1:12">
      <c r="A2694" s="12"/>
      <c r="E2694" s="14"/>
      <c r="F2694" s="14"/>
      <c r="G2694" s="13">
        <v>0</v>
      </c>
      <c r="H2694" s="13">
        <v>0</v>
      </c>
      <c r="I2694" s="13"/>
      <c r="J2694" s="13"/>
      <c r="K2694" s="13"/>
      <c r="L2694" s="15">
        <v>0</v>
      </c>
    </row>
    <row r="2695" spans="1:12">
      <c r="A2695" s="12"/>
      <c r="E2695" s="14"/>
      <c r="F2695" s="14"/>
      <c r="G2695" s="13">
        <v>0</v>
      </c>
      <c r="H2695" s="13">
        <v>0</v>
      </c>
      <c r="I2695" s="13"/>
      <c r="J2695" s="13"/>
      <c r="K2695" s="13"/>
      <c r="L2695" s="15">
        <v>0</v>
      </c>
    </row>
    <row r="2696" spans="1:12">
      <c r="A2696" s="12"/>
      <c r="E2696" s="14"/>
      <c r="F2696" s="14"/>
      <c r="G2696" s="13">
        <v>0</v>
      </c>
      <c r="H2696" s="13">
        <v>0</v>
      </c>
      <c r="I2696" s="13"/>
      <c r="J2696" s="13"/>
      <c r="K2696" s="13"/>
      <c r="L2696" s="15">
        <v>0</v>
      </c>
    </row>
    <row r="2697" spans="1:12">
      <c r="A2697" s="12"/>
      <c r="E2697" s="14"/>
      <c r="F2697" s="14"/>
      <c r="G2697" s="13">
        <v>0</v>
      </c>
      <c r="H2697" s="13">
        <v>0</v>
      </c>
      <c r="I2697" s="13"/>
      <c r="J2697" s="13"/>
      <c r="K2697" s="13"/>
      <c r="L2697" s="15">
        <v>0</v>
      </c>
    </row>
    <row r="2698" spans="1:12">
      <c r="A2698" s="12"/>
      <c r="E2698" s="14"/>
      <c r="F2698" s="14"/>
      <c r="G2698" s="13">
        <v>0</v>
      </c>
      <c r="H2698" s="13">
        <v>0</v>
      </c>
      <c r="I2698" s="13"/>
      <c r="J2698" s="13"/>
      <c r="K2698" s="13"/>
      <c r="L2698" s="15">
        <v>0</v>
      </c>
    </row>
    <row r="2699" spans="1:12">
      <c r="A2699" s="12"/>
      <c r="E2699" s="14"/>
      <c r="F2699" s="14"/>
      <c r="G2699" s="13">
        <v>0</v>
      </c>
      <c r="H2699" s="13">
        <v>0</v>
      </c>
      <c r="I2699" s="13"/>
      <c r="J2699" s="13"/>
      <c r="K2699" s="13"/>
      <c r="L2699" s="15">
        <v>0</v>
      </c>
    </row>
    <row r="2700" spans="1:12">
      <c r="A2700" s="12"/>
      <c r="E2700" s="14"/>
      <c r="F2700" s="14"/>
      <c r="G2700" s="13">
        <v>0</v>
      </c>
      <c r="H2700" s="13">
        <v>0</v>
      </c>
      <c r="I2700" s="13"/>
      <c r="J2700" s="13"/>
      <c r="K2700" s="13"/>
      <c r="L2700" s="15">
        <v>0</v>
      </c>
    </row>
    <row r="2701" spans="1:12">
      <c r="A2701" s="12"/>
      <c r="E2701" s="14"/>
      <c r="F2701" s="14"/>
      <c r="G2701" s="13">
        <v>0</v>
      </c>
      <c r="H2701" s="13">
        <v>0</v>
      </c>
      <c r="I2701" s="13"/>
      <c r="J2701" s="13"/>
      <c r="K2701" s="13"/>
      <c r="L2701" s="15">
        <v>0</v>
      </c>
    </row>
    <row r="2702" spans="1:12">
      <c r="A2702" s="12"/>
      <c r="E2702" s="14"/>
      <c r="F2702" s="14"/>
      <c r="G2702" s="13">
        <v>0</v>
      </c>
      <c r="H2702" s="13">
        <v>0</v>
      </c>
      <c r="I2702" s="13"/>
      <c r="J2702" s="13"/>
      <c r="K2702" s="13"/>
      <c r="L2702" s="15">
        <v>0</v>
      </c>
    </row>
    <row r="2703" spans="1:12">
      <c r="A2703" s="12"/>
      <c r="E2703" s="14"/>
      <c r="F2703" s="14"/>
      <c r="G2703" s="13">
        <v>0</v>
      </c>
      <c r="H2703" s="13">
        <v>0</v>
      </c>
      <c r="I2703" s="13"/>
      <c r="J2703" s="13"/>
      <c r="K2703" s="13"/>
      <c r="L2703" s="15">
        <v>0</v>
      </c>
    </row>
    <row r="2704" spans="1:12">
      <c r="A2704" s="12"/>
      <c r="E2704" s="14"/>
      <c r="F2704" s="14"/>
      <c r="G2704" s="13">
        <v>0</v>
      </c>
      <c r="H2704" s="13">
        <v>0</v>
      </c>
      <c r="I2704" s="13"/>
      <c r="J2704" s="13"/>
      <c r="K2704" s="13"/>
      <c r="L2704" s="15">
        <v>0</v>
      </c>
    </row>
    <row r="2705" spans="1:12">
      <c r="A2705" s="12"/>
      <c r="E2705" s="14"/>
      <c r="F2705" s="14"/>
      <c r="G2705" s="13">
        <v>0</v>
      </c>
      <c r="H2705" s="13">
        <v>0</v>
      </c>
      <c r="I2705" s="13"/>
      <c r="J2705" s="13"/>
      <c r="K2705" s="13"/>
      <c r="L2705" s="15">
        <v>0</v>
      </c>
    </row>
    <row r="2706" spans="1:12">
      <c r="A2706" s="12"/>
      <c r="E2706" s="14"/>
      <c r="F2706" s="14"/>
      <c r="G2706" s="13">
        <v>0</v>
      </c>
      <c r="H2706" s="13">
        <v>0</v>
      </c>
      <c r="I2706" s="13"/>
      <c r="J2706" s="13"/>
      <c r="K2706" s="13"/>
      <c r="L2706" s="15">
        <v>0</v>
      </c>
    </row>
    <row r="2707" spans="1:12">
      <c r="A2707" s="12"/>
      <c r="E2707" s="14"/>
      <c r="F2707" s="14"/>
      <c r="G2707" s="13">
        <v>0</v>
      </c>
      <c r="H2707" s="13">
        <v>0</v>
      </c>
      <c r="I2707" s="13"/>
      <c r="J2707" s="13"/>
      <c r="K2707" s="13"/>
      <c r="L2707" s="15">
        <v>0</v>
      </c>
    </row>
    <row r="2708" spans="1:12">
      <c r="A2708" s="12"/>
      <c r="E2708" s="14"/>
      <c r="F2708" s="14"/>
      <c r="G2708" s="13">
        <v>0</v>
      </c>
      <c r="H2708" s="13">
        <v>0</v>
      </c>
      <c r="I2708" s="13"/>
      <c r="J2708" s="13"/>
      <c r="K2708" s="13"/>
      <c r="L2708" s="15">
        <v>0</v>
      </c>
    </row>
    <row r="2709" spans="1:12">
      <c r="A2709" s="12"/>
      <c r="E2709" s="14"/>
      <c r="F2709" s="14"/>
      <c r="G2709" s="13">
        <v>0</v>
      </c>
      <c r="H2709" s="13">
        <v>0</v>
      </c>
      <c r="I2709" s="13"/>
      <c r="J2709" s="13"/>
      <c r="K2709" s="13"/>
      <c r="L2709" s="15">
        <v>0</v>
      </c>
    </row>
    <row r="2710" spans="1:12">
      <c r="A2710" s="12"/>
      <c r="E2710" s="14"/>
      <c r="F2710" s="14"/>
      <c r="G2710" s="13">
        <v>0</v>
      </c>
      <c r="H2710" s="13">
        <v>0</v>
      </c>
      <c r="I2710" s="13"/>
      <c r="J2710" s="13"/>
      <c r="K2710" s="13"/>
      <c r="L2710" s="15">
        <v>0</v>
      </c>
    </row>
    <row r="2711" spans="1:12">
      <c r="A2711" s="12"/>
      <c r="E2711" s="14"/>
      <c r="F2711" s="14"/>
      <c r="G2711" s="13">
        <v>0</v>
      </c>
      <c r="H2711" s="13">
        <v>0</v>
      </c>
      <c r="I2711" s="13"/>
      <c r="J2711" s="13"/>
      <c r="K2711" s="13"/>
      <c r="L2711" s="15">
        <v>0</v>
      </c>
    </row>
    <row r="2712" spans="1:12">
      <c r="A2712" s="12"/>
      <c r="E2712" s="14"/>
      <c r="F2712" s="14"/>
      <c r="G2712" s="13">
        <v>0</v>
      </c>
      <c r="H2712" s="13">
        <v>0</v>
      </c>
      <c r="I2712" s="13"/>
      <c r="J2712" s="13"/>
      <c r="K2712" s="13"/>
      <c r="L2712" s="15">
        <v>0</v>
      </c>
    </row>
    <row r="2713" spans="1:12">
      <c r="A2713" s="12"/>
      <c r="E2713" s="14"/>
      <c r="F2713" s="14"/>
      <c r="G2713" s="13">
        <v>0</v>
      </c>
      <c r="H2713" s="13">
        <v>0</v>
      </c>
      <c r="I2713" s="13"/>
      <c r="J2713" s="13"/>
      <c r="K2713" s="13"/>
      <c r="L2713" s="15">
        <v>0</v>
      </c>
    </row>
    <row r="2714" spans="1:12">
      <c r="A2714" s="12"/>
      <c r="E2714" s="14"/>
      <c r="F2714" s="14"/>
      <c r="G2714" s="13">
        <v>0</v>
      </c>
      <c r="H2714" s="13">
        <v>0</v>
      </c>
      <c r="I2714" s="13"/>
      <c r="J2714" s="13"/>
      <c r="K2714" s="13"/>
      <c r="L2714" s="15">
        <v>0</v>
      </c>
    </row>
    <row r="2715" spans="1:12">
      <c r="A2715" s="12"/>
      <c r="E2715" s="14"/>
      <c r="F2715" s="14"/>
      <c r="G2715" s="13">
        <v>0</v>
      </c>
      <c r="H2715" s="13">
        <v>0</v>
      </c>
      <c r="I2715" s="13"/>
      <c r="J2715" s="13"/>
      <c r="K2715" s="13"/>
      <c r="L2715" s="15">
        <v>0</v>
      </c>
    </row>
    <row r="2716" spans="1:12">
      <c r="A2716" s="12"/>
      <c r="E2716" s="14"/>
      <c r="F2716" s="14"/>
      <c r="G2716" s="13">
        <v>0</v>
      </c>
      <c r="H2716" s="13">
        <v>0</v>
      </c>
      <c r="I2716" s="13"/>
      <c r="J2716" s="13"/>
      <c r="K2716" s="13"/>
      <c r="L2716" s="15">
        <v>0</v>
      </c>
    </row>
    <row r="2717" spans="1:12">
      <c r="A2717" s="12"/>
      <c r="E2717" s="14"/>
      <c r="F2717" s="14"/>
      <c r="G2717" s="13">
        <v>0</v>
      </c>
      <c r="H2717" s="13">
        <v>0</v>
      </c>
      <c r="I2717" s="13"/>
      <c r="J2717" s="13"/>
      <c r="K2717" s="13"/>
      <c r="L2717" s="15">
        <v>0</v>
      </c>
    </row>
    <row r="2718" spans="1:12">
      <c r="A2718" s="12"/>
      <c r="E2718" s="14"/>
      <c r="F2718" s="14"/>
      <c r="G2718" s="13">
        <v>0</v>
      </c>
      <c r="H2718" s="13">
        <v>0</v>
      </c>
      <c r="I2718" s="13"/>
      <c r="J2718" s="13"/>
      <c r="K2718" s="13"/>
      <c r="L2718" s="15">
        <v>0</v>
      </c>
    </row>
    <row r="2719" spans="1:12">
      <c r="A2719" s="12"/>
      <c r="E2719" s="14"/>
      <c r="F2719" s="14"/>
      <c r="G2719" s="13">
        <v>0</v>
      </c>
      <c r="H2719" s="13">
        <v>0</v>
      </c>
      <c r="I2719" s="13"/>
      <c r="J2719" s="13"/>
      <c r="K2719" s="13"/>
      <c r="L2719" s="15">
        <v>0</v>
      </c>
    </row>
    <row r="2720" spans="1:12">
      <c r="A2720" s="12"/>
      <c r="E2720" s="14"/>
      <c r="F2720" s="14"/>
      <c r="G2720" s="13">
        <v>0</v>
      </c>
      <c r="H2720" s="13">
        <v>0</v>
      </c>
      <c r="I2720" s="13"/>
      <c r="J2720" s="13"/>
      <c r="K2720" s="13"/>
      <c r="L2720" s="15">
        <v>0</v>
      </c>
    </row>
    <row r="2721" spans="1:12">
      <c r="A2721" s="12"/>
      <c r="E2721" s="14"/>
      <c r="F2721" s="14"/>
      <c r="G2721" s="13">
        <v>0</v>
      </c>
      <c r="H2721" s="13">
        <v>0</v>
      </c>
      <c r="I2721" s="13"/>
      <c r="J2721" s="13"/>
      <c r="K2721" s="13"/>
      <c r="L2721" s="15">
        <v>0</v>
      </c>
    </row>
    <row r="2722" spans="1:12">
      <c r="A2722" s="12"/>
      <c r="E2722" s="14"/>
      <c r="F2722" s="14"/>
      <c r="G2722" s="13">
        <v>0</v>
      </c>
      <c r="H2722" s="13">
        <v>0</v>
      </c>
      <c r="I2722" s="13"/>
      <c r="J2722" s="13"/>
      <c r="K2722" s="13"/>
      <c r="L2722" s="15">
        <v>0</v>
      </c>
    </row>
    <row r="2723" spans="1:12">
      <c r="A2723" s="12"/>
      <c r="E2723" s="14"/>
      <c r="F2723" s="14"/>
      <c r="G2723" s="13">
        <v>0</v>
      </c>
      <c r="H2723" s="13">
        <v>0</v>
      </c>
      <c r="I2723" s="13"/>
      <c r="J2723" s="13"/>
      <c r="K2723" s="13"/>
      <c r="L2723" s="15">
        <v>0</v>
      </c>
    </row>
    <row r="2724" spans="1:12">
      <c r="A2724" s="12"/>
      <c r="E2724" s="14"/>
      <c r="F2724" s="14"/>
      <c r="G2724" s="13">
        <v>0</v>
      </c>
      <c r="H2724" s="13">
        <v>0</v>
      </c>
      <c r="I2724" s="13"/>
      <c r="J2724" s="13"/>
      <c r="K2724" s="13"/>
      <c r="L2724" s="15">
        <v>0</v>
      </c>
    </row>
    <row r="2725" spans="1:12">
      <c r="A2725" s="12"/>
      <c r="E2725" s="14"/>
      <c r="F2725" s="14"/>
      <c r="G2725" s="13">
        <v>0</v>
      </c>
      <c r="H2725" s="13">
        <v>0</v>
      </c>
      <c r="I2725" s="13"/>
      <c r="J2725" s="13"/>
      <c r="K2725" s="13"/>
      <c r="L2725" s="15">
        <v>0</v>
      </c>
    </row>
    <row r="2726" spans="1:12">
      <c r="A2726" s="12"/>
      <c r="E2726" s="14"/>
      <c r="F2726" s="14"/>
      <c r="G2726" s="13">
        <v>0</v>
      </c>
      <c r="H2726" s="13">
        <v>0</v>
      </c>
      <c r="I2726" s="13"/>
      <c r="J2726" s="13"/>
      <c r="K2726" s="13"/>
      <c r="L2726" s="15">
        <v>0</v>
      </c>
    </row>
    <row r="2727" spans="1:12">
      <c r="A2727" s="12"/>
      <c r="E2727" s="14"/>
      <c r="F2727" s="14"/>
      <c r="G2727" s="13">
        <v>0</v>
      </c>
      <c r="H2727" s="13">
        <v>0</v>
      </c>
      <c r="I2727" s="13"/>
      <c r="J2727" s="13"/>
      <c r="K2727" s="13"/>
      <c r="L2727" s="15">
        <v>0</v>
      </c>
    </row>
    <row r="2728" spans="1:12">
      <c r="A2728" s="12"/>
      <c r="E2728" s="14"/>
      <c r="F2728" s="14"/>
      <c r="G2728" s="13">
        <v>0</v>
      </c>
      <c r="H2728" s="13">
        <v>0</v>
      </c>
      <c r="I2728" s="13"/>
      <c r="J2728" s="13"/>
      <c r="K2728" s="13"/>
      <c r="L2728" s="15">
        <v>0</v>
      </c>
    </row>
    <row r="2729" spans="1:12">
      <c r="A2729" s="12"/>
      <c r="E2729" s="14"/>
      <c r="F2729" s="14"/>
      <c r="G2729" s="13">
        <v>0</v>
      </c>
      <c r="H2729" s="13">
        <v>0</v>
      </c>
      <c r="I2729" s="13"/>
      <c r="J2729" s="13"/>
      <c r="K2729" s="13"/>
      <c r="L2729" s="15">
        <v>0</v>
      </c>
    </row>
    <row r="2730" spans="1:12">
      <c r="A2730" s="12"/>
      <c r="E2730" s="14"/>
      <c r="F2730" s="14"/>
      <c r="G2730" s="13">
        <v>0</v>
      </c>
      <c r="H2730" s="13">
        <v>0</v>
      </c>
      <c r="I2730" s="13"/>
      <c r="J2730" s="13"/>
      <c r="K2730" s="13"/>
      <c r="L2730" s="15">
        <v>0</v>
      </c>
    </row>
    <row r="2731" spans="1:12">
      <c r="A2731" s="12"/>
      <c r="E2731" s="14"/>
      <c r="F2731" s="14"/>
      <c r="G2731" s="13">
        <v>0</v>
      </c>
      <c r="H2731" s="13">
        <v>0</v>
      </c>
      <c r="I2731" s="13"/>
      <c r="J2731" s="13"/>
      <c r="K2731" s="13"/>
      <c r="L2731" s="15">
        <v>0</v>
      </c>
    </row>
    <row r="2732" spans="1:12">
      <c r="A2732" s="12"/>
      <c r="E2732" s="14"/>
      <c r="F2732" s="14"/>
      <c r="G2732" s="13">
        <v>0</v>
      </c>
      <c r="H2732" s="13">
        <v>0</v>
      </c>
      <c r="I2732" s="13"/>
      <c r="J2732" s="13"/>
      <c r="K2732" s="13"/>
      <c r="L2732" s="15">
        <v>0</v>
      </c>
    </row>
    <row r="2733" spans="1:12">
      <c r="A2733" s="12"/>
      <c r="E2733" s="14"/>
      <c r="F2733" s="14"/>
      <c r="G2733" s="13">
        <v>0</v>
      </c>
      <c r="H2733" s="13">
        <v>0</v>
      </c>
      <c r="I2733" s="13"/>
      <c r="J2733" s="13"/>
      <c r="K2733" s="13"/>
      <c r="L2733" s="15">
        <v>0</v>
      </c>
    </row>
    <row r="2734" spans="1:12">
      <c r="A2734" s="12"/>
      <c r="E2734" s="14"/>
      <c r="F2734" s="14"/>
      <c r="G2734" s="13">
        <v>0</v>
      </c>
      <c r="H2734" s="13">
        <v>0</v>
      </c>
      <c r="I2734" s="13"/>
      <c r="J2734" s="13"/>
      <c r="K2734" s="13"/>
      <c r="L2734" s="15">
        <v>0</v>
      </c>
    </row>
    <row r="2735" spans="1:12">
      <c r="A2735" s="12"/>
      <c r="E2735" s="14"/>
      <c r="F2735" s="14"/>
      <c r="G2735" s="13">
        <v>0</v>
      </c>
      <c r="H2735" s="13">
        <v>0</v>
      </c>
      <c r="I2735" s="13"/>
      <c r="J2735" s="13"/>
      <c r="K2735" s="13"/>
      <c r="L2735" s="15">
        <v>0</v>
      </c>
    </row>
    <row r="2736" spans="1:12">
      <c r="A2736" s="12"/>
      <c r="E2736" s="14"/>
      <c r="F2736" s="14"/>
      <c r="G2736" s="13">
        <v>0</v>
      </c>
      <c r="H2736" s="13">
        <v>0</v>
      </c>
      <c r="I2736" s="13"/>
      <c r="J2736" s="13"/>
      <c r="K2736" s="13"/>
      <c r="L2736" s="15">
        <v>0</v>
      </c>
    </row>
    <row r="2737" spans="1:12">
      <c r="A2737" s="12"/>
      <c r="E2737" s="14"/>
      <c r="F2737" s="14"/>
      <c r="G2737" s="13">
        <v>0</v>
      </c>
      <c r="H2737" s="13">
        <v>0</v>
      </c>
      <c r="I2737" s="13"/>
      <c r="J2737" s="13"/>
      <c r="K2737" s="13"/>
      <c r="L2737" s="15">
        <v>0</v>
      </c>
    </row>
    <row r="2738" spans="1:12">
      <c r="A2738" s="12"/>
      <c r="E2738" s="14"/>
      <c r="F2738" s="14"/>
      <c r="G2738" s="13">
        <v>0</v>
      </c>
      <c r="H2738" s="13">
        <v>0</v>
      </c>
      <c r="I2738" s="13"/>
      <c r="J2738" s="13"/>
      <c r="K2738" s="13"/>
      <c r="L2738" s="15">
        <v>0</v>
      </c>
    </row>
    <row r="2739" spans="1:12">
      <c r="A2739" s="12"/>
      <c r="E2739" s="14"/>
      <c r="F2739" s="14"/>
      <c r="G2739" s="13">
        <v>0</v>
      </c>
      <c r="H2739" s="13">
        <v>0</v>
      </c>
      <c r="I2739" s="13"/>
      <c r="J2739" s="13"/>
      <c r="K2739" s="13"/>
      <c r="L2739" s="15">
        <v>0</v>
      </c>
    </row>
    <row r="2740" spans="1:12">
      <c r="A2740" s="12"/>
      <c r="E2740" s="14"/>
      <c r="F2740" s="14"/>
      <c r="G2740" s="13">
        <v>0</v>
      </c>
      <c r="H2740" s="13">
        <v>0</v>
      </c>
      <c r="I2740" s="13"/>
      <c r="J2740" s="13"/>
      <c r="K2740" s="13"/>
      <c r="L2740" s="15">
        <v>0</v>
      </c>
    </row>
    <row r="2741" spans="1:12">
      <c r="A2741" s="12"/>
      <c r="E2741" s="14"/>
      <c r="F2741" s="14"/>
      <c r="G2741" s="13">
        <v>0</v>
      </c>
      <c r="H2741" s="13">
        <v>0</v>
      </c>
      <c r="I2741" s="13"/>
      <c r="J2741" s="13"/>
      <c r="K2741" s="13"/>
      <c r="L2741" s="15">
        <v>0</v>
      </c>
    </row>
    <row r="2742" spans="1:12">
      <c r="A2742" s="12"/>
      <c r="E2742" s="14"/>
      <c r="F2742" s="14"/>
      <c r="G2742" s="13">
        <v>0</v>
      </c>
      <c r="H2742" s="13">
        <v>0</v>
      </c>
      <c r="I2742" s="13"/>
      <c r="J2742" s="13"/>
      <c r="K2742" s="13"/>
      <c r="L2742" s="15">
        <v>0</v>
      </c>
    </row>
    <row r="2743" spans="1:12">
      <c r="A2743" s="12"/>
      <c r="E2743" s="14"/>
      <c r="F2743" s="14"/>
      <c r="G2743" s="13">
        <v>0</v>
      </c>
      <c r="H2743" s="13">
        <v>0</v>
      </c>
      <c r="I2743" s="13"/>
      <c r="J2743" s="13"/>
      <c r="K2743" s="13"/>
      <c r="L2743" s="15">
        <v>0</v>
      </c>
    </row>
    <row r="2744" spans="1:12">
      <c r="A2744" s="12"/>
      <c r="E2744" s="14"/>
      <c r="F2744" s="14"/>
      <c r="G2744" s="13">
        <v>0</v>
      </c>
      <c r="H2744" s="13">
        <v>0</v>
      </c>
      <c r="I2744" s="13"/>
      <c r="J2744" s="13"/>
      <c r="K2744" s="13"/>
      <c r="L2744" s="15">
        <v>0</v>
      </c>
    </row>
    <row r="2745" spans="1:12">
      <c r="A2745" s="12"/>
      <c r="E2745" s="14"/>
      <c r="F2745" s="14"/>
      <c r="G2745" s="13">
        <v>0</v>
      </c>
      <c r="H2745" s="13">
        <v>0</v>
      </c>
      <c r="I2745" s="13"/>
      <c r="J2745" s="13"/>
      <c r="K2745" s="13"/>
      <c r="L2745" s="15">
        <v>0</v>
      </c>
    </row>
    <row r="2746" spans="1:12">
      <c r="A2746" s="12"/>
      <c r="E2746" s="14"/>
      <c r="F2746" s="14"/>
      <c r="G2746" s="13">
        <v>0</v>
      </c>
      <c r="H2746" s="13">
        <v>0</v>
      </c>
      <c r="I2746" s="13"/>
      <c r="J2746" s="13"/>
      <c r="K2746" s="13"/>
      <c r="L2746" s="15">
        <v>0</v>
      </c>
    </row>
    <row r="2747" spans="1:12">
      <c r="A2747" s="12"/>
      <c r="E2747" s="14"/>
      <c r="F2747" s="14"/>
      <c r="G2747" s="13">
        <v>0</v>
      </c>
      <c r="H2747" s="13">
        <v>0</v>
      </c>
      <c r="I2747" s="13"/>
      <c r="J2747" s="13"/>
      <c r="K2747" s="13"/>
      <c r="L2747" s="15">
        <v>0</v>
      </c>
    </row>
    <row r="2748" spans="1:12">
      <c r="A2748" s="12"/>
      <c r="E2748" s="14"/>
      <c r="F2748" s="14"/>
      <c r="G2748" s="13">
        <v>0</v>
      </c>
      <c r="H2748" s="13">
        <v>0</v>
      </c>
      <c r="I2748" s="13"/>
      <c r="J2748" s="13"/>
      <c r="K2748" s="13"/>
      <c r="L2748" s="15">
        <v>0</v>
      </c>
    </row>
    <row r="2749" spans="1:12">
      <c r="A2749" s="12"/>
      <c r="E2749" s="14"/>
      <c r="F2749" s="14"/>
      <c r="G2749" s="13">
        <v>0</v>
      </c>
      <c r="H2749" s="13">
        <v>0</v>
      </c>
      <c r="I2749" s="13"/>
      <c r="J2749" s="13"/>
      <c r="K2749" s="13"/>
      <c r="L2749" s="15">
        <v>0</v>
      </c>
    </row>
    <row r="2750" spans="1:12">
      <c r="A2750" s="12"/>
      <c r="E2750" s="14"/>
      <c r="F2750" s="14"/>
      <c r="G2750" s="13">
        <v>0</v>
      </c>
      <c r="H2750" s="13">
        <v>0</v>
      </c>
      <c r="I2750" s="13"/>
      <c r="J2750" s="13"/>
      <c r="K2750" s="13"/>
      <c r="L2750" s="15">
        <v>0</v>
      </c>
    </row>
    <row r="2751" spans="1:12">
      <c r="A2751" s="12"/>
      <c r="E2751" s="14"/>
      <c r="F2751" s="14"/>
      <c r="G2751" s="13">
        <v>0</v>
      </c>
      <c r="H2751" s="13">
        <v>0</v>
      </c>
      <c r="I2751" s="13"/>
      <c r="J2751" s="13"/>
      <c r="K2751" s="13"/>
      <c r="L2751" s="15">
        <v>0</v>
      </c>
    </row>
    <row r="2752" spans="1:12">
      <c r="A2752" s="12"/>
      <c r="E2752" s="14"/>
      <c r="F2752" s="14"/>
      <c r="G2752" s="13">
        <v>0</v>
      </c>
      <c r="H2752" s="13">
        <v>0</v>
      </c>
      <c r="I2752" s="13"/>
      <c r="J2752" s="13"/>
      <c r="K2752" s="13"/>
      <c r="L2752" s="15">
        <v>0</v>
      </c>
    </row>
    <row r="2753" spans="1:12">
      <c r="A2753" s="12"/>
      <c r="E2753" s="14"/>
      <c r="F2753" s="14"/>
      <c r="G2753" s="13">
        <v>0</v>
      </c>
      <c r="H2753" s="13">
        <v>0</v>
      </c>
      <c r="I2753" s="13"/>
      <c r="J2753" s="13"/>
      <c r="K2753" s="13"/>
      <c r="L2753" s="15">
        <v>0</v>
      </c>
    </row>
    <row r="2754" spans="1:12">
      <c r="A2754" s="12"/>
      <c r="E2754" s="14"/>
      <c r="F2754" s="14"/>
      <c r="G2754" s="13">
        <v>0</v>
      </c>
      <c r="H2754" s="13">
        <v>0</v>
      </c>
      <c r="I2754" s="13"/>
      <c r="J2754" s="13"/>
      <c r="K2754" s="13"/>
      <c r="L2754" s="15">
        <v>0</v>
      </c>
    </row>
    <row r="2755" spans="1:12">
      <c r="A2755" s="12"/>
      <c r="E2755" s="14"/>
      <c r="F2755" s="14"/>
      <c r="G2755" s="13">
        <v>0</v>
      </c>
      <c r="H2755" s="13">
        <v>0</v>
      </c>
      <c r="I2755" s="13"/>
      <c r="J2755" s="13"/>
      <c r="K2755" s="13"/>
      <c r="L2755" s="15">
        <v>0</v>
      </c>
    </row>
    <row r="2756" spans="1:12">
      <c r="A2756" s="12"/>
      <c r="E2756" s="14"/>
      <c r="F2756" s="14"/>
      <c r="G2756" s="13">
        <v>0</v>
      </c>
      <c r="H2756" s="13">
        <v>0</v>
      </c>
      <c r="I2756" s="13"/>
      <c r="J2756" s="13"/>
      <c r="K2756" s="13"/>
      <c r="L2756" s="15">
        <v>0</v>
      </c>
    </row>
    <row r="2757" spans="1:12">
      <c r="A2757" s="12"/>
      <c r="E2757" s="14"/>
      <c r="F2757" s="14"/>
      <c r="G2757" s="13">
        <v>0</v>
      </c>
      <c r="H2757" s="13">
        <v>0</v>
      </c>
      <c r="I2757" s="13"/>
      <c r="J2757" s="13"/>
      <c r="K2757" s="13"/>
      <c r="L2757" s="15">
        <v>0</v>
      </c>
    </row>
    <row r="2758" spans="1:12">
      <c r="A2758" s="12"/>
      <c r="E2758" s="14"/>
      <c r="F2758" s="14"/>
      <c r="G2758" s="13">
        <v>0</v>
      </c>
      <c r="H2758" s="13">
        <v>0</v>
      </c>
      <c r="I2758" s="13"/>
      <c r="J2758" s="13"/>
      <c r="K2758" s="13"/>
      <c r="L2758" s="15">
        <v>0</v>
      </c>
    </row>
    <row r="2759" spans="1:12">
      <c r="A2759" s="12"/>
      <c r="E2759" s="14"/>
      <c r="F2759" s="14"/>
      <c r="G2759" s="13">
        <v>0</v>
      </c>
      <c r="H2759" s="13">
        <v>0</v>
      </c>
      <c r="I2759" s="13"/>
      <c r="J2759" s="13"/>
      <c r="K2759" s="13"/>
      <c r="L2759" s="15">
        <v>0</v>
      </c>
    </row>
    <row r="2760" spans="1:12">
      <c r="A2760" s="12"/>
      <c r="E2760" s="14"/>
      <c r="F2760" s="14"/>
      <c r="G2760" s="13">
        <v>0</v>
      </c>
      <c r="H2760" s="13">
        <v>0</v>
      </c>
      <c r="I2760" s="13"/>
      <c r="J2760" s="13"/>
      <c r="K2760" s="13"/>
      <c r="L2760" s="15">
        <v>0</v>
      </c>
    </row>
    <row r="2761" spans="1:12">
      <c r="A2761" s="12"/>
      <c r="E2761" s="14"/>
      <c r="F2761" s="14"/>
      <c r="G2761" s="13">
        <v>0</v>
      </c>
      <c r="H2761" s="13">
        <v>0</v>
      </c>
      <c r="I2761" s="13"/>
      <c r="J2761" s="13"/>
      <c r="K2761" s="13"/>
      <c r="L2761" s="15">
        <v>0</v>
      </c>
    </row>
    <row r="2762" spans="1:12">
      <c r="A2762" s="12"/>
      <c r="E2762" s="14"/>
      <c r="F2762" s="14"/>
      <c r="G2762" s="13">
        <v>0</v>
      </c>
      <c r="H2762" s="13">
        <v>0</v>
      </c>
      <c r="I2762" s="13"/>
      <c r="J2762" s="13"/>
      <c r="K2762" s="13"/>
      <c r="L2762" s="15">
        <v>0</v>
      </c>
    </row>
    <row r="2763" spans="1:12">
      <c r="A2763" s="12"/>
      <c r="E2763" s="14"/>
      <c r="F2763" s="14"/>
      <c r="G2763" s="13">
        <v>0</v>
      </c>
      <c r="H2763" s="13">
        <v>0</v>
      </c>
      <c r="I2763" s="13"/>
      <c r="J2763" s="13"/>
      <c r="K2763" s="13"/>
      <c r="L2763" s="15">
        <v>0</v>
      </c>
    </row>
    <row r="2764" spans="1:12">
      <c r="A2764" s="12"/>
      <c r="E2764" s="14"/>
      <c r="F2764" s="14"/>
      <c r="G2764" s="13">
        <v>0</v>
      </c>
      <c r="H2764" s="13">
        <v>0</v>
      </c>
      <c r="I2764" s="13"/>
      <c r="J2764" s="13"/>
      <c r="K2764" s="13"/>
      <c r="L2764" s="15">
        <v>0</v>
      </c>
    </row>
    <row r="2765" spans="1:12">
      <c r="A2765" s="12"/>
      <c r="E2765" s="14"/>
      <c r="F2765" s="14"/>
      <c r="G2765" s="13">
        <v>0</v>
      </c>
      <c r="H2765" s="13">
        <v>0</v>
      </c>
      <c r="I2765" s="13"/>
      <c r="J2765" s="13"/>
      <c r="K2765" s="13"/>
      <c r="L2765" s="15">
        <v>0</v>
      </c>
    </row>
    <row r="2766" spans="1:12">
      <c r="A2766" s="12"/>
      <c r="E2766" s="14"/>
      <c r="F2766" s="14"/>
      <c r="G2766" s="13">
        <v>0</v>
      </c>
      <c r="H2766" s="13">
        <v>0</v>
      </c>
      <c r="I2766" s="13"/>
      <c r="J2766" s="13"/>
      <c r="K2766" s="13"/>
      <c r="L2766" s="15">
        <v>0</v>
      </c>
    </row>
    <row r="2767" spans="1:12">
      <c r="A2767" s="12"/>
      <c r="E2767" s="14"/>
      <c r="F2767" s="14"/>
      <c r="G2767" s="13">
        <v>0</v>
      </c>
      <c r="H2767" s="13">
        <v>0</v>
      </c>
      <c r="I2767" s="13"/>
      <c r="J2767" s="13"/>
      <c r="K2767" s="13"/>
      <c r="L2767" s="15">
        <v>0</v>
      </c>
    </row>
    <row r="2768" spans="1:12">
      <c r="A2768" s="12"/>
      <c r="E2768" s="14"/>
      <c r="F2768" s="14"/>
      <c r="G2768" s="13">
        <v>0</v>
      </c>
      <c r="H2768" s="13">
        <v>0</v>
      </c>
      <c r="I2768" s="13"/>
      <c r="J2768" s="13"/>
      <c r="K2768" s="13"/>
      <c r="L2768" s="15">
        <v>0</v>
      </c>
    </row>
    <row r="2769" spans="1:12">
      <c r="A2769" s="12"/>
      <c r="E2769" s="14"/>
      <c r="F2769" s="14"/>
      <c r="G2769" s="13">
        <v>0</v>
      </c>
      <c r="H2769" s="13">
        <v>0</v>
      </c>
      <c r="I2769" s="13"/>
      <c r="J2769" s="13"/>
      <c r="K2769" s="13"/>
      <c r="L2769" s="15">
        <v>0</v>
      </c>
    </row>
    <row r="2770" spans="1:12">
      <c r="A2770" s="12"/>
      <c r="E2770" s="14"/>
      <c r="F2770" s="14"/>
      <c r="G2770" s="13">
        <v>0</v>
      </c>
      <c r="H2770" s="13">
        <v>0</v>
      </c>
      <c r="I2770" s="13"/>
      <c r="J2770" s="13"/>
      <c r="K2770" s="13"/>
      <c r="L2770" s="15">
        <v>0</v>
      </c>
    </row>
    <row r="2771" spans="1:12">
      <c r="A2771" s="12"/>
      <c r="E2771" s="14"/>
      <c r="F2771" s="14"/>
      <c r="G2771" s="13">
        <v>0</v>
      </c>
      <c r="H2771" s="13">
        <v>0</v>
      </c>
      <c r="I2771" s="13"/>
      <c r="J2771" s="13"/>
      <c r="K2771" s="13"/>
      <c r="L2771" s="15">
        <v>0</v>
      </c>
    </row>
    <row r="2772" spans="1:12">
      <c r="A2772" s="12"/>
      <c r="E2772" s="14"/>
      <c r="F2772" s="14"/>
      <c r="G2772" s="13">
        <v>0</v>
      </c>
      <c r="H2772" s="13">
        <v>0</v>
      </c>
      <c r="I2772" s="13"/>
      <c r="J2772" s="13"/>
      <c r="K2772" s="13"/>
      <c r="L2772" s="15">
        <v>0</v>
      </c>
    </row>
    <row r="2773" spans="1:12">
      <c r="A2773" s="12"/>
      <c r="E2773" s="14"/>
      <c r="F2773" s="14"/>
      <c r="G2773" s="13">
        <v>0</v>
      </c>
      <c r="H2773" s="13">
        <v>0</v>
      </c>
      <c r="I2773" s="13"/>
      <c r="J2773" s="13"/>
      <c r="K2773" s="13"/>
      <c r="L2773" s="15">
        <v>0</v>
      </c>
    </row>
    <row r="2774" spans="1:12">
      <c r="A2774" s="12"/>
      <c r="E2774" s="14"/>
      <c r="F2774" s="14"/>
      <c r="G2774" s="13">
        <v>0</v>
      </c>
      <c r="H2774" s="13">
        <v>0</v>
      </c>
      <c r="I2774" s="13"/>
      <c r="J2774" s="13"/>
      <c r="K2774" s="13"/>
      <c r="L2774" s="15">
        <v>0</v>
      </c>
    </row>
    <row r="2775" spans="1:12">
      <c r="A2775" s="12"/>
      <c r="E2775" s="14"/>
      <c r="F2775" s="14"/>
      <c r="G2775" s="13">
        <v>0</v>
      </c>
      <c r="H2775" s="13">
        <v>0</v>
      </c>
      <c r="I2775" s="13"/>
      <c r="J2775" s="13"/>
      <c r="K2775" s="13"/>
      <c r="L2775" s="15">
        <v>0</v>
      </c>
    </row>
    <row r="2776" spans="1:12">
      <c r="A2776" s="12"/>
      <c r="E2776" s="14"/>
      <c r="F2776" s="14"/>
      <c r="G2776" s="13">
        <v>0</v>
      </c>
      <c r="H2776" s="13">
        <v>0</v>
      </c>
      <c r="I2776" s="13"/>
      <c r="J2776" s="13"/>
      <c r="K2776" s="13"/>
      <c r="L2776" s="15">
        <v>0</v>
      </c>
    </row>
    <row r="2777" spans="1:12">
      <c r="A2777" s="12"/>
      <c r="E2777" s="14"/>
      <c r="F2777" s="14"/>
      <c r="G2777" s="13">
        <v>0</v>
      </c>
      <c r="H2777" s="13">
        <v>0</v>
      </c>
      <c r="I2777" s="13"/>
      <c r="J2777" s="13"/>
      <c r="K2777" s="13"/>
      <c r="L2777" s="15">
        <v>0</v>
      </c>
    </row>
    <row r="2778" spans="1:12">
      <c r="A2778" s="12"/>
      <c r="E2778" s="14"/>
      <c r="F2778" s="14"/>
      <c r="G2778" s="13">
        <v>0</v>
      </c>
      <c r="H2778" s="13">
        <v>0</v>
      </c>
      <c r="I2778" s="13"/>
      <c r="J2778" s="13"/>
      <c r="K2778" s="13"/>
      <c r="L2778" s="15">
        <v>0</v>
      </c>
    </row>
    <row r="2779" spans="1:12">
      <c r="A2779" s="12"/>
      <c r="E2779" s="14"/>
      <c r="F2779" s="14"/>
      <c r="G2779" s="13">
        <v>0</v>
      </c>
      <c r="H2779" s="13">
        <v>0</v>
      </c>
      <c r="I2779" s="13"/>
      <c r="J2779" s="13"/>
      <c r="K2779" s="13"/>
      <c r="L2779" s="15">
        <v>0</v>
      </c>
    </row>
    <row r="2780" spans="1:12">
      <c r="A2780" s="12"/>
      <c r="E2780" s="14"/>
      <c r="F2780" s="14"/>
      <c r="G2780" s="13">
        <v>0</v>
      </c>
      <c r="H2780" s="13">
        <v>0</v>
      </c>
      <c r="I2780" s="13"/>
      <c r="J2780" s="13"/>
      <c r="K2780" s="13"/>
      <c r="L2780" s="15">
        <v>0</v>
      </c>
    </row>
    <row r="2781" spans="1:12">
      <c r="A2781" s="12"/>
      <c r="E2781" s="14"/>
      <c r="F2781" s="14"/>
      <c r="G2781" s="13">
        <v>0</v>
      </c>
      <c r="H2781" s="13">
        <v>0</v>
      </c>
      <c r="I2781" s="13"/>
      <c r="J2781" s="13"/>
      <c r="K2781" s="13"/>
      <c r="L2781" s="15">
        <v>0</v>
      </c>
    </row>
    <row r="2782" spans="1:12">
      <c r="A2782" s="12"/>
      <c r="E2782" s="14"/>
      <c r="F2782" s="14"/>
      <c r="G2782" s="13">
        <v>0</v>
      </c>
      <c r="H2782" s="13">
        <v>0</v>
      </c>
      <c r="I2782" s="13"/>
      <c r="J2782" s="13"/>
      <c r="K2782" s="13"/>
      <c r="L2782" s="15">
        <v>0</v>
      </c>
    </row>
    <row r="2783" spans="1:12">
      <c r="A2783" s="12"/>
      <c r="E2783" s="14"/>
      <c r="F2783" s="14"/>
      <c r="G2783" s="13">
        <v>0</v>
      </c>
      <c r="H2783" s="13">
        <v>0</v>
      </c>
      <c r="I2783" s="13"/>
      <c r="J2783" s="13"/>
      <c r="K2783" s="13"/>
      <c r="L2783" s="15">
        <v>0</v>
      </c>
    </row>
    <row r="2784" spans="1:12">
      <c r="A2784" s="12"/>
      <c r="E2784" s="14"/>
      <c r="F2784" s="14"/>
      <c r="G2784" s="13">
        <v>0</v>
      </c>
      <c r="H2784" s="13">
        <v>0</v>
      </c>
      <c r="I2784" s="13"/>
      <c r="J2784" s="13"/>
      <c r="K2784" s="13"/>
      <c r="L2784" s="15">
        <v>0</v>
      </c>
    </row>
    <row r="2785" spans="1:12">
      <c r="A2785" s="12"/>
      <c r="E2785" s="14"/>
      <c r="F2785" s="14"/>
      <c r="G2785" s="13">
        <v>0</v>
      </c>
      <c r="H2785" s="13">
        <v>0</v>
      </c>
      <c r="I2785" s="13"/>
      <c r="J2785" s="13"/>
      <c r="K2785" s="13"/>
      <c r="L2785" s="15">
        <v>0</v>
      </c>
    </row>
    <row r="2786" spans="1:12">
      <c r="A2786" s="12"/>
      <c r="E2786" s="14"/>
      <c r="F2786" s="14"/>
      <c r="G2786" s="13">
        <v>0</v>
      </c>
      <c r="H2786" s="13">
        <v>0</v>
      </c>
      <c r="I2786" s="13"/>
      <c r="J2786" s="13"/>
      <c r="K2786" s="13"/>
      <c r="L2786" s="15">
        <v>0</v>
      </c>
    </row>
    <row r="2787" spans="1:12">
      <c r="A2787" s="12"/>
      <c r="E2787" s="14"/>
      <c r="F2787" s="14"/>
      <c r="G2787" s="13">
        <v>0</v>
      </c>
      <c r="H2787" s="13">
        <v>0</v>
      </c>
      <c r="I2787" s="13"/>
      <c r="J2787" s="13"/>
      <c r="K2787" s="13"/>
      <c r="L2787" s="15">
        <v>0</v>
      </c>
    </row>
    <row r="2788" spans="1:12">
      <c r="A2788" s="12"/>
      <c r="E2788" s="14"/>
      <c r="F2788" s="14"/>
      <c r="G2788" s="13">
        <v>0</v>
      </c>
      <c r="H2788" s="13">
        <v>0</v>
      </c>
      <c r="I2788" s="13"/>
      <c r="J2788" s="13"/>
      <c r="K2788" s="13"/>
      <c r="L2788" s="15">
        <v>0</v>
      </c>
    </row>
    <row r="2789" spans="1:12">
      <c r="A2789" s="12"/>
      <c r="E2789" s="14"/>
      <c r="F2789" s="14"/>
      <c r="G2789" s="13">
        <v>0</v>
      </c>
      <c r="H2789" s="13">
        <v>0</v>
      </c>
      <c r="I2789" s="13"/>
      <c r="J2789" s="13"/>
      <c r="K2789" s="13"/>
      <c r="L2789" s="15">
        <v>0</v>
      </c>
    </row>
    <row r="2790" spans="1:12">
      <c r="A2790" s="12"/>
      <c r="E2790" s="14"/>
      <c r="F2790" s="14"/>
      <c r="G2790" s="13">
        <v>0</v>
      </c>
      <c r="H2790" s="13">
        <v>0</v>
      </c>
      <c r="I2790" s="13"/>
      <c r="J2790" s="13"/>
      <c r="K2790" s="13"/>
      <c r="L2790" s="15">
        <v>0</v>
      </c>
    </row>
    <row r="2791" spans="1:12">
      <c r="A2791" s="12"/>
      <c r="E2791" s="14"/>
      <c r="F2791" s="14"/>
      <c r="G2791" s="13">
        <v>0</v>
      </c>
      <c r="H2791" s="13">
        <v>0</v>
      </c>
      <c r="I2791" s="13"/>
      <c r="J2791" s="13"/>
      <c r="K2791" s="13"/>
      <c r="L2791" s="15">
        <v>0</v>
      </c>
    </row>
    <row r="2792" spans="1:12">
      <c r="A2792" s="12"/>
      <c r="E2792" s="14"/>
      <c r="F2792" s="14"/>
      <c r="G2792" s="13">
        <v>0</v>
      </c>
      <c r="H2792" s="13">
        <v>0</v>
      </c>
      <c r="I2792" s="13"/>
      <c r="J2792" s="13"/>
      <c r="K2792" s="13"/>
      <c r="L2792" s="15">
        <v>0</v>
      </c>
    </row>
    <row r="2793" spans="1:12">
      <c r="A2793" s="12"/>
      <c r="E2793" s="14"/>
      <c r="F2793" s="14"/>
      <c r="G2793" s="13">
        <v>0</v>
      </c>
      <c r="H2793" s="13">
        <v>0</v>
      </c>
      <c r="I2793" s="13"/>
      <c r="J2793" s="13"/>
      <c r="K2793" s="13"/>
      <c r="L2793" s="15">
        <v>0</v>
      </c>
    </row>
    <row r="2794" spans="1:12">
      <c r="A2794" s="12"/>
      <c r="E2794" s="14"/>
      <c r="F2794" s="14"/>
      <c r="G2794" s="13">
        <v>0</v>
      </c>
      <c r="H2794" s="13">
        <v>0</v>
      </c>
      <c r="I2794" s="13"/>
      <c r="J2794" s="13"/>
      <c r="K2794" s="13"/>
      <c r="L2794" s="15">
        <v>0</v>
      </c>
    </row>
    <row r="2795" spans="1:12">
      <c r="A2795" s="12"/>
      <c r="E2795" s="14"/>
      <c r="F2795" s="14"/>
      <c r="G2795" s="13">
        <v>0</v>
      </c>
      <c r="H2795" s="13">
        <v>0</v>
      </c>
      <c r="I2795" s="13"/>
      <c r="J2795" s="13"/>
      <c r="K2795" s="13"/>
      <c r="L2795" s="15">
        <v>0</v>
      </c>
    </row>
    <row r="2796" spans="1:12">
      <c r="A2796" s="12"/>
      <c r="E2796" s="14"/>
      <c r="F2796" s="14"/>
      <c r="G2796" s="13">
        <v>0</v>
      </c>
      <c r="H2796" s="13">
        <v>0</v>
      </c>
      <c r="I2796" s="13"/>
      <c r="J2796" s="13"/>
      <c r="K2796" s="13"/>
      <c r="L2796" s="15">
        <v>0</v>
      </c>
    </row>
    <row r="2797" spans="1:12">
      <c r="A2797" s="12"/>
      <c r="E2797" s="14"/>
      <c r="F2797" s="14"/>
      <c r="G2797" s="13">
        <v>0</v>
      </c>
      <c r="H2797" s="13">
        <v>0</v>
      </c>
      <c r="I2797" s="13"/>
      <c r="J2797" s="13"/>
      <c r="K2797" s="13"/>
      <c r="L2797" s="15">
        <v>0</v>
      </c>
    </row>
    <row r="2798" spans="1:12">
      <c r="A2798" s="12"/>
      <c r="E2798" s="14"/>
      <c r="F2798" s="14"/>
      <c r="G2798" s="13">
        <v>0</v>
      </c>
      <c r="H2798" s="13">
        <v>0</v>
      </c>
      <c r="I2798" s="13"/>
      <c r="J2798" s="13"/>
      <c r="K2798" s="13"/>
      <c r="L2798" s="15">
        <v>0</v>
      </c>
    </row>
    <row r="2799" spans="1:12">
      <c r="A2799" s="12"/>
      <c r="E2799" s="14"/>
      <c r="F2799" s="14"/>
      <c r="G2799" s="13">
        <v>0</v>
      </c>
      <c r="H2799" s="13">
        <v>0</v>
      </c>
      <c r="I2799" s="13"/>
      <c r="J2799" s="13"/>
      <c r="K2799" s="13"/>
      <c r="L2799" s="15">
        <v>0</v>
      </c>
    </row>
    <row r="2800" spans="1:12">
      <c r="A2800" s="12"/>
      <c r="E2800" s="14"/>
      <c r="F2800" s="14"/>
      <c r="G2800" s="13">
        <v>0</v>
      </c>
      <c r="H2800" s="13">
        <v>0</v>
      </c>
      <c r="I2800" s="13"/>
      <c r="J2800" s="13"/>
      <c r="K2800" s="13"/>
      <c r="L2800" s="15">
        <v>0</v>
      </c>
    </row>
    <row r="2801" spans="1:12">
      <c r="A2801" s="12"/>
      <c r="E2801" s="14"/>
      <c r="F2801" s="14"/>
      <c r="G2801" s="13">
        <v>0</v>
      </c>
      <c r="H2801" s="13">
        <v>0</v>
      </c>
      <c r="I2801" s="13"/>
      <c r="J2801" s="13"/>
      <c r="K2801" s="13"/>
      <c r="L2801" s="15">
        <v>0</v>
      </c>
    </row>
    <row r="2802" spans="1:12">
      <c r="A2802" s="12"/>
      <c r="E2802" s="14"/>
      <c r="F2802" s="14"/>
      <c r="G2802" s="13">
        <v>0</v>
      </c>
      <c r="H2802" s="13">
        <v>0</v>
      </c>
      <c r="I2802" s="13"/>
      <c r="J2802" s="13"/>
      <c r="K2802" s="13"/>
      <c r="L2802" s="15">
        <v>0</v>
      </c>
    </row>
    <row r="2803" spans="1:12">
      <c r="A2803" s="12"/>
      <c r="E2803" s="14"/>
      <c r="F2803" s="14"/>
      <c r="G2803" s="13">
        <v>0</v>
      </c>
      <c r="H2803" s="13">
        <v>0</v>
      </c>
      <c r="I2803" s="13"/>
      <c r="J2803" s="13"/>
      <c r="K2803" s="13"/>
      <c r="L2803" s="15">
        <v>0</v>
      </c>
    </row>
    <row r="2804" spans="1:12">
      <c r="A2804" s="12"/>
      <c r="E2804" s="14"/>
      <c r="F2804" s="14"/>
      <c r="G2804" s="13">
        <v>0</v>
      </c>
      <c r="H2804" s="13">
        <v>0</v>
      </c>
      <c r="I2804" s="13"/>
      <c r="J2804" s="13"/>
      <c r="K2804" s="13"/>
      <c r="L2804" s="15">
        <v>0</v>
      </c>
    </row>
    <row r="2805" spans="1:12">
      <c r="A2805" s="12"/>
      <c r="E2805" s="14"/>
      <c r="F2805" s="14"/>
      <c r="G2805" s="13">
        <v>0</v>
      </c>
      <c r="H2805" s="13">
        <v>0</v>
      </c>
      <c r="I2805" s="13"/>
      <c r="J2805" s="13"/>
      <c r="K2805" s="13"/>
      <c r="L2805" s="15">
        <v>0</v>
      </c>
    </row>
    <row r="2806" spans="1:12">
      <c r="A2806" s="12"/>
      <c r="E2806" s="14"/>
      <c r="F2806" s="14"/>
      <c r="G2806" s="13">
        <v>0</v>
      </c>
      <c r="H2806" s="13">
        <v>0</v>
      </c>
      <c r="I2806" s="13"/>
      <c r="J2806" s="13"/>
      <c r="K2806" s="13"/>
      <c r="L2806" s="15">
        <v>0</v>
      </c>
    </row>
    <row r="2807" spans="1:12">
      <c r="A2807" s="12"/>
      <c r="E2807" s="14"/>
      <c r="F2807" s="14"/>
      <c r="G2807" s="13">
        <v>0</v>
      </c>
      <c r="H2807" s="13">
        <v>0</v>
      </c>
      <c r="I2807" s="13"/>
      <c r="J2807" s="13"/>
      <c r="K2807" s="13"/>
      <c r="L2807" s="15">
        <v>0</v>
      </c>
    </row>
    <row r="2808" spans="1:12">
      <c r="A2808" s="12"/>
      <c r="E2808" s="14"/>
      <c r="F2808" s="14"/>
      <c r="G2808" s="13">
        <v>0</v>
      </c>
      <c r="H2808" s="13">
        <v>0</v>
      </c>
      <c r="I2808" s="13"/>
      <c r="J2808" s="13"/>
      <c r="K2808" s="13"/>
      <c r="L2808" s="15">
        <v>0</v>
      </c>
    </row>
    <row r="2809" spans="1:12">
      <c r="A2809" s="12"/>
      <c r="E2809" s="14"/>
      <c r="F2809" s="14"/>
      <c r="G2809" s="13">
        <v>0</v>
      </c>
      <c r="H2809" s="13">
        <v>0</v>
      </c>
      <c r="I2809" s="13"/>
      <c r="J2809" s="13"/>
      <c r="K2809" s="13"/>
      <c r="L2809" s="15">
        <v>0</v>
      </c>
    </row>
    <row r="2810" spans="1:12">
      <c r="A2810" s="12"/>
      <c r="E2810" s="14"/>
      <c r="F2810" s="14"/>
      <c r="G2810" s="13">
        <v>0</v>
      </c>
      <c r="H2810" s="13">
        <v>0</v>
      </c>
      <c r="I2810" s="13"/>
      <c r="J2810" s="13"/>
      <c r="K2810" s="13"/>
      <c r="L2810" s="15">
        <v>0</v>
      </c>
    </row>
    <row r="2811" spans="1:12">
      <c r="A2811" s="12"/>
      <c r="E2811" s="14"/>
      <c r="F2811" s="14"/>
      <c r="G2811" s="13">
        <v>0</v>
      </c>
      <c r="H2811" s="13">
        <v>0</v>
      </c>
      <c r="I2811" s="13"/>
      <c r="J2811" s="13"/>
      <c r="K2811" s="13"/>
      <c r="L2811" s="15">
        <v>0</v>
      </c>
    </row>
    <row r="2812" spans="1:12">
      <c r="A2812" s="12"/>
      <c r="E2812" s="14"/>
      <c r="F2812" s="14"/>
      <c r="G2812" s="13">
        <v>0</v>
      </c>
      <c r="H2812" s="13">
        <v>0</v>
      </c>
      <c r="I2812" s="13"/>
      <c r="J2812" s="13"/>
      <c r="K2812" s="13"/>
      <c r="L2812" s="15">
        <v>0</v>
      </c>
    </row>
    <row r="2813" spans="1:12">
      <c r="A2813" s="12"/>
      <c r="E2813" s="14"/>
      <c r="F2813" s="14"/>
      <c r="G2813" s="13">
        <v>0</v>
      </c>
      <c r="H2813" s="13">
        <v>0</v>
      </c>
      <c r="I2813" s="13"/>
      <c r="J2813" s="13"/>
      <c r="K2813" s="13"/>
      <c r="L2813" s="15">
        <v>0</v>
      </c>
    </row>
    <row r="2814" spans="1:12">
      <c r="A2814" s="12"/>
      <c r="E2814" s="14"/>
      <c r="F2814" s="14"/>
      <c r="G2814" s="13">
        <v>0</v>
      </c>
      <c r="H2814" s="13">
        <v>0</v>
      </c>
      <c r="I2814" s="13"/>
      <c r="J2814" s="13"/>
      <c r="K2814" s="13"/>
      <c r="L2814" s="15">
        <v>0</v>
      </c>
    </row>
    <row r="2815" spans="1:12">
      <c r="A2815" s="12"/>
      <c r="E2815" s="14"/>
      <c r="F2815" s="14"/>
      <c r="G2815" s="13">
        <v>0</v>
      </c>
      <c r="H2815" s="13">
        <v>0</v>
      </c>
      <c r="I2815" s="13"/>
      <c r="J2815" s="13"/>
      <c r="K2815" s="13"/>
      <c r="L2815" s="15">
        <v>0</v>
      </c>
    </row>
    <row r="2816" spans="1:12">
      <c r="A2816" s="12"/>
      <c r="E2816" s="14"/>
      <c r="F2816" s="14"/>
      <c r="G2816" s="13">
        <v>0</v>
      </c>
      <c r="H2816" s="13">
        <v>0</v>
      </c>
      <c r="I2816" s="13"/>
      <c r="J2816" s="13"/>
      <c r="K2816" s="13"/>
      <c r="L2816" s="15">
        <v>0</v>
      </c>
    </row>
    <row r="2817" spans="1:12">
      <c r="A2817" s="12"/>
      <c r="E2817" s="14"/>
      <c r="F2817" s="14"/>
      <c r="G2817" s="13">
        <v>0</v>
      </c>
      <c r="H2817" s="13">
        <v>0</v>
      </c>
      <c r="I2817" s="13"/>
      <c r="J2817" s="13"/>
      <c r="K2817" s="13"/>
      <c r="L2817" s="15">
        <v>0</v>
      </c>
    </row>
    <row r="2818" spans="1:12">
      <c r="A2818" s="12"/>
      <c r="E2818" s="14"/>
      <c r="F2818" s="14"/>
      <c r="G2818" s="13">
        <v>0</v>
      </c>
      <c r="H2818" s="13">
        <v>0</v>
      </c>
      <c r="I2818" s="13"/>
      <c r="J2818" s="13"/>
      <c r="K2818" s="13"/>
      <c r="L2818" s="15">
        <v>0</v>
      </c>
    </row>
    <row r="2819" spans="1:12">
      <c r="A2819" s="12"/>
      <c r="E2819" s="14"/>
      <c r="F2819" s="14"/>
      <c r="G2819" s="13">
        <v>0</v>
      </c>
      <c r="H2819" s="13">
        <v>0</v>
      </c>
      <c r="I2819" s="13"/>
      <c r="J2819" s="13"/>
      <c r="K2819" s="13"/>
      <c r="L2819" s="15">
        <v>0</v>
      </c>
    </row>
    <row r="2820" spans="1:12">
      <c r="A2820" s="12"/>
      <c r="E2820" s="14"/>
      <c r="F2820" s="14"/>
      <c r="G2820" s="13">
        <v>0</v>
      </c>
      <c r="H2820" s="13">
        <v>0</v>
      </c>
      <c r="I2820" s="13"/>
      <c r="J2820" s="13"/>
      <c r="K2820" s="13"/>
      <c r="L2820" s="15">
        <v>0</v>
      </c>
    </row>
    <row r="2821" spans="1:12">
      <c r="A2821" s="12"/>
      <c r="E2821" s="14"/>
      <c r="F2821" s="14"/>
      <c r="G2821" s="13">
        <v>0</v>
      </c>
      <c r="H2821" s="13">
        <v>0</v>
      </c>
      <c r="I2821" s="13"/>
      <c r="J2821" s="13"/>
      <c r="K2821" s="13"/>
      <c r="L2821" s="15">
        <v>0</v>
      </c>
    </row>
    <row r="2822" spans="1:12">
      <c r="A2822" s="12"/>
      <c r="E2822" s="14"/>
      <c r="F2822" s="14"/>
      <c r="G2822" s="13">
        <v>0</v>
      </c>
      <c r="H2822" s="13">
        <v>0</v>
      </c>
      <c r="I2822" s="13"/>
      <c r="J2822" s="13"/>
      <c r="K2822" s="13"/>
      <c r="L2822" s="15">
        <v>0</v>
      </c>
    </row>
    <row r="2823" spans="1:12">
      <c r="A2823" s="12"/>
      <c r="E2823" s="14"/>
      <c r="F2823" s="14"/>
      <c r="G2823" s="13">
        <v>0</v>
      </c>
      <c r="H2823" s="13">
        <v>0</v>
      </c>
      <c r="I2823" s="13"/>
      <c r="J2823" s="13"/>
      <c r="K2823" s="13"/>
      <c r="L2823" s="15">
        <v>0</v>
      </c>
    </row>
    <row r="2824" spans="1:12">
      <c r="A2824" s="12"/>
      <c r="E2824" s="14"/>
      <c r="F2824" s="14"/>
      <c r="G2824" s="13">
        <v>0</v>
      </c>
      <c r="H2824" s="13">
        <v>0</v>
      </c>
      <c r="I2824" s="13"/>
      <c r="J2824" s="13"/>
      <c r="K2824" s="13"/>
      <c r="L2824" s="15">
        <v>0</v>
      </c>
    </row>
    <row r="2825" spans="1:12">
      <c r="A2825" s="12"/>
      <c r="E2825" s="14"/>
      <c r="F2825" s="14"/>
      <c r="G2825" s="13">
        <v>0</v>
      </c>
      <c r="H2825" s="13">
        <v>0</v>
      </c>
      <c r="I2825" s="13"/>
      <c r="J2825" s="13"/>
      <c r="K2825" s="13"/>
      <c r="L2825" s="15">
        <v>0</v>
      </c>
    </row>
    <row r="2826" spans="1:12">
      <c r="A2826" s="12"/>
      <c r="E2826" s="14"/>
      <c r="F2826" s="14"/>
      <c r="G2826" s="13">
        <v>0</v>
      </c>
      <c r="H2826" s="13">
        <v>0</v>
      </c>
      <c r="I2826" s="13"/>
      <c r="J2826" s="13"/>
      <c r="K2826" s="13"/>
      <c r="L2826" s="15">
        <v>0</v>
      </c>
    </row>
    <row r="2827" spans="1:12">
      <c r="A2827" s="12"/>
      <c r="E2827" s="14"/>
      <c r="F2827" s="14"/>
      <c r="G2827" s="13">
        <v>0</v>
      </c>
      <c r="H2827" s="13">
        <v>0</v>
      </c>
      <c r="I2827" s="13"/>
      <c r="J2827" s="13"/>
      <c r="K2827" s="13"/>
      <c r="L2827" s="15">
        <v>0</v>
      </c>
    </row>
    <row r="2828" spans="1:12">
      <c r="A2828" s="12"/>
      <c r="E2828" s="14"/>
      <c r="F2828" s="14"/>
      <c r="G2828" s="13">
        <v>0</v>
      </c>
      <c r="H2828" s="13">
        <v>0</v>
      </c>
      <c r="I2828" s="13"/>
      <c r="J2828" s="13"/>
      <c r="K2828" s="13"/>
      <c r="L2828" s="15">
        <v>0</v>
      </c>
    </row>
    <row r="2829" spans="1:12">
      <c r="A2829" s="12"/>
      <c r="E2829" s="14"/>
      <c r="F2829" s="14"/>
      <c r="G2829" s="13">
        <v>0</v>
      </c>
      <c r="H2829" s="13">
        <v>0</v>
      </c>
      <c r="I2829" s="13"/>
      <c r="J2829" s="13"/>
      <c r="K2829" s="13"/>
      <c r="L2829" s="15">
        <v>0</v>
      </c>
    </row>
    <row r="2830" spans="1:12">
      <c r="A2830" s="12"/>
      <c r="E2830" s="14"/>
      <c r="F2830" s="14"/>
      <c r="G2830" s="13">
        <v>0</v>
      </c>
      <c r="H2830" s="13">
        <v>0</v>
      </c>
      <c r="I2830" s="13"/>
      <c r="J2830" s="13"/>
      <c r="K2830" s="13"/>
      <c r="L2830" s="15">
        <v>0</v>
      </c>
    </row>
    <row r="2831" spans="1:12">
      <c r="A2831" s="12"/>
      <c r="E2831" s="14"/>
      <c r="F2831" s="14"/>
      <c r="G2831" s="13">
        <v>0</v>
      </c>
      <c r="H2831" s="13">
        <v>0</v>
      </c>
      <c r="I2831" s="13"/>
      <c r="J2831" s="13"/>
      <c r="K2831" s="13"/>
      <c r="L2831" s="15">
        <v>0</v>
      </c>
    </row>
    <row r="2832" spans="1:12">
      <c r="A2832" s="12"/>
      <c r="E2832" s="14"/>
      <c r="F2832" s="14"/>
      <c r="G2832" s="13">
        <v>0</v>
      </c>
      <c r="H2832" s="13">
        <v>0</v>
      </c>
      <c r="I2832" s="13"/>
      <c r="J2832" s="13"/>
      <c r="K2832" s="13"/>
      <c r="L2832" s="15">
        <v>0</v>
      </c>
    </row>
    <row r="2833" spans="1:12">
      <c r="A2833" s="12"/>
      <c r="E2833" s="14"/>
      <c r="F2833" s="14"/>
      <c r="G2833" s="13">
        <v>0</v>
      </c>
      <c r="H2833" s="13">
        <v>0</v>
      </c>
      <c r="I2833" s="13"/>
      <c r="J2833" s="13"/>
      <c r="K2833" s="13"/>
      <c r="L2833" s="15">
        <v>0</v>
      </c>
    </row>
    <row r="2834" spans="1:12">
      <c r="A2834" s="12"/>
      <c r="E2834" s="14"/>
      <c r="F2834" s="14"/>
      <c r="G2834" s="13">
        <v>0</v>
      </c>
      <c r="H2834" s="13">
        <v>0</v>
      </c>
      <c r="I2834" s="13"/>
      <c r="J2834" s="13"/>
      <c r="K2834" s="13"/>
      <c r="L2834" s="15">
        <v>0</v>
      </c>
    </row>
    <row r="2835" spans="1:12">
      <c r="A2835" s="12"/>
      <c r="E2835" s="14"/>
      <c r="F2835" s="14"/>
      <c r="G2835" s="13">
        <v>0</v>
      </c>
      <c r="H2835" s="13">
        <v>0</v>
      </c>
      <c r="I2835" s="13"/>
      <c r="J2835" s="13"/>
      <c r="K2835" s="13"/>
      <c r="L2835" s="15">
        <v>0</v>
      </c>
    </row>
    <row r="2836" spans="1:12">
      <c r="A2836" s="12"/>
      <c r="E2836" s="14"/>
      <c r="F2836" s="14"/>
      <c r="G2836" s="13">
        <v>0</v>
      </c>
      <c r="H2836" s="13">
        <v>0</v>
      </c>
      <c r="I2836" s="13"/>
      <c r="J2836" s="13"/>
      <c r="K2836" s="13"/>
      <c r="L2836" s="15">
        <v>0</v>
      </c>
    </row>
    <row r="2837" spans="1:12">
      <c r="A2837" s="12"/>
      <c r="E2837" s="14"/>
      <c r="F2837" s="14"/>
      <c r="G2837" s="13">
        <v>0</v>
      </c>
      <c r="H2837" s="13">
        <v>0</v>
      </c>
      <c r="I2837" s="13"/>
      <c r="J2837" s="13"/>
      <c r="K2837" s="13"/>
      <c r="L2837" s="15">
        <v>0</v>
      </c>
    </row>
    <row r="2838" spans="1:12">
      <c r="A2838" s="12"/>
      <c r="E2838" s="14"/>
      <c r="F2838" s="14"/>
      <c r="G2838" s="13">
        <v>0</v>
      </c>
      <c r="H2838" s="13">
        <v>0</v>
      </c>
      <c r="I2838" s="13"/>
      <c r="J2838" s="13"/>
      <c r="K2838" s="13"/>
      <c r="L2838" s="15">
        <v>0</v>
      </c>
    </row>
    <row r="2839" spans="1:12">
      <c r="A2839" s="12"/>
      <c r="E2839" s="14"/>
      <c r="F2839" s="14"/>
      <c r="G2839" s="13">
        <v>0</v>
      </c>
      <c r="H2839" s="13">
        <v>0</v>
      </c>
      <c r="I2839" s="13"/>
      <c r="J2839" s="13"/>
      <c r="K2839" s="13"/>
      <c r="L2839" s="15">
        <v>0</v>
      </c>
    </row>
    <row r="2840" spans="1:12">
      <c r="A2840" s="12"/>
      <c r="E2840" s="14"/>
      <c r="F2840" s="14"/>
      <c r="G2840" s="13">
        <v>0</v>
      </c>
      <c r="H2840" s="13">
        <v>0</v>
      </c>
      <c r="I2840" s="13"/>
      <c r="J2840" s="13"/>
      <c r="K2840" s="13"/>
      <c r="L2840" s="15">
        <v>0</v>
      </c>
    </row>
    <row r="2841" spans="1:12">
      <c r="A2841" s="12"/>
      <c r="E2841" s="14"/>
      <c r="F2841" s="14"/>
      <c r="G2841" s="13">
        <v>0</v>
      </c>
      <c r="H2841" s="13">
        <v>0</v>
      </c>
      <c r="I2841" s="13"/>
      <c r="J2841" s="13"/>
      <c r="K2841" s="13"/>
      <c r="L2841" s="15">
        <v>0</v>
      </c>
    </row>
    <row r="2842" spans="1:12">
      <c r="A2842" s="12"/>
      <c r="E2842" s="14"/>
      <c r="F2842" s="14"/>
      <c r="G2842" s="13">
        <v>0</v>
      </c>
      <c r="H2842" s="13">
        <v>0</v>
      </c>
      <c r="I2842" s="13"/>
      <c r="J2842" s="13"/>
      <c r="K2842" s="13"/>
      <c r="L2842" s="15">
        <v>0</v>
      </c>
    </row>
    <row r="2843" spans="1:12">
      <c r="A2843" s="12"/>
      <c r="E2843" s="14"/>
      <c r="F2843" s="14"/>
      <c r="G2843" s="13">
        <v>0</v>
      </c>
      <c r="H2843" s="13">
        <v>0</v>
      </c>
      <c r="I2843" s="13"/>
      <c r="J2843" s="13"/>
      <c r="K2843" s="13"/>
      <c r="L2843" s="15">
        <v>0</v>
      </c>
    </row>
    <row r="2844" spans="1:12">
      <c r="A2844" s="12"/>
      <c r="E2844" s="14"/>
      <c r="F2844" s="14"/>
      <c r="G2844" s="13">
        <v>0</v>
      </c>
      <c r="H2844" s="13">
        <v>0</v>
      </c>
      <c r="I2844" s="13"/>
      <c r="J2844" s="13"/>
      <c r="K2844" s="13"/>
      <c r="L2844" s="15">
        <v>0</v>
      </c>
    </row>
    <row r="2845" spans="1:12">
      <c r="A2845" s="12"/>
      <c r="E2845" s="14"/>
      <c r="F2845" s="14"/>
      <c r="G2845" s="13">
        <v>0</v>
      </c>
      <c r="H2845" s="13">
        <v>0</v>
      </c>
      <c r="I2845" s="13"/>
      <c r="J2845" s="13"/>
      <c r="K2845" s="13"/>
      <c r="L2845" s="15">
        <v>0</v>
      </c>
    </row>
    <row r="2846" spans="1:12">
      <c r="A2846" s="12"/>
      <c r="E2846" s="14"/>
      <c r="F2846" s="14"/>
      <c r="G2846" s="13">
        <v>0</v>
      </c>
      <c r="H2846" s="13">
        <v>0</v>
      </c>
      <c r="I2846" s="13"/>
      <c r="J2846" s="13"/>
      <c r="K2846" s="13"/>
      <c r="L2846" s="15">
        <v>0</v>
      </c>
    </row>
    <row r="2847" spans="1:12">
      <c r="A2847" s="12"/>
      <c r="E2847" s="14"/>
      <c r="F2847" s="14"/>
      <c r="G2847" s="13">
        <v>0</v>
      </c>
      <c r="H2847" s="13">
        <v>0</v>
      </c>
      <c r="I2847" s="13"/>
      <c r="J2847" s="13"/>
      <c r="K2847" s="13"/>
      <c r="L2847" s="15">
        <v>0</v>
      </c>
    </row>
    <row r="2848" spans="1:12">
      <c r="A2848" s="12"/>
      <c r="E2848" s="14"/>
      <c r="F2848" s="14"/>
      <c r="G2848" s="13">
        <v>0</v>
      </c>
      <c r="H2848" s="13">
        <v>0</v>
      </c>
      <c r="I2848" s="13"/>
      <c r="J2848" s="13"/>
      <c r="K2848" s="13"/>
      <c r="L2848" s="15">
        <v>0</v>
      </c>
    </row>
    <row r="2849" spans="1:12">
      <c r="A2849" s="12"/>
      <c r="E2849" s="14"/>
      <c r="F2849" s="14"/>
      <c r="G2849" s="13">
        <v>0</v>
      </c>
      <c r="H2849" s="13">
        <v>0</v>
      </c>
      <c r="I2849" s="13"/>
      <c r="J2849" s="13"/>
      <c r="K2849" s="13"/>
      <c r="L2849" s="15">
        <v>0</v>
      </c>
    </row>
    <row r="2850" spans="1:12">
      <c r="A2850" s="12"/>
      <c r="E2850" s="14"/>
      <c r="F2850" s="14"/>
      <c r="G2850" s="13">
        <v>0</v>
      </c>
      <c r="H2850" s="13">
        <v>0</v>
      </c>
      <c r="I2850" s="13"/>
      <c r="J2850" s="13"/>
      <c r="K2850" s="13"/>
      <c r="L2850" s="15">
        <v>0</v>
      </c>
    </row>
    <row r="2851" spans="1:12">
      <c r="A2851" s="12"/>
      <c r="E2851" s="14"/>
      <c r="F2851" s="14"/>
      <c r="G2851" s="13">
        <v>0</v>
      </c>
      <c r="H2851" s="13">
        <v>0</v>
      </c>
      <c r="I2851" s="13"/>
      <c r="J2851" s="13"/>
      <c r="K2851" s="13"/>
      <c r="L2851" s="15">
        <v>0</v>
      </c>
    </row>
    <row r="2852" spans="1:12">
      <c r="A2852" s="12"/>
      <c r="E2852" s="14"/>
      <c r="F2852" s="14"/>
      <c r="G2852" s="13">
        <v>0</v>
      </c>
      <c r="H2852" s="13">
        <v>0</v>
      </c>
      <c r="I2852" s="13"/>
      <c r="J2852" s="13"/>
      <c r="K2852" s="13"/>
      <c r="L2852" s="15">
        <v>0</v>
      </c>
    </row>
    <row r="2853" spans="1:12">
      <c r="A2853" s="12"/>
      <c r="E2853" s="14"/>
      <c r="F2853" s="14"/>
      <c r="G2853" s="13">
        <v>0</v>
      </c>
      <c r="H2853" s="13">
        <v>0</v>
      </c>
      <c r="I2853" s="13"/>
      <c r="J2853" s="13"/>
      <c r="K2853" s="13"/>
      <c r="L2853" s="15">
        <v>0</v>
      </c>
    </row>
    <row r="2854" spans="1:12">
      <c r="A2854" s="12"/>
      <c r="E2854" s="14"/>
      <c r="F2854" s="14"/>
      <c r="G2854" s="13">
        <v>0</v>
      </c>
      <c r="H2854" s="13">
        <v>0</v>
      </c>
      <c r="I2854" s="13"/>
      <c r="J2854" s="13"/>
      <c r="K2854" s="13"/>
      <c r="L2854" s="15">
        <v>0</v>
      </c>
    </row>
    <row r="2855" spans="1:12">
      <c r="A2855" s="12"/>
      <c r="E2855" s="14"/>
      <c r="F2855" s="14"/>
      <c r="G2855" s="13">
        <v>0</v>
      </c>
      <c r="H2855" s="13">
        <v>0</v>
      </c>
      <c r="I2855" s="13"/>
      <c r="J2855" s="13"/>
      <c r="K2855" s="13"/>
      <c r="L2855" s="15">
        <v>0</v>
      </c>
    </row>
    <row r="2856" spans="1:12">
      <c r="A2856" s="12"/>
      <c r="E2856" s="14"/>
      <c r="F2856" s="14"/>
      <c r="G2856" s="13">
        <v>0</v>
      </c>
      <c r="H2856" s="13">
        <v>0</v>
      </c>
      <c r="I2856" s="13"/>
      <c r="J2856" s="13"/>
      <c r="K2856" s="13"/>
      <c r="L2856" s="15">
        <v>0</v>
      </c>
    </row>
    <row r="2857" spans="1:12">
      <c r="A2857" s="12"/>
      <c r="E2857" s="14"/>
      <c r="F2857" s="14"/>
      <c r="G2857" s="13">
        <v>0</v>
      </c>
      <c r="H2857" s="13">
        <v>0</v>
      </c>
      <c r="I2857" s="13"/>
      <c r="J2857" s="13"/>
      <c r="K2857" s="13"/>
      <c r="L2857" s="15">
        <v>0</v>
      </c>
    </row>
    <row r="2858" spans="1:12">
      <c r="A2858" s="12"/>
      <c r="E2858" s="14"/>
      <c r="F2858" s="14"/>
      <c r="G2858" s="13">
        <v>0</v>
      </c>
      <c r="H2858" s="13">
        <v>0</v>
      </c>
      <c r="I2858" s="13"/>
      <c r="J2858" s="13"/>
      <c r="K2858" s="13"/>
      <c r="L2858" s="15">
        <v>0</v>
      </c>
    </row>
    <row r="2859" spans="1:12">
      <c r="A2859" s="12"/>
      <c r="E2859" s="14"/>
      <c r="F2859" s="14"/>
      <c r="G2859" s="13">
        <v>0</v>
      </c>
      <c r="H2859" s="13">
        <v>0</v>
      </c>
      <c r="I2859" s="13"/>
      <c r="J2859" s="13"/>
      <c r="K2859" s="13"/>
      <c r="L2859" s="15">
        <v>0</v>
      </c>
    </row>
    <row r="2860" spans="1:12">
      <c r="A2860" s="12"/>
      <c r="E2860" s="14"/>
      <c r="F2860" s="14"/>
      <c r="G2860" s="13">
        <v>0</v>
      </c>
      <c r="H2860" s="13">
        <v>0</v>
      </c>
      <c r="I2860" s="13"/>
      <c r="J2860" s="13"/>
      <c r="K2860" s="13"/>
      <c r="L2860" s="15">
        <v>0</v>
      </c>
    </row>
    <row r="2861" spans="1:12">
      <c r="A2861" s="12"/>
      <c r="E2861" s="14"/>
      <c r="F2861" s="14"/>
      <c r="G2861" s="13">
        <v>0</v>
      </c>
      <c r="H2861" s="13">
        <v>0</v>
      </c>
      <c r="I2861" s="13"/>
      <c r="J2861" s="13"/>
      <c r="K2861" s="13"/>
      <c r="L2861" s="15">
        <v>0</v>
      </c>
    </row>
    <row r="2862" spans="1:12">
      <c r="A2862" s="12"/>
      <c r="E2862" s="14"/>
      <c r="F2862" s="14"/>
      <c r="G2862" s="13">
        <v>0</v>
      </c>
      <c r="H2862" s="13">
        <v>0</v>
      </c>
      <c r="I2862" s="13"/>
      <c r="J2862" s="13"/>
      <c r="K2862" s="13"/>
      <c r="L2862" s="15">
        <v>0</v>
      </c>
    </row>
    <row r="2863" spans="1:12">
      <c r="A2863" s="12"/>
      <c r="E2863" s="14"/>
      <c r="F2863" s="14"/>
      <c r="G2863" s="13">
        <v>0</v>
      </c>
      <c r="H2863" s="13">
        <v>0</v>
      </c>
      <c r="I2863" s="13"/>
      <c r="J2863" s="13"/>
      <c r="K2863" s="13"/>
      <c r="L2863" s="15">
        <v>0</v>
      </c>
    </row>
    <row r="2864" spans="1:12">
      <c r="A2864" s="12"/>
      <c r="E2864" s="14"/>
      <c r="F2864" s="14"/>
      <c r="G2864" s="13">
        <v>0</v>
      </c>
      <c r="H2864" s="13">
        <v>0</v>
      </c>
      <c r="I2864" s="13"/>
      <c r="J2864" s="13"/>
      <c r="K2864" s="13"/>
      <c r="L2864" s="15">
        <v>0</v>
      </c>
    </row>
    <row r="2865" spans="1:12">
      <c r="A2865" s="12"/>
      <c r="E2865" s="14"/>
      <c r="F2865" s="14"/>
      <c r="G2865" s="13">
        <v>0</v>
      </c>
      <c r="H2865" s="13">
        <v>0</v>
      </c>
      <c r="I2865" s="13"/>
      <c r="J2865" s="13"/>
      <c r="K2865" s="13"/>
      <c r="L2865" s="15">
        <v>0</v>
      </c>
    </row>
    <row r="2866" spans="1:12">
      <c r="A2866" s="12"/>
      <c r="E2866" s="14"/>
      <c r="F2866" s="14"/>
      <c r="G2866" s="13">
        <v>0</v>
      </c>
      <c r="H2866" s="13">
        <v>0</v>
      </c>
      <c r="I2866" s="13"/>
      <c r="J2866" s="13"/>
      <c r="K2866" s="13"/>
      <c r="L2866" s="15">
        <v>0</v>
      </c>
    </row>
    <row r="2867" spans="1:12">
      <c r="A2867" s="12"/>
      <c r="E2867" s="14"/>
      <c r="F2867" s="14"/>
      <c r="G2867" s="13">
        <v>0</v>
      </c>
      <c r="H2867" s="13">
        <v>0</v>
      </c>
      <c r="I2867" s="13"/>
      <c r="J2867" s="13"/>
      <c r="K2867" s="13"/>
      <c r="L2867" s="15">
        <v>0</v>
      </c>
    </row>
    <row r="2868" spans="1:12">
      <c r="A2868" s="12"/>
      <c r="E2868" s="14"/>
      <c r="F2868" s="14"/>
      <c r="G2868" s="13">
        <v>0</v>
      </c>
      <c r="H2868" s="13">
        <v>0</v>
      </c>
      <c r="I2868" s="13"/>
      <c r="J2868" s="13"/>
      <c r="K2868" s="13"/>
      <c r="L2868" s="15">
        <v>0</v>
      </c>
    </row>
    <row r="2869" spans="1:12">
      <c r="A2869" s="12"/>
      <c r="E2869" s="14"/>
      <c r="F2869" s="14"/>
      <c r="G2869" s="13">
        <v>0</v>
      </c>
      <c r="H2869" s="13">
        <v>0</v>
      </c>
      <c r="I2869" s="13"/>
      <c r="J2869" s="13"/>
      <c r="K2869" s="13"/>
      <c r="L2869" s="15">
        <v>0</v>
      </c>
    </row>
    <row r="2870" spans="1:12">
      <c r="A2870" s="12"/>
      <c r="E2870" s="14"/>
      <c r="F2870" s="14"/>
      <c r="G2870" s="13">
        <v>0</v>
      </c>
      <c r="H2870" s="13">
        <v>0</v>
      </c>
      <c r="I2870" s="13"/>
      <c r="J2870" s="13"/>
      <c r="K2870" s="13"/>
      <c r="L2870" s="15">
        <v>0</v>
      </c>
    </row>
    <row r="2871" spans="1:12">
      <c r="A2871" s="12"/>
      <c r="E2871" s="14"/>
      <c r="F2871" s="14"/>
      <c r="G2871" s="13">
        <v>0</v>
      </c>
      <c r="H2871" s="13">
        <v>0</v>
      </c>
      <c r="I2871" s="13"/>
      <c r="J2871" s="13"/>
      <c r="K2871" s="13"/>
      <c r="L2871" s="15">
        <v>0</v>
      </c>
    </row>
    <row r="2872" spans="1:12">
      <c r="A2872" s="12"/>
      <c r="E2872" s="14"/>
      <c r="F2872" s="14"/>
      <c r="G2872" s="13">
        <v>0</v>
      </c>
      <c r="H2872" s="13">
        <v>0</v>
      </c>
      <c r="I2872" s="13"/>
      <c r="J2872" s="13"/>
      <c r="K2872" s="13"/>
      <c r="L2872" s="15">
        <v>0</v>
      </c>
    </row>
    <row r="2873" spans="1:12">
      <c r="A2873" s="12"/>
      <c r="E2873" s="14"/>
      <c r="F2873" s="14"/>
      <c r="G2873" s="13">
        <v>0</v>
      </c>
      <c r="H2873" s="13">
        <v>0</v>
      </c>
      <c r="I2873" s="13"/>
      <c r="J2873" s="13"/>
      <c r="K2873" s="13"/>
      <c r="L2873" s="15">
        <v>0</v>
      </c>
    </row>
    <row r="2874" spans="1:12">
      <c r="A2874" s="12"/>
      <c r="E2874" s="14"/>
      <c r="F2874" s="14"/>
      <c r="G2874" s="13">
        <v>0</v>
      </c>
      <c r="H2874" s="13">
        <v>0</v>
      </c>
      <c r="I2874" s="13"/>
      <c r="J2874" s="13"/>
      <c r="K2874" s="13"/>
      <c r="L2874" s="15">
        <v>0</v>
      </c>
    </row>
    <row r="2875" spans="1:12">
      <c r="A2875" s="12"/>
      <c r="E2875" s="14"/>
      <c r="F2875" s="14"/>
      <c r="G2875" s="13">
        <v>0</v>
      </c>
      <c r="H2875" s="13">
        <v>0</v>
      </c>
      <c r="I2875" s="13"/>
      <c r="J2875" s="13"/>
      <c r="K2875" s="13"/>
      <c r="L2875" s="15">
        <v>0</v>
      </c>
    </row>
    <row r="2876" spans="1:12">
      <c r="A2876" s="12"/>
      <c r="E2876" s="14"/>
      <c r="F2876" s="14"/>
      <c r="G2876" s="13">
        <v>0</v>
      </c>
      <c r="H2876" s="13">
        <v>0</v>
      </c>
      <c r="I2876" s="13"/>
      <c r="J2876" s="13"/>
      <c r="K2876" s="13"/>
      <c r="L2876" s="15">
        <v>0</v>
      </c>
    </row>
    <row r="2877" spans="1:12">
      <c r="A2877" s="12"/>
      <c r="E2877" s="14"/>
      <c r="F2877" s="14"/>
      <c r="G2877" s="13">
        <v>0</v>
      </c>
      <c r="H2877" s="13">
        <v>0</v>
      </c>
      <c r="I2877" s="13"/>
      <c r="J2877" s="13"/>
      <c r="K2877" s="13"/>
      <c r="L2877" s="15">
        <v>0</v>
      </c>
    </row>
    <row r="2878" spans="1:12">
      <c r="A2878" s="12"/>
      <c r="E2878" s="14"/>
      <c r="F2878" s="14"/>
      <c r="G2878" s="13">
        <v>0</v>
      </c>
      <c r="H2878" s="13">
        <v>0</v>
      </c>
      <c r="I2878" s="13"/>
      <c r="J2878" s="13"/>
      <c r="K2878" s="13"/>
      <c r="L2878" s="15">
        <v>0</v>
      </c>
    </row>
    <row r="2879" spans="1:12">
      <c r="A2879" s="12"/>
      <c r="E2879" s="14"/>
      <c r="F2879" s="14"/>
      <c r="G2879" s="13">
        <v>0</v>
      </c>
      <c r="H2879" s="13">
        <v>0</v>
      </c>
      <c r="I2879" s="13"/>
      <c r="J2879" s="13"/>
      <c r="K2879" s="13"/>
      <c r="L2879" s="15">
        <v>0</v>
      </c>
    </row>
    <row r="2880" spans="1:12">
      <c r="A2880" s="12"/>
      <c r="E2880" s="14"/>
      <c r="F2880" s="14"/>
      <c r="G2880" s="13">
        <v>0</v>
      </c>
      <c r="H2880" s="13">
        <v>0</v>
      </c>
      <c r="I2880" s="13"/>
      <c r="J2880" s="13"/>
      <c r="K2880" s="13"/>
      <c r="L2880" s="15">
        <v>0</v>
      </c>
    </row>
    <row r="2881" spans="1:12">
      <c r="A2881" s="12"/>
      <c r="E2881" s="14"/>
      <c r="F2881" s="14"/>
      <c r="G2881" s="13">
        <v>0</v>
      </c>
      <c r="H2881" s="13">
        <v>0</v>
      </c>
      <c r="I2881" s="13"/>
      <c r="J2881" s="13"/>
      <c r="K2881" s="13"/>
      <c r="L2881" s="15">
        <v>0</v>
      </c>
    </row>
    <row r="2882" spans="1:12">
      <c r="A2882" s="12"/>
      <c r="E2882" s="14"/>
      <c r="F2882" s="14"/>
      <c r="G2882" s="13">
        <v>0</v>
      </c>
      <c r="H2882" s="13">
        <v>0</v>
      </c>
      <c r="I2882" s="13"/>
      <c r="J2882" s="13"/>
      <c r="K2882" s="13"/>
      <c r="L2882" s="15">
        <v>0</v>
      </c>
    </row>
    <row r="2883" spans="1:12">
      <c r="A2883" s="12"/>
      <c r="E2883" s="14"/>
      <c r="F2883" s="14"/>
      <c r="G2883" s="13">
        <v>0</v>
      </c>
      <c r="H2883" s="13">
        <v>0</v>
      </c>
      <c r="I2883" s="13"/>
      <c r="J2883" s="13"/>
      <c r="K2883" s="13"/>
      <c r="L2883" s="15">
        <v>0</v>
      </c>
    </row>
    <row r="2884" spans="1:12">
      <c r="A2884" s="12"/>
      <c r="E2884" s="14"/>
      <c r="F2884" s="14"/>
      <c r="G2884" s="13">
        <v>0</v>
      </c>
      <c r="H2884" s="13">
        <v>0</v>
      </c>
      <c r="I2884" s="13"/>
      <c r="J2884" s="13"/>
      <c r="K2884" s="13"/>
      <c r="L2884" s="15">
        <v>0</v>
      </c>
    </row>
    <row r="2885" spans="1:12">
      <c r="A2885" s="12"/>
      <c r="E2885" s="14"/>
      <c r="F2885" s="14"/>
      <c r="G2885" s="13">
        <v>0</v>
      </c>
      <c r="H2885" s="13">
        <v>0</v>
      </c>
      <c r="I2885" s="13"/>
      <c r="J2885" s="13"/>
      <c r="K2885" s="13"/>
      <c r="L2885" s="15">
        <v>0</v>
      </c>
    </row>
    <row r="2886" spans="1:12">
      <c r="A2886" s="12"/>
      <c r="E2886" s="14"/>
      <c r="F2886" s="14"/>
      <c r="G2886" s="13">
        <v>0</v>
      </c>
      <c r="H2886" s="13">
        <v>0</v>
      </c>
      <c r="I2886" s="13"/>
      <c r="J2886" s="13"/>
      <c r="K2886" s="13"/>
      <c r="L2886" s="15">
        <v>0</v>
      </c>
    </row>
    <row r="2887" spans="1:12">
      <c r="A2887" s="12"/>
      <c r="E2887" s="14"/>
      <c r="F2887" s="14"/>
      <c r="G2887" s="13">
        <v>0</v>
      </c>
      <c r="H2887" s="13">
        <v>0</v>
      </c>
      <c r="I2887" s="13"/>
      <c r="J2887" s="13"/>
      <c r="K2887" s="13"/>
      <c r="L2887" s="15">
        <v>0</v>
      </c>
    </row>
    <row r="2888" spans="1:12">
      <c r="A2888" s="12"/>
      <c r="E2888" s="14"/>
      <c r="F2888" s="14"/>
      <c r="G2888" s="13">
        <v>0</v>
      </c>
      <c r="H2888" s="13">
        <v>0</v>
      </c>
      <c r="I2888" s="13"/>
      <c r="J2888" s="13"/>
      <c r="K2888" s="13"/>
      <c r="L2888" s="15">
        <v>0</v>
      </c>
    </row>
    <row r="2889" spans="1:12">
      <c r="A2889" s="12"/>
      <c r="E2889" s="14"/>
      <c r="F2889" s="14"/>
      <c r="G2889" s="13">
        <v>0</v>
      </c>
      <c r="H2889" s="13">
        <v>0</v>
      </c>
      <c r="I2889" s="13"/>
      <c r="J2889" s="13"/>
      <c r="K2889" s="13"/>
      <c r="L2889" s="15">
        <v>0</v>
      </c>
    </row>
    <row r="2890" spans="1:12">
      <c r="A2890" s="12"/>
      <c r="E2890" s="14"/>
      <c r="F2890" s="14"/>
      <c r="G2890" s="13">
        <v>0</v>
      </c>
      <c r="H2890" s="13">
        <v>0</v>
      </c>
      <c r="I2890" s="13"/>
      <c r="J2890" s="13"/>
      <c r="K2890" s="13"/>
      <c r="L2890" s="15">
        <v>0</v>
      </c>
    </row>
    <row r="2891" spans="1:12">
      <c r="A2891" s="12"/>
      <c r="E2891" s="14"/>
      <c r="F2891" s="14"/>
      <c r="G2891" s="13">
        <v>0</v>
      </c>
      <c r="H2891" s="13">
        <v>0</v>
      </c>
      <c r="I2891" s="13"/>
      <c r="J2891" s="13"/>
      <c r="K2891" s="13"/>
      <c r="L2891" s="15">
        <v>0</v>
      </c>
    </row>
    <row r="2892" spans="1:12">
      <c r="A2892" s="12"/>
      <c r="E2892" s="14"/>
      <c r="F2892" s="14"/>
      <c r="G2892" s="13">
        <v>0</v>
      </c>
      <c r="H2892" s="13">
        <v>0</v>
      </c>
      <c r="I2892" s="13"/>
      <c r="J2892" s="13"/>
      <c r="K2892" s="13"/>
      <c r="L2892" s="15">
        <v>0</v>
      </c>
    </row>
    <row r="2893" spans="1:12">
      <c r="A2893" s="12"/>
      <c r="E2893" s="14"/>
      <c r="F2893" s="14"/>
      <c r="G2893" s="13">
        <v>0</v>
      </c>
      <c r="H2893" s="13">
        <v>0</v>
      </c>
      <c r="I2893" s="13"/>
      <c r="J2893" s="13"/>
      <c r="K2893" s="13"/>
      <c r="L2893" s="15">
        <v>0</v>
      </c>
    </row>
    <row r="2894" spans="1:12">
      <c r="A2894" s="12"/>
      <c r="E2894" s="14"/>
      <c r="F2894" s="14"/>
      <c r="G2894" s="13">
        <v>0</v>
      </c>
      <c r="H2894" s="13">
        <v>0</v>
      </c>
      <c r="I2894" s="13"/>
      <c r="J2894" s="13"/>
      <c r="K2894" s="13"/>
      <c r="L2894" s="15">
        <v>0</v>
      </c>
    </row>
    <row r="2895" spans="1:12">
      <c r="A2895" s="12"/>
      <c r="E2895" s="14"/>
      <c r="F2895" s="14"/>
      <c r="G2895" s="13">
        <v>0</v>
      </c>
      <c r="H2895" s="13">
        <v>0</v>
      </c>
      <c r="I2895" s="13"/>
      <c r="J2895" s="13"/>
      <c r="K2895" s="13"/>
      <c r="L2895" s="15">
        <v>0</v>
      </c>
    </row>
    <row r="2896" spans="1:12">
      <c r="A2896" s="12"/>
      <c r="E2896" s="14"/>
      <c r="F2896" s="14"/>
      <c r="G2896" s="13">
        <v>0</v>
      </c>
      <c r="H2896" s="13">
        <v>0</v>
      </c>
      <c r="I2896" s="13"/>
      <c r="J2896" s="13"/>
      <c r="K2896" s="13"/>
      <c r="L2896" s="15">
        <v>0</v>
      </c>
    </row>
    <row r="2897" spans="1:12">
      <c r="A2897" s="12"/>
      <c r="E2897" s="14"/>
      <c r="F2897" s="14"/>
      <c r="G2897" s="13">
        <v>0</v>
      </c>
      <c r="H2897" s="13">
        <v>0</v>
      </c>
      <c r="I2897" s="13"/>
      <c r="J2897" s="13"/>
      <c r="K2897" s="13"/>
      <c r="L2897" s="15">
        <v>0</v>
      </c>
    </row>
    <row r="2898" spans="1:12">
      <c r="A2898" s="12"/>
      <c r="E2898" s="14"/>
      <c r="F2898" s="14"/>
      <c r="G2898" s="13">
        <v>0</v>
      </c>
      <c r="H2898" s="13">
        <v>0</v>
      </c>
      <c r="I2898" s="13"/>
      <c r="J2898" s="13"/>
      <c r="K2898" s="13"/>
      <c r="L2898" s="15">
        <v>0</v>
      </c>
    </row>
    <row r="2899" spans="1:12">
      <c r="A2899" s="12"/>
      <c r="E2899" s="14"/>
      <c r="F2899" s="14"/>
      <c r="G2899" s="13">
        <v>0</v>
      </c>
      <c r="H2899" s="13">
        <v>0</v>
      </c>
      <c r="I2899" s="13"/>
      <c r="J2899" s="13"/>
      <c r="K2899" s="13"/>
      <c r="L2899" s="15">
        <v>0</v>
      </c>
    </row>
    <row r="2900" spans="1:12">
      <c r="A2900" s="12"/>
      <c r="E2900" s="14"/>
      <c r="F2900" s="14"/>
      <c r="G2900" s="13">
        <v>0</v>
      </c>
      <c r="H2900" s="13">
        <v>0</v>
      </c>
      <c r="I2900" s="13"/>
      <c r="J2900" s="13"/>
      <c r="K2900" s="13"/>
      <c r="L2900" s="15">
        <v>0</v>
      </c>
    </row>
    <row r="2901" spans="1:12">
      <c r="A2901" s="12"/>
      <c r="E2901" s="14"/>
      <c r="F2901" s="14"/>
      <c r="G2901" s="13">
        <v>0</v>
      </c>
      <c r="H2901" s="13">
        <v>0</v>
      </c>
      <c r="I2901" s="13"/>
      <c r="J2901" s="13"/>
      <c r="K2901" s="13"/>
      <c r="L2901" s="15">
        <v>0</v>
      </c>
    </row>
    <row r="2902" spans="1:12">
      <c r="A2902" s="12"/>
      <c r="E2902" s="14"/>
      <c r="F2902" s="14"/>
      <c r="G2902" s="13">
        <v>0</v>
      </c>
      <c r="H2902" s="13">
        <v>0</v>
      </c>
      <c r="I2902" s="13"/>
      <c r="J2902" s="13"/>
      <c r="K2902" s="13"/>
      <c r="L2902" s="15">
        <v>0</v>
      </c>
    </row>
    <row r="2903" spans="1:12">
      <c r="A2903" s="12"/>
      <c r="E2903" s="14"/>
      <c r="F2903" s="14"/>
      <c r="G2903" s="13">
        <v>0</v>
      </c>
      <c r="H2903" s="13">
        <v>0</v>
      </c>
      <c r="I2903" s="13"/>
      <c r="J2903" s="13"/>
      <c r="K2903" s="13"/>
      <c r="L2903" s="15">
        <v>0</v>
      </c>
    </row>
    <row r="2904" spans="1:12">
      <c r="A2904" s="12"/>
      <c r="E2904" s="14"/>
      <c r="F2904" s="14"/>
      <c r="G2904" s="13">
        <v>0</v>
      </c>
      <c r="H2904" s="13">
        <v>0</v>
      </c>
      <c r="I2904" s="13"/>
      <c r="J2904" s="13"/>
      <c r="K2904" s="13"/>
      <c r="L2904" s="15">
        <v>0</v>
      </c>
    </row>
    <row r="2905" spans="1:12">
      <c r="A2905" s="12"/>
      <c r="E2905" s="14"/>
      <c r="F2905" s="14"/>
      <c r="G2905" s="13">
        <v>0</v>
      </c>
      <c r="H2905" s="13">
        <v>0</v>
      </c>
      <c r="I2905" s="13"/>
      <c r="J2905" s="13"/>
      <c r="K2905" s="13"/>
      <c r="L2905" s="15">
        <v>0</v>
      </c>
    </row>
    <row r="2906" spans="1:12">
      <c r="A2906" s="12"/>
      <c r="E2906" s="14"/>
      <c r="F2906" s="14"/>
      <c r="G2906" s="13">
        <v>0</v>
      </c>
      <c r="H2906" s="13">
        <v>0</v>
      </c>
      <c r="I2906" s="13"/>
      <c r="J2906" s="13"/>
      <c r="K2906" s="13"/>
      <c r="L2906" s="15">
        <v>0</v>
      </c>
    </row>
    <row r="2907" spans="1:12">
      <c r="A2907" s="12"/>
      <c r="E2907" s="14"/>
      <c r="F2907" s="14"/>
      <c r="G2907" s="13">
        <v>0</v>
      </c>
      <c r="H2907" s="13">
        <v>0</v>
      </c>
      <c r="I2907" s="13"/>
      <c r="J2907" s="13"/>
      <c r="K2907" s="13"/>
      <c r="L2907" s="15">
        <v>0</v>
      </c>
    </row>
    <row r="2908" spans="1:12">
      <c r="A2908" s="12"/>
      <c r="E2908" s="14"/>
      <c r="F2908" s="14"/>
      <c r="G2908" s="13">
        <v>0</v>
      </c>
      <c r="H2908" s="13">
        <v>0</v>
      </c>
      <c r="I2908" s="13"/>
      <c r="J2908" s="13"/>
      <c r="K2908" s="13"/>
      <c r="L2908" s="15">
        <v>0</v>
      </c>
    </row>
    <row r="2909" spans="1:12">
      <c r="A2909" s="12"/>
      <c r="E2909" s="14"/>
      <c r="F2909" s="14"/>
      <c r="G2909" s="13">
        <v>0</v>
      </c>
      <c r="H2909" s="13">
        <v>0</v>
      </c>
      <c r="I2909" s="13"/>
      <c r="J2909" s="13"/>
      <c r="K2909" s="13"/>
      <c r="L2909" s="15">
        <v>0</v>
      </c>
    </row>
    <row r="2910" spans="1:12">
      <c r="A2910" s="12"/>
      <c r="E2910" s="14"/>
      <c r="F2910" s="14"/>
      <c r="G2910" s="13">
        <v>0</v>
      </c>
      <c r="H2910" s="13">
        <v>0</v>
      </c>
      <c r="I2910" s="13"/>
      <c r="J2910" s="13"/>
      <c r="K2910" s="13"/>
      <c r="L2910" s="15">
        <v>0</v>
      </c>
    </row>
    <row r="2911" spans="1:12">
      <c r="A2911" s="12"/>
      <c r="E2911" s="14"/>
      <c r="F2911" s="14"/>
      <c r="G2911" s="13">
        <v>0</v>
      </c>
      <c r="H2911" s="13">
        <v>0</v>
      </c>
      <c r="I2911" s="13"/>
      <c r="J2911" s="13"/>
      <c r="K2911" s="13"/>
      <c r="L2911" s="15">
        <v>0</v>
      </c>
    </row>
    <row r="2912" spans="1:12">
      <c r="A2912" s="12"/>
      <c r="E2912" s="14"/>
      <c r="F2912" s="14"/>
      <c r="G2912" s="13">
        <v>0</v>
      </c>
      <c r="H2912" s="13">
        <v>0</v>
      </c>
      <c r="I2912" s="13"/>
      <c r="J2912" s="13"/>
      <c r="K2912" s="13"/>
      <c r="L2912" s="15">
        <v>0</v>
      </c>
    </row>
    <row r="2913" spans="1:12">
      <c r="A2913" s="12"/>
      <c r="E2913" s="14"/>
      <c r="F2913" s="14"/>
      <c r="G2913" s="13">
        <v>0</v>
      </c>
      <c r="H2913" s="13">
        <v>0</v>
      </c>
      <c r="I2913" s="13"/>
      <c r="J2913" s="13"/>
      <c r="K2913" s="13"/>
      <c r="L2913" s="15">
        <v>0</v>
      </c>
    </row>
    <row r="2914" spans="1:12">
      <c r="A2914" s="12"/>
      <c r="E2914" s="14"/>
      <c r="F2914" s="14"/>
      <c r="G2914" s="13">
        <v>0</v>
      </c>
      <c r="H2914" s="13">
        <v>0</v>
      </c>
      <c r="I2914" s="13"/>
      <c r="J2914" s="13"/>
      <c r="K2914" s="13"/>
      <c r="L2914" s="15">
        <v>0</v>
      </c>
    </row>
    <row r="2915" spans="1:12">
      <c r="A2915" s="12"/>
      <c r="E2915" s="14"/>
      <c r="F2915" s="14"/>
      <c r="G2915" s="13">
        <v>0</v>
      </c>
      <c r="H2915" s="13">
        <v>0</v>
      </c>
      <c r="I2915" s="13"/>
      <c r="J2915" s="13"/>
      <c r="K2915" s="13"/>
      <c r="L2915" s="15">
        <v>0</v>
      </c>
    </row>
    <row r="2916" spans="1:12">
      <c r="A2916" s="12"/>
      <c r="E2916" s="14"/>
      <c r="F2916" s="14"/>
      <c r="G2916" s="13">
        <v>0</v>
      </c>
      <c r="H2916" s="13">
        <v>0</v>
      </c>
      <c r="I2916" s="13"/>
      <c r="J2916" s="13"/>
      <c r="K2916" s="13"/>
      <c r="L2916" s="15">
        <v>0</v>
      </c>
    </row>
    <row r="2917" spans="1:12">
      <c r="A2917" s="12"/>
      <c r="E2917" s="14"/>
      <c r="F2917" s="14"/>
      <c r="G2917" s="13">
        <v>0</v>
      </c>
      <c r="H2917" s="13">
        <v>0</v>
      </c>
      <c r="I2917" s="13"/>
      <c r="J2917" s="13"/>
      <c r="K2917" s="13"/>
      <c r="L2917" s="15">
        <v>0</v>
      </c>
    </row>
    <row r="2918" spans="1:12">
      <c r="A2918" s="12"/>
      <c r="E2918" s="14"/>
      <c r="F2918" s="14"/>
      <c r="G2918" s="13">
        <v>0</v>
      </c>
      <c r="H2918" s="13">
        <v>0</v>
      </c>
      <c r="I2918" s="13"/>
      <c r="J2918" s="13"/>
      <c r="K2918" s="13"/>
      <c r="L2918" s="15">
        <v>0</v>
      </c>
    </row>
    <row r="2919" spans="1:12">
      <c r="A2919" s="12"/>
      <c r="E2919" s="14"/>
      <c r="F2919" s="14"/>
      <c r="G2919" s="13">
        <v>0</v>
      </c>
      <c r="H2919" s="13">
        <v>0</v>
      </c>
      <c r="I2919" s="13"/>
      <c r="J2919" s="13"/>
      <c r="K2919" s="13"/>
      <c r="L2919" s="15">
        <v>0</v>
      </c>
    </row>
    <row r="2920" spans="1:12">
      <c r="A2920" s="12"/>
      <c r="E2920" s="14"/>
      <c r="F2920" s="14"/>
      <c r="G2920" s="13">
        <v>0</v>
      </c>
      <c r="H2920" s="13">
        <v>0</v>
      </c>
      <c r="I2920" s="13"/>
      <c r="J2920" s="13"/>
      <c r="K2920" s="13"/>
      <c r="L2920" s="15">
        <v>0</v>
      </c>
    </row>
    <row r="2921" spans="1:12">
      <c r="A2921" s="12"/>
      <c r="E2921" s="14"/>
      <c r="F2921" s="14"/>
      <c r="G2921" s="13">
        <v>0</v>
      </c>
      <c r="H2921" s="13">
        <v>0</v>
      </c>
      <c r="I2921" s="13"/>
      <c r="J2921" s="13"/>
      <c r="K2921" s="13"/>
      <c r="L2921" s="15">
        <v>0</v>
      </c>
    </row>
    <row r="2922" spans="1:12">
      <c r="A2922" s="12"/>
      <c r="E2922" s="14"/>
      <c r="F2922" s="14"/>
      <c r="G2922" s="13">
        <v>0</v>
      </c>
      <c r="H2922" s="13">
        <v>0</v>
      </c>
      <c r="I2922" s="13"/>
      <c r="J2922" s="13"/>
      <c r="K2922" s="13"/>
      <c r="L2922" s="15">
        <v>0</v>
      </c>
    </row>
    <row r="2923" spans="1:12">
      <c r="A2923" s="12"/>
      <c r="E2923" s="14"/>
      <c r="F2923" s="14"/>
      <c r="G2923" s="13">
        <v>0</v>
      </c>
      <c r="H2923" s="13">
        <v>0</v>
      </c>
      <c r="I2923" s="13"/>
      <c r="J2923" s="13"/>
      <c r="K2923" s="13"/>
      <c r="L2923" s="15">
        <v>0</v>
      </c>
    </row>
    <row r="2924" spans="1:12">
      <c r="A2924" s="12"/>
      <c r="E2924" s="14"/>
      <c r="F2924" s="14"/>
      <c r="G2924" s="13">
        <v>0</v>
      </c>
      <c r="H2924" s="13">
        <v>0</v>
      </c>
      <c r="I2924" s="13"/>
      <c r="J2924" s="13"/>
      <c r="K2924" s="13"/>
      <c r="L2924" s="15">
        <v>0</v>
      </c>
    </row>
    <row r="2925" spans="1:12">
      <c r="A2925" s="12"/>
      <c r="E2925" s="14"/>
      <c r="F2925" s="14"/>
      <c r="G2925" s="13">
        <v>0</v>
      </c>
      <c r="H2925" s="13">
        <v>0</v>
      </c>
      <c r="I2925" s="13"/>
      <c r="J2925" s="13"/>
      <c r="K2925" s="13"/>
      <c r="L2925" s="15">
        <v>0</v>
      </c>
    </row>
    <row r="2926" spans="1:12">
      <c r="A2926" s="12"/>
      <c r="E2926" s="14"/>
      <c r="F2926" s="14"/>
      <c r="G2926" s="13">
        <v>0</v>
      </c>
      <c r="H2926" s="13">
        <v>0</v>
      </c>
      <c r="I2926" s="13"/>
      <c r="J2926" s="13"/>
      <c r="K2926" s="13"/>
      <c r="L2926" s="15">
        <v>0</v>
      </c>
    </row>
    <row r="2927" spans="1:12">
      <c r="A2927" s="12"/>
      <c r="E2927" s="14"/>
      <c r="F2927" s="14"/>
      <c r="G2927" s="13">
        <v>0</v>
      </c>
      <c r="H2927" s="13">
        <v>0</v>
      </c>
      <c r="I2927" s="13"/>
      <c r="J2927" s="13"/>
      <c r="K2927" s="13"/>
      <c r="L2927" s="15">
        <v>0</v>
      </c>
    </row>
    <row r="2928" spans="1:12">
      <c r="A2928" s="12"/>
      <c r="E2928" s="14"/>
      <c r="F2928" s="14"/>
      <c r="G2928" s="13">
        <v>0</v>
      </c>
      <c r="H2928" s="13">
        <v>0</v>
      </c>
      <c r="I2928" s="13"/>
      <c r="J2928" s="13"/>
      <c r="K2928" s="13"/>
      <c r="L2928" s="15">
        <v>0</v>
      </c>
    </row>
    <row r="2929" spans="1:12">
      <c r="A2929" s="12"/>
      <c r="E2929" s="14"/>
      <c r="F2929" s="14"/>
      <c r="G2929" s="13">
        <v>0</v>
      </c>
      <c r="H2929" s="13">
        <v>0</v>
      </c>
      <c r="I2929" s="13"/>
      <c r="J2929" s="13"/>
      <c r="K2929" s="13"/>
      <c r="L2929" s="15">
        <v>0</v>
      </c>
    </row>
    <row r="2930" spans="1:12">
      <c r="A2930" s="12"/>
      <c r="E2930" s="14"/>
      <c r="F2930" s="14"/>
      <c r="G2930" s="13">
        <v>0</v>
      </c>
      <c r="H2930" s="13">
        <v>0</v>
      </c>
      <c r="I2930" s="13"/>
      <c r="J2930" s="13"/>
      <c r="K2930" s="13"/>
      <c r="L2930" s="15">
        <v>0</v>
      </c>
    </row>
    <row r="2931" spans="1:12">
      <c r="A2931" s="12"/>
      <c r="E2931" s="14"/>
      <c r="F2931" s="14"/>
      <c r="G2931" s="13">
        <v>0</v>
      </c>
      <c r="H2931" s="13">
        <v>0</v>
      </c>
      <c r="I2931" s="13"/>
      <c r="J2931" s="13"/>
      <c r="K2931" s="13"/>
      <c r="L2931" s="15">
        <v>0</v>
      </c>
    </row>
    <row r="2932" spans="1:12">
      <c r="A2932" s="12"/>
      <c r="E2932" s="14"/>
      <c r="F2932" s="14"/>
      <c r="G2932" s="13">
        <v>0</v>
      </c>
      <c r="H2932" s="13">
        <v>0</v>
      </c>
      <c r="I2932" s="13"/>
      <c r="J2932" s="13"/>
      <c r="K2932" s="13"/>
      <c r="L2932" s="15">
        <v>0</v>
      </c>
    </row>
    <row r="2933" spans="1:12">
      <c r="A2933" s="12"/>
      <c r="E2933" s="14"/>
      <c r="F2933" s="14"/>
      <c r="G2933" s="13">
        <v>0</v>
      </c>
      <c r="H2933" s="13">
        <v>0</v>
      </c>
      <c r="I2933" s="13"/>
      <c r="J2933" s="13"/>
      <c r="K2933" s="13"/>
      <c r="L2933" s="15">
        <v>0</v>
      </c>
    </row>
    <row r="2934" spans="1:12">
      <c r="A2934" s="12"/>
      <c r="E2934" s="14"/>
      <c r="F2934" s="14"/>
      <c r="G2934" s="13">
        <v>0</v>
      </c>
      <c r="H2934" s="13">
        <v>0</v>
      </c>
      <c r="I2934" s="13"/>
      <c r="J2934" s="13"/>
      <c r="K2934" s="13"/>
      <c r="L2934" s="15">
        <v>0</v>
      </c>
    </row>
    <row r="2935" spans="1:12">
      <c r="A2935" s="12"/>
      <c r="E2935" s="14"/>
      <c r="F2935" s="14"/>
      <c r="G2935" s="13">
        <v>0</v>
      </c>
      <c r="H2935" s="13">
        <v>0</v>
      </c>
      <c r="I2935" s="13"/>
      <c r="J2935" s="13"/>
      <c r="K2935" s="13"/>
      <c r="L2935" s="15">
        <v>0</v>
      </c>
    </row>
    <row r="2936" spans="1:12">
      <c r="A2936" s="12"/>
      <c r="E2936" s="14"/>
      <c r="F2936" s="14"/>
      <c r="G2936" s="13">
        <v>0</v>
      </c>
      <c r="H2936" s="13">
        <v>0</v>
      </c>
      <c r="I2936" s="13"/>
      <c r="J2936" s="13"/>
      <c r="K2936" s="13"/>
      <c r="L2936" s="15">
        <v>0</v>
      </c>
    </row>
    <row r="2937" spans="1:12">
      <c r="A2937" s="12"/>
      <c r="E2937" s="14"/>
      <c r="F2937" s="14"/>
      <c r="G2937" s="13">
        <v>0</v>
      </c>
      <c r="H2937" s="13">
        <v>0</v>
      </c>
      <c r="I2937" s="13"/>
      <c r="J2937" s="13"/>
      <c r="K2937" s="13"/>
      <c r="L2937" s="15">
        <v>0</v>
      </c>
    </row>
    <row r="2938" spans="1:12">
      <c r="A2938" s="12"/>
      <c r="E2938" s="14"/>
      <c r="F2938" s="14"/>
      <c r="G2938" s="13">
        <v>0</v>
      </c>
      <c r="H2938" s="13">
        <v>0</v>
      </c>
      <c r="I2938" s="13"/>
      <c r="J2938" s="13"/>
      <c r="K2938" s="13"/>
      <c r="L2938" s="15">
        <v>0</v>
      </c>
    </row>
    <row r="2939" spans="1:12">
      <c r="A2939" s="12"/>
      <c r="E2939" s="14"/>
      <c r="F2939" s="14"/>
      <c r="G2939" s="13">
        <v>0</v>
      </c>
      <c r="H2939" s="13">
        <v>0</v>
      </c>
      <c r="I2939" s="13"/>
      <c r="J2939" s="13"/>
      <c r="K2939" s="13"/>
      <c r="L2939" s="15">
        <v>0</v>
      </c>
    </row>
    <row r="2940" spans="1:12">
      <c r="A2940" s="12"/>
      <c r="E2940" s="14"/>
      <c r="F2940" s="14"/>
      <c r="G2940" s="13">
        <v>0</v>
      </c>
      <c r="H2940" s="13">
        <v>0</v>
      </c>
      <c r="I2940" s="13"/>
      <c r="J2940" s="13"/>
      <c r="K2940" s="13"/>
      <c r="L2940" s="15">
        <v>0</v>
      </c>
    </row>
    <row r="2941" spans="1:12">
      <c r="A2941" s="12"/>
      <c r="E2941" s="14"/>
      <c r="F2941" s="14"/>
      <c r="G2941" s="13">
        <v>0</v>
      </c>
      <c r="H2941" s="13">
        <v>0</v>
      </c>
      <c r="I2941" s="13"/>
      <c r="J2941" s="13"/>
      <c r="K2941" s="13"/>
      <c r="L2941" s="15">
        <v>0</v>
      </c>
    </row>
    <row r="2942" spans="1:12">
      <c r="A2942" s="12"/>
      <c r="E2942" s="14"/>
      <c r="F2942" s="14"/>
      <c r="G2942" s="13">
        <v>0</v>
      </c>
      <c r="H2942" s="13">
        <v>0</v>
      </c>
      <c r="I2942" s="13"/>
      <c r="J2942" s="13"/>
      <c r="K2942" s="13"/>
      <c r="L2942" s="15">
        <v>0</v>
      </c>
    </row>
    <row r="2943" spans="1:12">
      <c r="A2943" s="12"/>
      <c r="E2943" s="14"/>
      <c r="F2943" s="14"/>
      <c r="G2943" s="13">
        <v>0</v>
      </c>
      <c r="H2943" s="13">
        <v>0</v>
      </c>
      <c r="I2943" s="13"/>
      <c r="J2943" s="13"/>
      <c r="K2943" s="13"/>
      <c r="L2943" s="15">
        <v>0</v>
      </c>
    </row>
    <row r="2944" spans="1:12">
      <c r="A2944" s="12"/>
      <c r="E2944" s="14"/>
      <c r="F2944" s="14"/>
      <c r="G2944" s="13">
        <v>0</v>
      </c>
      <c r="H2944" s="13">
        <v>0</v>
      </c>
      <c r="I2944" s="13"/>
      <c r="J2944" s="13"/>
      <c r="K2944" s="13"/>
      <c r="L2944" s="15">
        <v>0</v>
      </c>
    </row>
    <row r="2945" spans="1:12">
      <c r="A2945" s="12"/>
      <c r="E2945" s="14"/>
      <c r="F2945" s="14"/>
      <c r="G2945" s="13">
        <v>0</v>
      </c>
      <c r="H2945" s="13">
        <v>0</v>
      </c>
      <c r="I2945" s="13"/>
      <c r="J2945" s="13"/>
      <c r="K2945" s="13"/>
      <c r="L2945" s="15">
        <v>0</v>
      </c>
    </row>
    <row r="2946" spans="1:12">
      <c r="A2946" s="12"/>
      <c r="E2946" s="14"/>
      <c r="F2946" s="14"/>
      <c r="G2946" s="13">
        <v>0</v>
      </c>
      <c r="H2946" s="13">
        <v>0</v>
      </c>
      <c r="I2946" s="13"/>
      <c r="J2946" s="13"/>
      <c r="K2946" s="13"/>
      <c r="L2946" s="15">
        <v>0</v>
      </c>
    </row>
    <row r="2947" spans="1:12">
      <c r="A2947" s="12"/>
      <c r="E2947" s="14"/>
      <c r="F2947" s="14"/>
      <c r="G2947" s="13">
        <v>0</v>
      </c>
      <c r="H2947" s="13">
        <v>0</v>
      </c>
      <c r="I2947" s="13"/>
      <c r="J2947" s="13"/>
      <c r="K2947" s="13"/>
      <c r="L2947" s="15">
        <v>0</v>
      </c>
    </row>
    <row r="2948" spans="1:12">
      <c r="A2948" s="12"/>
      <c r="E2948" s="14"/>
      <c r="F2948" s="14"/>
      <c r="G2948" s="13">
        <v>0</v>
      </c>
      <c r="H2948" s="13">
        <v>0</v>
      </c>
      <c r="I2948" s="13"/>
      <c r="J2948" s="13"/>
      <c r="K2948" s="13"/>
      <c r="L2948" s="15">
        <v>0</v>
      </c>
    </row>
    <row r="2949" spans="1:12">
      <c r="A2949" s="12"/>
      <c r="E2949" s="14"/>
      <c r="F2949" s="14"/>
      <c r="G2949" s="13">
        <v>0</v>
      </c>
      <c r="H2949" s="13">
        <v>0</v>
      </c>
      <c r="I2949" s="13"/>
      <c r="J2949" s="13"/>
      <c r="K2949" s="13"/>
      <c r="L2949" s="15">
        <v>0</v>
      </c>
    </row>
    <row r="2950" spans="1:12">
      <c r="A2950" s="12"/>
      <c r="E2950" s="14"/>
      <c r="F2950" s="14"/>
      <c r="G2950" s="13">
        <v>0</v>
      </c>
      <c r="H2950" s="13">
        <v>0</v>
      </c>
      <c r="I2950" s="13"/>
      <c r="J2950" s="13"/>
      <c r="K2950" s="13"/>
      <c r="L2950" s="15">
        <v>0</v>
      </c>
    </row>
    <row r="2951" spans="1:12">
      <c r="A2951" s="12"/>
      <c r="E2951" s="14"/>
      <c r="F2951" s="14"/>
      <c r="G2951" s="13">
        <v>0</v>
      </c>
      <c r="H2951" s="13">
        <v>0</v>
      </c>
      <c r="I2951" s="13"/>
      <c r="J2951" s="13"/>
      <c r="K2951" s="13"/>
      <c r="L2951" s="15">
        <v>0</v>
      </c>
    </row>
    <row r="2952" spans="1:12">
      <c r="A2952" s="12"/>
      <c r="E2952" s="14"/>
      <c r="F2952" s="14"/>
      <c r="G2952" s="13">
        <v>0</v>
      </c>
      <c r="H2952" s="13">
        <v>0</v>
      </c>
      <c r="I2952" s="13"/>
      <c r="J2952" s="13"/>
      <c r="K2952" s="13"/>
      <c r="L2952" s="15">
        <v>0</v>
      </c>
    </row>
    <row r="2953" spans="1:12">
      <c r="A2953" s="12"/>
      <c r="E2953" s="14"/>
      <c r="F2953" s="14"/>
      <c r="G2953" s="13">
        <v>0</v>
      </c>
      <c r="H2953" s="13">
        <v>0</v>
      </c>
      <c r="I2953" s="13"/>
      <c r="J2953" s="13"/>
      <c r="K2953" s="13"/>
      <c r="L2953" s="15">
        <v>0</v>
      </c>
    </row>
    <row r="2954" spans="1:12">
      <c r="A2954" s="12"/>
      <c r="E2954" s="14"/>
      <c r="F2954" s="14"/>
      <c r="G2954" s="13">
        <v>0</v>
      </c>
      <c r="H2954" s="13">
        <v>0</v>
      </c>
      <c r="I2954" s="13"/>
      <c r="J2954" s="13"/>
      <c r="K2954" s="13"/>
      <c r="L2954" s="15">
        <v>0</v>
      </c>
    </row>
    <row r="2955" spans="1:12">
      <c r="A2955" s="12"/>
      <c r="E2955" s="14"/>
      <c r="F2955" s="14"/>
      <c r="G2955" s="13">
        <v>0</v>
      </c>
      <c r="H2955" s="13">
        <v>0</v>
      </c>
      <c r="I2955" s="13"/>
      <c r="J2955" s="13"/>
      <c r="K2955" s="13"/>
      <c r="L2955" s="15">
        <v>0</v>
      </c>
    </row>
    <row r="2956" spans="1:12">
      <c r="A2956" s="12"/>
      <c r="E2956" s="14"/>
      <c r="F2956" s="14"/>
      <c r="G2956" s="13">
        <v>0</v>
      </c>
      <c r="H2956" s="13">
        <v>0</v>
      </c>
      <c r="I2956" s="13"/>
      <c r="J2956" s="13"/>
      <c r="K2956" s="13"/>
      <c r="L2956" s="15">
        <v>0</v>
      </c>
    </row>
    <row r="2957" spans="1:12">
      <c r="A2957" s="12"/>
      <c r="E2957" s="14"/>
      <c r="F2957" s="14"/>
      <c r="G2957" s="13">
        <v>0</v>
      </c>
      <c r="H2957" s="13">
        <v>0</v>
      </c>
      <c r="I2957" s="13"/>
      <c r="J2957" s="13"/>
      <c r="K2957" s="13"/>
      <c r="L2957" s="15">
        <v>0</v>
      </c>
    </row>
    <row r="2958" spans="1:12">
      <c r="A2958" s="12"/>
      <c r="E2958" s="14"/>
      <c r="F2958" s="14"/>
      <c r="G2958" s="13">
        <v>0</v>
      </c>
      <c r="H2958" s="13">
        <v>0</v>
      </c>
      <c r="I2958" s="13"/>
      <c r="J2958" s="13"/>
      <c r="K2958" s="13"/>
      <c r="L2958" s="15">
        <v>0</v>
      </c>
    </row>
    <row r="2959" spans="1:12">
      <c r="A2959" s="12"/>
      <c r="E2959" s="14"/>
      <c r="F2959" s="14"/>
      <c r="G2959" s="13">
        <v>0</v>
      </c>
      <c r="H2959" s="13">
        <v>0</v>
      </c>
      <c r="I2959" s="13"/>
      <c r="J2959" s="13"/>
      <c r="K2959" s="13"/>
      <c r="L2959" s="15">
        <v>0</v>
      </c>
    </row>
    <row r="2960" spans="1:12">
      <c r="A2960" s="12"/>
      <c r="E2960" s="14"/>
      <c r="F2960" s="14"/>
      <c r="G2960" s="13">
        <v>0</v>
      </c>
      <c r="H2960" s="13">
        <v>0</v>
      </c>
      <c r="I2960" s="13"/>
      <c r="J2960" s="13"/>
      <c r="K2960" s="13"/>
      <c r="L2960" s="15">
        <v>0</v>
      </c>
    </row>
    <row r="2961" spans="1:12">
      <c r="A2961" s="12"/>
      <c r="E2961" s="14"/>
      <c r="F2961" s="14"/>
      <c r="G2961" s="13">
        <v>0</v>
      </c>
      <c r="H2961" s="13">
        <v>0</v>
      </c>
      <c r="I2961" s="13"/>
      <c r="J2961" s="13"/>
      <c r="K2961" s="13"/>
      <c r="L2961" s="15">
        <v>0</v>
      </c>
    </row>
    <row r="2962" spans="1:12">
      <c r="A2962" s="12"/>
      <c r="E2962" s="14"/>
      <c r="F2962" s="14"/>
      <c r="G2962" s="13">
        <v>0</v>
      </c>
      <c r="H2962" s="13">
        <v>0</v>
      </c>
      <c r="I2962" s="13"/>
      <c r="J2962" s="13"/>
      <c r="K2962" s="13"/>
      <c r="L2962" s="15">
        <v>0</v>
      </c>
    </row>
    <row r="2963" spans="1:12">
      <c r="A2963" s="12"/>
      <c r="E2963" s="14"/>
      <c r="F2963" s="14"/>
      <c r="G2963" s="13">
        <v>0</v>
      </c>
      <c r="H2963" s="13">
        <v>0</v>
      </c>
      <c r="I2963" s="13"/>
      <c r="J2963" s="13"/>
      <c r="K2963" s="13"/>
      <c r="L2963" s="15">
        <v>0</v>
      </c>
    </row>
    <row r="2964" spans="1:12">
      <c r="A2964" s="12"/>
      <c r="E2964" s="14"/>
      <c r="F2964" s="14"/>
      <c r="G2964" s="13">
        <v>0</v>
      </c>
      <c r="H2964" s="13">
        <v>0</v>
      </c>
      <c r="I2964" s="13"/>
      <c r="J2964" s="13"/>
      <c r="K2964" s="13"/>
      <c r="L2964" s="15">
        <v>0</v>
      </c>
    </row>
    <row r="2965" spans="1:12">
      <c r="A2965" s="12"/>
      <c r="E2965" s="14"/>
      <c r="F2965" s="14"/>
      <c r="G2965" s="13">
        <v>0</v>
      </c>
      <c r="H2965" s="13">
        <v>0</v>
      </c>
      <c r="I2965" s="13"/>
      <c r="J2965" s="13"/>
      <c r="K2965" s="13"/>
      <c r="L2965" s="15">
        <v>0</v>
      </c>
    </row>
    <row r="2966" spans="1:12">
      <c r="A2966" s="12"/>
      <c r="E2966" s="14"/>
      <c r="F2966" s="14"/>
      <c r="G2966" s="13">
        <v>0</v>
      </c>
      <c r="H2966" s="13">
        <v>0</v>
      </c>
      <c r="I2966" s="13"/>
      <c r="J2966" s="13"/>
      <c r="K2966" s="13"/>
      <c r="L2966" s="15">
        <v>0</v>
      </c>
    </row>
    <row r="2967" spans="1:12">
      <c r="A2967" s="12"/>
      <c r="E2967" s="14"/>
      <c r="F2967" s="14"/>
      <c r="G2967" s="13">
        <v>0</v>
      </c>
      <c r="H2967" s="13">
        <v>0</v>
      </c>
      <c r="I2967" s="13"/>
      <c r="J2967" s="13"/>
      <c r="K2967" s="13"/>
      <c r="L2967" s="15">
        <v>0</v>
      </c>
    </row>
    <row r="2968" spans="1:12">
      <c r="A2968" s="12"/>
      <c r="E2968" s="14"/>
      <c r="F2968" s="14"/>
      <c r="G2968" s="13">
        <v>0</v>
      </c>
      <c r="H2968" s="13">
        <v>0</v>
      </c>
      <c r="I2968" s="13"/>
      <c r="J2968" s="13"/>
      <c r="K2968" s="13"/>
      <c r="L2968" s="15">
        <v>0</v>
      </c>
    </row>
    <row r="2969" spans="1:12">
      <c r="A2969" s="12"/>
      <c r="E2969" s="14"/>
      <c r="F2969" s="14"/>
      <c r="G2969" s="13">
        <v>0</v>
      </c>
      <c r="H2969" s="13">
        <v>0</v>
      </c>
      <c r="I2969" s="13"/>
      <c r="J2969" s="13"/>
      <c r="K2969" s="13"/>
      <c r="L2969" s="15">
        <v>0</v>
      </c>
    </row>
    <row r="2970" spans="1:12">
      <c r="A2970" s="12"/>
      <c r="E2970" s="14"/>
      <c r="F2970" s="14"/>
      <c r="G2970" s="13">
        <v>0</v>
      </c>
      <c r="H2970" s="13">
        <v>0</v>
      </c>
      <c r="I2970" s="13"/>
      <c r="J2970" s="13"/>
      <c r="K2970" s="13"/>
      <c r="L2970" s="15">
        <v>0</v>
      </c>
    </row>
    <row r="2971" spans="1:12">
      <c r="A2971" s="12"/>
      <c r="E2971" s="14"/>
      <c r="F2971" s="14"/>
      <c r="G2971" s="13">
        <v>0</v>
      </c>
      <c r="H2971" s="13">
        <v>0</v>
      </c>
      <c r="I2971" s="13"/>
      <c r="J2971" s="13"/>
      <c r="K2971" s="13"/>
      <c r="L2971" s="15">
        <v>0</v>
      </c>
    </row>
    <row r="2972" spans="1:12">
      <c r="A2972" s="12"/>
      <c r="E2972" s="14"/>
      <c r="F2972" s="14"/>
      <c r="G2972" s="13">
        <v>0</v>
      </c>
      <c r="H2972" s="13">
        <v>0</v>
      </c>
      <c r="I2972" s="13"/>
      <c r="J2972" s="13"/>
      <c r="K2972" s="13"/>
      <c r="L2972" s="15">
        <v>0</v>
      </c>
    </row>
    <row r="2973" spans="1:12">
      <c r="A2973" s="12"/>
      <c r="E2973" s="14"/>
      <c r="F2973" s="14"/>
      <c r="G2973" s="13">
        <v>0</v>
      </c>
      <c r="H2973" s="13">
        <v>0</v>
      </c>
      <c r="I2973" s="13"/>
      <c r="J2973" s="13"/>
      <c r="K2973" s="13"/>
      <c r="L2973" s="15">
        <v>0</v>
      </c>
    </row>
    <row r="2974" spans="1:12">
      <c r="A2974" s="12"/>
      <c r="E2974" s="14"/>
      <c r="F2974" s="14"/>
      <c r="G2974" s="13">
        <v>0</v>
      </c>
      <c r="H2974" s="13">
        <v>0</v>
      </c>
      <c r="I2974" s="13"/>
      <c r="J2974" s="13"/>
      <c r="K2974" s="13"/>
      <c r="L2974" s="15">
        <v>0</v>
      </c>
    </row>
    <row r="2975" spans="1:12">
      <c r="A2975" s="12"/>
      <c r="E2975" s="14"/>
      <c r="F2975" s="14"/>
      <c r="G2975" s="13">
        <v>0</v>
      </c>
      <c r="H2975" s="13">
        <v>0</v>
      </c>
      <c r="I2975" s="13"/>
      <c r="J2975" s="13"/>
      <c r="K2975" s="13"/>
      <c r="L2975" s="15">
        <v>0</v>
      </c>
    </row>
    <row r="2976" spans="1:12">
      <c r="A2976" s="12"/>
      <c r="E2976" s="14"/>
      <c r="F2976" s="14"/>
      <c r="G2976" s="13">
        <v>0</v>
      </c>
      <c r="H2976" s="13">
        <v>0</v>
      </c>
      <c r="I2976" s="13"/>
      <c r="J2976" s="13"/>
      <c r="K2976" s="13"/>
      <c r="L2976" s="15">
        <v>0</v>
      </c>
    </row>
    <row r="2977" spans="1:12">
      <c r="A2977" s="12"/>
      <c r="E2977" s="14"/>
      <c r="F2977" s="14"/>
      <c r="G2977" s="13">
        <v>0</v>
      </c>
      <c r="H2977" s="13">
        <v>0</v>
      </c>
      <c r="I2977" s="13"/>
      <c r="J2977" s="13"/>
      <c r="K2977" s="13"/>
      <c r="L2977" s="15">
        <v>0</v>
      </c>
    </row>
    <row r="2978" spans="1:12">
      <c r="A2978" s="12"/>
      <c r="E2978" s="14"/>
      <c r="F2978" s="14"/>
      <c r="G2978" s="13">
        <v>0</v>
      </c>
      <c r="H2978" s="13">
        <v>0</v>
      </c>
      <c r="I2978" s="13"/>
      <c r="J2978" s="13"/>
      <c r="K2978" s="13"/>
      <c r="L2978" s="15">
        <v>0</v>
      </c>
    </row>
    <row r="2979" spans="1:12">
      <c r="A2979" s="12"/>
      <c r="E2979" s="14"/>
      <c r="F2979" s="14"/>
      <c r="G2979" s="13">
        <v>0</v>
      </c>
      <c r="H2979" s="13">
        <v>0</v>
      </c>
      <c r="I2979" s="13"/>
      <c r="J2979" s="13"/>
      <c r="K2979" s="13"/>
      <c r="L2979" s="15">
        <v>0</v>
      </c>
    </row>
    <row r="2980" spans="1:12">
      <c r="A2980" s="12"/>
      <c r="E2980" s="14"/>
      <c r="F2980" s="14"/>
      <c r="G2980" s="13">
        <v>0</v>
      </c>
      <c r="H2980" s="13">
        <v>0</v>
      </c>
      <c r="I2980" s="13"/>
      <c r="J2980" s="13"/>
      <c r="K2980" s="13"/>
      <c r="L2980" s="15">
        <v>0</v>
      </c>
    </row>
    <row r="2981" spans="1:12">
      <c r="A2981" s="12"/>
      <c r="E2981" s="14"/>
      <c r="F2981" s="14"/>
      <c r="G2981" s="13">
        <v>0</v>
      </c>
      <c r="H2981" s="13">
        <v>0</v>
      </c>
      <c r="I2981" s="13"/>
      <c r="J2981" s="13"/>
      <c r="K2981" s="13"/>
      <c r="L2981" s="15">
        <v>0</v>
      </c>
    </row>
    <row r="2982" spans="1:12">
      <c r="A2982" s="12"/>
      <c r="E2982" s="14"/>
      <c r="F2982" s="14"/>
      <c r="G2982" s="13">
        <v>0</v>
      </c>
      <c r="H2982" s="13">
        <v>0</v>
      </c>
      <c r="I2982" s="13"/>
      <c r="J2982" s="13"/>
      <c r="K2982" s="13"/>
      <c r="L2982" s="15">
        <v>0</v>
      </c>
    </row>
    <row r="2983" spans="1:12">
      <c r="A2983" s="12"/>
      <c r="E2983" s="14"/>
      <c r="F2983" s="14"/>
      <c r="G2983" s="13">
        <v>0</v>
      </c>
      <c r="H2983" s="13">
        <v>0</v>
      </c>
      <c r="I2983" s="13"/>
      <c r="J2983" s="13"/>
      <c r="K2983" s="13"/>
      <c r="L2983" s="15">
        <v>0</v>
      </c>
    </row>
    <row r="2984" spans="1:12">
      <c r="A2984" s="12"/>
      <c r="E2984" s="14"/>
      <c r="F2984" s="14"/>
      <c r="G2984" s="13">
        <v>0</v>
      </c>
      <c r="H2984" s="13">
        <v>0</v>
      </c>
      <c r="I2984" s="13"/>
      <c r="J2984" s="13"/>
      <c r="K2984" s="13"/>
      <c r="L2984" s="15">
        <v>0</v>
      </c>
    </row>
    <row r="2985" spans="1:12">
      <c r="A2985" s="12"/>
      <c r="E2985" s="14"/>
      <c r="F2985" s="14"/>
      <c r="G2985" s="13">
        <v>0</v>
      </c>
      <c r="H2985" s="13">
        <v>0</v>
      </c>
      <c r="I2985" s="13"/>
      <c r="J2985" s="13"/>
      <c r="K2985" s="13"/>
      <c r="L2985" s="15">
        <v>0</v>
      </c>
    </row>
    <row r="2986" spans="1:12">
      <c r="A2986" s="12"/>
      <c r="E2986" s="14"/>
      <c r="F2986" s="14"/>
      <c r="G2986" s="13">
        <v>0</v>
      </c>
      <c r="H2986" s="13">
        <v>0</v>
      </c>
      <c r="I2986" s="13"/>
      <c r="J2986" s="13"/>
      <c r="K2986" s="13"/>
      <c r="L2986" s="15">
        <v>0</v>
      </c>
    </row>
    <row r="2987" spans="1:12">
      <c r="A2987" s="12"/>
      <c r="E2987" s="14"/>
      <c r="F2987" s="14"/>
      <c r="G2987" s="13">
        <v>0</v>
      </c>
      <c r="H2987" s="13">
        <v>0</v>
      </c>
      <c r="I2987" s="13"/>
      <c r="J2987" s="13"/>
      <c r="K2987" s="13"/>
      <c r="L2987" s="15">
        <v>0</v>
      </c>
    </row>
    <row r="2988" spans="1:12">
      <c r="A2988" s="12"/>
      <c r="E2988" s="14"/>
      <c r="F2988" s="14"/>
      <c r="G2988" s="13">
        <v>0</v>
      </c>
      <c r="H2988" s="13">
        <v>0</v>
      </c>
      <c r="I2988" s="13"/>
      <c r="J2988" s="13"/>
      <c r="K2988" s="13"/>
      <c r="L2988" s="15">
        <v>0</v>
      </c>
    </row>
    <row r="2989" spans="1:12">
      <c r="A2989" s="12"/>
      <c r="E2989" s="14"/>
      <c r="F2989" s="14"/>
      <c r="G2989" s="13">
        <v>0</v>
      </c>
      <c r="H2989" s="13">
        <v>0</v>
      </c>
      <c r="I2989" s="13"/>
      <c r="J2989" s="13"/>
      <c r="K2989" s="13"/>
      <c r="L2989" s="15">
        <v>0</v>
      </c>
    </row>
    <row r="2990" spans="1:12">
      <c r="A2990" s="12"/>
      <c r="E2990" s="14"/>
      <c r="F2990" s="14"/>
      <c r="G2990" s="13">
        <v>0</v>
      </c>
      <c r="H2990" s="13">
        <v>0</v>
      </c>
      <c r="I2990" s="13"/>
      <c r="J2990" s="13"/>
      <c r="K2990" s="13"/>
      <c r="L2990" s="15">
        <v>0</v>
      </c>
    </row>
    <row r="2991" spans="1:12">
      <c r="A2991" s="12"/>
      <c r="E2991" s="14"/>
      <c r="F2991" s="14"/>
      <c r="G2991" s="13">
        <v>0</v>
      </c>
      <c r="H2991" s="13">
        <v>0</v>
      </c>
      <c r="I2991" s="13"/>
      <c r="J2991" s="13"/>
      <c r="K2991" s="13"/>
      <c r="L2991" s="15">
        <v>0</v>
      </c>
    </row>
    <row r="2992" spans="1:12">
      <c r="A2992" s="12"/>
      <c r="E2992" s="14"/>
      <c r="F2992" s="14"/>
      <c r="G2992" s="13">
        <v>0</v>
      </c>
      <c r="H2992" s="13">
        <v>0</v>
      </c>
      <c r="I2992" s="13"/>
      <c r="J2992" s="13"/>
      <c r="K2992" s="13"/>
      <c r="L2992" s="15">
        <v>0</v>
      </c>
    </row>
    <row r="2993" spans="1:12">
      <c r="A2993" s="12"/>
      <c r="E2993" s="14"/>
      <c r="F2993" s="14"/>
      <c r="G2993" s="13">
        <v>0</v>
      </c>
      <c r="H2993" s="13">
        <v>0</v>
      </c>
      <c r="I2993" s="13"/>
      <c r="J2993" s="13"/>
      <c r="K2993" s="13"/>
      <c r="L2993" s="15">
        <v>0</v>
      </c>
    </row>
    <row r="2994" spans="1:12">
      <c r="A2994" s="12"/>
      <c r="E2994" s="14"/>
      <c r="F2994" s="14"/>
      <c r="G2994" s="13">
        <v>0</v>
      </c>
      <c r="H2994" s="13">
        <v>0</v>
      </c>
      <c r="I2994" s="13"/>
      <c r="J2994" s="13"/>
      <c r="K2994" s="13"/>
      <c r="L2994" s="15">
        <v>0</v>
      </c>
    </row>
    <row r="2995" spans="1:12">
      <c r="A2995" s="12"/>
      <c r="E2995" s="14"/>
      <c r="F2995" s="14"/>
      <c r="G2995" s="13">
        <v>0</v>
      </c>
      <c r="H2995" s="13">
        <v>0</v>
      </c>
      <c r="I2995" s="13"/>
      <c r="J2995" s="13"/>
      <c r="K2995" s="13"/>
      <c r="L2995" s="15">
        <v>0</v>
      </c>
    </row>
    <row r="2996" spans="1:12">
      <c r="A2996" s="12"/>
      <c r="E2996" s="14"/>
      <c r="F2996" s="14"/>
      <c r="G2996" s="13">
        <v>0</v>
      </c>
      <c r="H2996" s="13">
        <v>0</v>
      </c>
      <c r="I2996" s="13"/>
      <c r="J2996" s="13"/>
      <c r="K2996" s="13"/>
      <c r="L2996" s="15">
        <v>0</v>
      </c>
    </row>
    <row r="2997" spans="1:12">
      <c r="A2997" s="12"/>
      <c r="E2997" s="14"/>
      <c r="F2997" s="14"/>
      <c r="G2997" s="13">
        <v>0</v>
      </c>
      <c r="H2997" s="13">
        <v>0</v>
      </c>
      <c r="I2997" s="13"/>
      <c r="J2997" s="13"/>
      <c r="K2997" s="13"/>
      <c r="L2997" s="15">
        <v>0</v>
      </c>
    </row>
    <row r="2998" spans="1:12">
      <c r="A2998" s="12"/>
      <c r="E2998" s="14"/>
      <c r="F2998" s="14"/>
      <c r="G2998" s="13">
        <v>0</v>
      </c>
      <c r="H2998" s="13">
        <v>0</v>
      </c>
      <c r="I2998" s="13"/>
      <c r="J2998" s="13"/>
      <c r="K2998" s="13"/>
      <c r="L2998" s="15">
        <v>0</v>
      </c>
    </row>
    <row r="2999" spans="1:12">
      <c r="A2999" s="12"/>
      <c r="E2999" s="14"/>
      <c r="F2999" s="14"/>
      <c r="G2999" s="13">
        <v>0</v>
      </c>
      <c r="H2999" s="13">
        <v>0</v>
      </c>
      <c r="I2999" s="13"/>
      <c r="J2999" s="13"/>
      <c r="K2999" s="13"/>
      <c r="L2999" s="15">
        <v>0</v>
      </c>
    </row>
    <row r="3000" spans="1:12">
      <c r="A3000" s="12"/>
      <c r="E3000" s="14"/>
      <c r="F3000" s="14"/>
      <c r="G3000" s="13">
        <v>0</v>
      </c>
      <c r="H3000" s="13">
        <v>0</v>
      </c>
      <c r="I3000" s="13"/>
      <c r="J3000" s="13"/>
      <c r="K3000" s="13"/>
      <c r="L3000" s="15">
        <v>0</v>
      </c>
    </row>
    <row r="3001" spans="1:12">
      <c r="A3001" s="12"/>
      <c r="E3001" s="14"/>
      <c r="F3001" s="14"/>
      <c r="G3001" s="13">
        <v>0</v>
      </c>
      <c r="H3001" s="13">
        <v>0</v>
      </c>
      <c r="I3001" s="13"/>
      <c r="J3001" s="13"/>
      <c r="K3001" s="13"/>
      <c r="L3001" s="15">
        <v>0</v>
      </c>
    </row>
    <row r="3002" spans="1:12">
      <c r="A3002" s="12"/>
      <c r="E3002" s="14"/>
      <c r="F3002" s="14"/>
      <c r="G3002" s="13">
        <v>0</v>
      </c>
      <c r="H3002" s="13">
        <v>0</v>
      </c>
      <c r="I3002" s="13"/>
      <c r="J3002" s="13"/>
      <c r="K3002" s="13"/>
      <c r="L3002" s="15">
        <v>0</v>
      </c>
    </row>
    <row r="3003" spans="1:12">
      <c r="A3003" s="12"/>
      <c r="E3003" s="14"/>
      <c r="F3003" s="14"/>
      <c r="G3003" s="13">
        <v>0</v>
      </c>
      <c r="H3003" s="13">
        <v>0</v>
      </c>
      <c r="I3003" s="13"/>
      <c r="J3003" s="13"/>
      <c r="K3003" s="13"/>
      <c r="L3003" s="15">
        <v>0</v>
      </c>
    </row>
    <row r="3004" spans="1:12">
      <c r="A3004" s="12"/>
      <c r="E3004" s="14"/>
      <c r="F3004" s="14"/>
      <c r="G3004" s="13">
        <v>0</v>
      </c>
      <c r="H3004" s="13">
        <v>0</v>
      </c>
      <c r="I3004" s="13"/>
      <c r="J3004" s="13"/>
      <c r="K3004" s="13"/>
      <c r="L3004" s="15">
        <v>0</v>
      </c>
    </row>
    <row r="3005" spans="1:12">
      <c r="A3005" s="12"/>
      <c r="E3005" s="14"/>
      <c r="F3005" s="14"/>
      <c r="G3005" s="13">
        <v>0</v>
      </c>
      <c r="H3005" s="13">
        <v>0</v>
      </c>
      <c r="I3005" s="13"/>
      <c r="J3005" s="13"/>
      <c r="K3005" s="13"/>
      <c r="L3005" s="15">
        <v>0</v>
      </c>
    </row>
    <row r="3006" spans="1:12">
      <c r="A3006" s="12"/>
      <c r="E3006" s="14"/>
      <c r="F3006" s="14"/>
      <c r="G3006" s="13">
        <v>0</v>
      </c>
      <c r="H3006" s="13">
        <v>0</v>
      </c>
      <c r="I3006" s="13"/>
      <c r="J3006" s="13"/>
      <c r="K3006" s="13"/>
      <c r="L3006" s="15">
        <v>0</v>
      </c>
    </row>
    <row r="3007" spans="1:12">
      <c r="A3007" s="12"/>
      <c r="E3007" s="14"/>
      <c r="F3007" s="14"/>
      <c r="G3007" s="13">
        <v>0</v>
      </c>
      <c r="H3007" s="13">
        <v>0</v>
      </c>
      <c r="I3007" s="13"/>
      <c r="J3007" s="13"/>
      <c r="K3007" s="13"/>
      <c r="L3007" s="15">
        <v>0</v>
      </c>
    </row>
    <row r="3008" spans="1:12">
      <c r="A3008" s="12"/>
      <c r="E3008" s="14"/>
      <c r="F3008" s="14"/>
      <c r="G3008" s="13">
        <v>0</v>
      </c>
      <c r="H3008" s="13">
        <v>0</v>
      </c>
      <c r="I3008" s="13"/>
      <c r="J3008" s="13"/>
      <c r="K3008" s="13"/>
      <c r="L3008" s="15">
        <v>0</v>
      </c>
    </row>
    <row r="3009" spans="1:12">
      <c r="A3009" s="12"/>
      <c r="E3009" s="14"/>
      <c r="F3009" s="14"/>
      <c r="G3009" s="13">
        <v>0</v>
      </c>
      <c r="H3009" s="13">
        <v>0</v>
      </c>
      <c r="I3009" s="13"/>
      <c r="J3009" s="13"/>
      <c r="K3009" s="13"/>
      <c r="L3009" s="15">
        <v>0</v>
      </c>
    </row>
    <row r="3010" spans="1:12">
      <c r="A3010" s="12"/>
      <c r="E3010" s="14"/>
      <c r="F3010" s="14"/>
      <c r="G3010" s="13">
        <v>0</v>
      </c>
      <c r="H3010" s="13">
        <v>0</v>
      </c>
      <c r="I3010" s="13"/>
      <c r="J3010" s="13"/>
      <c r="K3010" s="13"/>
      <c r="L3010" s="15">
        <v>0</v>
      </c>
    </row>
    <row r="3011" spans="1:12">
      <c r="A3011" s="12"/>
      <c r="E3011" s="14"/>
      <c r="F3011" s="14"/>
      <c r="G3011" s="13">
        <v>0</v>
      </c>
      <c r="H3011" s="13">
        <v>0</v>
      </c>
      <c r="I3011" s="13"/>
      <c r="J3011" s="13"/>
      <c r="K3011" s="13"/>
      <c r="L3011" s="15">
        <v>0</v>
      </c>
    </row>
    <row r="3012" spans="1:12">
      <c r="A3012" s="12"/>
      <c r="E3012" s="14"/>
      <c r="F3012" s="14"/>
      <c r="G3012" s="13">
        <v>0</v>
      </c>
      <c r="H3012" s="13">
        <v>0</v>
      </c>
      <c r="I3012" s="13"/>
      <c r="J3012" s="13"/>
      <c r="K3012" s="13"/>
      <c r="L3012" s="15">
        <v>0</v>
      </c>
    </row>
    <row r="3013" spans="1:12">
      <c r="A3013" s="12"/>
      <c r="E3013" s="14"/>
      <c r="F3013" s="14"/>
      <c r="G3013" s="13">
        <v>0</v>
      </c>
      <c r="H3013" s="13">
        <v>0</v>
      </c>
      <c r="I3013" s="13"/>
      <c r="J3013" s="13"/>
      <c r="K3013" s="13"/>
      <c r="L3013" s="15">
        <v>0</v>
      </c>
    </row>
    <row r="3014" spans="1:12">
      <c r="A3014" s="12"/>
      <c r="E3014" s="14"/>
      <c r="F3014" s="14"/>
      <c r="G3014" s="13">
        <v>0</v>
      </c>
      <c r="H3014" s="13">
        <v>0</v>
      </c>
      <c r="I3014" s="13"/>
      <c r="J3014" s="13"/>
      <c r="K3014" s="13"/>
      <c r="L3014" s="15">
        <v>0</v>
      </c>
    </row>
    <row r="3015" spans="1:12">
      <c r="A3015" s="12"/>
      <c r="E3015" s="14"/>
      <c r="F3015" s="14"/>
      <c r="G3015" s="13">
        <v>0</v>
      </c>
      <c r="H3015" s="13">
        <v>0</v>
      </c>
      <c r="I3015" s="13"/>
      <c r="J3015" s="13"/>
      <c r="K3015" s="13"/>
      <c r="L3015" s="15">
        <v>0</v>
      </c>
    </row>
    <row r="3016" spans="1:12">
      <c r="A3016" s="12"/>
      <c r="E3016" s="14"/>
      <c r="F3016" s="14"/>
      <c r="G3016" s="13">
        <v>0</v>
      </c>
      <c r="H3016" s="13">
        <v>0</v>
      </c>
      <c r="I3016" s="13"/>
      <c r="J3016" s="13"/>
      <c r="K3016" s="13"/>
      <c r="L3016" s="15">
        <v>0</v>
      </c>
    </row>
    <row r="3017" spans="1:12">
      <c r="A3017" s="12"/>
      <c r="E3017" s="14"/>
      <c r="F3017" s="14"/>
      <c r="G3017" s="13">
        <v>0</v>
      </c>
      <c r="H3017" s="13">
        <v>0</v>
      </c>
      <c r="I3017" s="13"/>
      <c r="J3017" s="13"/>
      <c r="K3017" s="13"/>
      <c r="L3017" s="15">
        <v>0</v>
      </c>
    </row>
    <row r="3018" spans="1:12">
      <c r="A3018" s="12"/>
      <c r="E3018" s="14"/>
      <c r="F3018" s="14"/>
      <c r="G3018" s="13">
        <v>0</v>
      </c>
      <c r="H3018" s="13">
        <v>0</v>
      </c>
      <c r="I3018" s="13"/>
      <c r="J3018" s="13"/>
      <c r="K3018" s="13"/>
      <c r="L3018" s="15">
        <v>0</v>
      </c>
    </row>
    <row r="3019" spans="1:12">
      <c r="A3019" s="12"/>
      <c r="E3019" s="14"/>
      <c r="F3019" s="14"/>
      <c r="G3019" s="13">
        <v>0</v>
      </c>
      <c r="H3019" s="13">
        <v>0</v>
      </c>
      <c r="I3019" s="13"/>
      <c r="J3019" s="13"/>
      <c r="K3019" s="13"/>
      <c r="L3019" s="15">
        <v>0</v>
      </c>
    </row>
    <row r="3020" spans="1:12">
      <c r="A3020" s="12"/>
      <c r="E3020" s="14"/>
      <c r="F3020" s="14"/>
      <c r="G3020" s="13">
        <v>0</v>
      </c>
      <c r="H3020" s="13">
        <v>0</v>
      </c>
      <c r="I3020" s="13"/>
      <c r="J3020" s="13"/>
      <c r="K3020" s="13"/>
      <c r="L3020" s="15">
        <v>0</v>
      </c>
    </row>
    <row r="3021" spans="1:12">
      <c r="A3021" s="12"/>
      <c r="E3021" s="14"/>
      <c r="F3021" s="14"/>
      <c r="G3021" s="13">
        <v>0</v>
      </c>
      <c r="H3021" s="13">
        <v>0</v>
      </c>
      <c r="I3021" s="13"/>
      <c r="J3021" s="13"/>
      <c r="K3021" s="13"/>
      <c r="L3021" s="15">
        <v>0</v>
      </c>
    </row>
    <row r="3022" spans="1:12">
      <c r="A3022" s="12"/>
      <c r="E3022" s="14"/>
      <c r="F3022" s="14"/>
      <c r="G3022" s="13">
        <v>0</v>
      </c>
      <c r="H3022" s="13">
        <v>0</v>
      </c>
      <c r="I3022" s="13"/>
      <c r="J3022" s="13"/>
      <c r="K3022" s="13"/>
      <c r="L3022" s="15">
        <v>0</v>
      </c>
    </row>
    <row r="3023" spans="1:12">
      <c r="A3023" s="12"/>
      <c r="E3023" s="14"/>
      <c r="F3023" s="14"/>
      <c r="G3023" s="13">
        <v>0</v>
      </c>
      <c r="H3023" s="13">
        <v>0</v>
      </c>
      <c r="I3023" s="13"/>
      <c r="J3023" s="13"/>
      <c r="K3023" s="13"/>
      <c r="L3023" s="15">
        <v>0</v>
      </c>
    </row>
    <row r="3024" spans="1:12">
      <c r="A3024" s="12"/>
      <c r="E3024" s="14"/>
      <c r="F3024" s="14"/>
      <c r="G3024" s="13">
        <v>0</v>
      </c>
      <c r="H3024" s="13">
        <v>0</v>
      </c>
      <c r="I3024" s="13"/>
      <c r="J3024" s="13"/>
      <c r="K3024" s="13"/>
      <c r="L3024" s="15">
        <v>0</v>
      </c>
    </row>
    <row r="3025" spans="1:12">
      <c r="A3025" s="12"/>
      <c r="E3025" s="14"/>
      <c r="F3025" s="14"/>
      <c r="G3025" s="13">
        <v>0</v>
      </c>
      <c r="H3025" s="13">
        <v>0</v>
      </c>
      <c r="I3025" s="13"/>
      <c r="J3025" s="13"/>
      <c r="K3025" s="13"/>
      <c r="L3025" s="15">
        <v>0</v>
      </c>
    </row>
    <row r="3026" spans="1:12">
      <c r="A3026" s="12"/>
      <c r="E3026" s="14"/>
      <c r="F3026" s="14"/>
      <c r="G3026" s="13">
        <v>0</v>
      </c>
      <c r="H3026" s="13">
        <v>0</v>
      </c>
      <c r="I3026" s="13"/>
      <c r="J3026" s="13"/>
      <c r="K3026" s="13"/>
      <c r="L3026" s="15">
        <v>0</v>
      </c>
    </row>
    <row r="3027" spans="1:12">
      <c r="A3027" s="12"/>
      <c r="E3027" s="14"/>
      <c r="F3027" s="14"/>
      <c r="G3027" s="13">
        <v>0</v>
      </c>
      <c r="H3027" s="13">
        <v>0</v>
      </c>
      <c r="I3027" s="13"/>
      <c r="J3027" s="13"/>
      <c r="K3027" s="13"/>
      <c r="L3027" s="15">
        <v>0</v>
      </c>
    </row>
    <row r="3028" spans="1:12">
      <c r="A3028" s="12"/>
      <c r="E3028" s="14"/>
      <c r="F3028" s="14"/>
      <c r="G3028" s="13">
        <v>0</v>
      </c>
      <c r="H3028" s="13">
        <v>0</v>
      </c>
      <c r="I3028" s="13"/>
      <c r="J3028" s="13"/>
      <c r="K3028" s="13"/>
      <c r="L3028" s="15">
        <v>0</v>
      </c>
    </row>
    <row r="3029" spans="1:12">
      <c r="A3029" s="12"/>
      <c r="E3029" s="14"/>
      <c r="F3029" s="14"/>
      <c r="G3029" s="13">
        <v>0</v>
      </c>
      <c r="H3029" s="13">
        <v>0</v>
      </c>
      <c r="I3029" s="13"/>
      <c r="J3029" s="13"/>
      <c r="K3029" s="13"/>
      <c r="L3029" s="15">
        <v>0</v>
      </c>
    </row>
    <row r="3030" spans="1:12">
      <c r="A3030" s="12"/>
      <c r="E3030" s="14"/>
      <c r="F3030" s="14"/>
      <c r="G3030" s="13">
        <v>0</v>
      </c>
      <c r="H3030" s="13">
        <v>0</v>
      </c>
      <c r="I3030" s="13"/>
      <c r="J3030" s="13"/>
      <c r="K3030" s="13"/>
      <c r="L3030" s="15">
        <v>0</v>
      </c>
    </row>
    <row r="3031" spans="1:12">
      <c r="A3031" s="12"/>
      <c r="E3031" s="14"/>
      <c r="F3031" s="14"/>
      <c r="G3031" s="13">
        <v>0</v>
      </c>
      <c r="H3031" s="13">
        <v>0</v>
      </c>
      <c r="I3031" s="13"/>
      <c r="J3031" s="13"/>
      <c r="K3031" s="13"/>
      <c r="L3031" s="15">
        <v>0</v>
      </c>
    </row>
    <row r="3032" spans="1:12">
      <c r="A3032" s="12"/>
      <c r="E3032" s="14"/>
      <c r="F3032" s="14"/>
      <c r="G3032" s="13">
        <v>0</v>
      </c>
      <c r="H3032" s="13">
        <v>0</v>
      </c>
      <c r="I3032" s="13"/>
      <c r="J3032" s="13"/>
      <c r="K3032" s="13"/>
      <c r="L3032" s="15">
        <v>0</v>
      </c>
    </row>
    <row r="3033" spans="1:12">
      <c r="A3033" s="12"/>
      <c r="E3033" s="14"/>
      <c r="F3033" s="14"/>
      <c r="G3033" s="13">
        <v>0</v>
      </c>
      <c r="H3033" s="13">
        <v>0</v>
      </c>
      <c r="I3033" s="13"/>
      <c r="J3033" s="13"/>
      <c r="K3033" s="13"/>
      <c r="L3033" s="15">
        <v>0</v>
      </c>
    </row>
    <row r="3034" spans="1:12">
      <c r="A3034" s="12"/>
      <c r="E3034" s="14"/>
      <c r="F3034" s="14"/>
      <c r="G3034" s="13">
        <v>0</v>
      </c>
      <c r="H3034" s="13">
        <v>0</v>
      </c>
      <c r="I3034" s="13"/>
      <c r="J3034" s="13"/>
      <c r="K3034" s="13"/>
      <c r="L3034" s="15">
        <v>0</v>
      </c>
    </row>
    <row r="3035" spans="1:12">
      <c r="A3035" s="12"/>
      <c r="E3035" s="14"/>
      <c r="F3035" s="14"/>
      <c r="G3035" s="13">
        <v>0</v>
      </c>
      <c r="H3035" s="13">
        <v>0</v>
      </c>
      <c r="I3035" s="13"/>
      <c r="J3035" s="13"/>
      <c r="K3035" s="13"/>
      <c r="L3035" s="15">
        <v>0</v>
      </c>
    </row>
    <row r="3036" spans="1:12">
      <c r="A3036" s="12"/>
      <c r="E3036" s="14"/>
      <c r="F3036" s="14"/>
      <c r="G3036" s="13">
        <v>0</v>
      </c>
      <c r="H3036" s="13">
        <v>0</v>
      </c>
      <c r="I3036" s="13"/>
      <c r="J3036" s="13"/>
      <c r="K3036" s="13"/>
      <c r="L3036" s="15">
        <v>0</v>
      </c>
    </row>
    <row r="3037" spans="1:12">
      <c r="A3037" s="12"/>
      <c r="E3037" s="14"/>
      <c r="F3037" s="14"/>
      <c r="G3037" s="13">
        <v>0</v>
      </c>
      <c r="H3037" s="13">
        <v>0</v>
      </c>
      <c r="I3037" s="13"/>
      <c r="J3037" s="13"/>
      <c r="K3037" s="13"/>
      <c r="L3037" s="15">
        <v>0</v>
      </c>
    </row>
    <row r="3038" spans="1:12">
      <c r="A3038" s="12"/>
      <c r="E3038" s="14"/>
      <c r="F3038" s="14"/>
      <c r="G3038" s="13">
        <v>0</v>
      </c>
      <c r="H3038" s="13">
        <v>0</v>
      </c>
      <c r="I3038" s="13"/>
      <c r="J3038" s="13"/>
      <c r="K3038" s="13"/>
      <c r="L3038" s="15">
        <v>0</v>
      </c>
    </row>
    <row r="3039" spans="1:12">
      <c r="A3039" s="12"/>
      <c r="E3039" s="14"/>
      <c r="F3039" s="14"/>
      <c r="G3039" s="13">
        <v>0</v>
      </c>
      <c r="H3039" s="13">
        <v>0</v>
      </c>
      <c r="I3039" s="13"/>
      <c r="J3039" s="13"/>
      <c r="K3039" s="13"/>
      <c r="L3039" s="15">
        <v>0</v>
      </c>
    </row>
    <row r="3040" spans="1:12">
      <c r="A3040" s="12"/>
      <c r="E3040" s="14"/>
      <c r="F3040" s="14"/>
      <c r="G3040" s="13">
        <v>0</v>
      </c>
      <c r="H3040" s="13">
        <v>0</v>
      </c>
      <c r="I3040" s="13"/>
      <c r="J3040" s="13"/>
      <c r="K3040" s="13"/>
      <c r="L3040" s="15">
        <v>0</v>
      </c>
    </row>
    <row r="3041" spans="1:12">
      <c r="A3041" s="12"/>
      <c r="E3041" s="14"/>
      <c r="F3041" s="14"/>
      <c r="G3041" s="13">
        <v>0</v>
      </c>
      <c r="H3041" s="13">
        <v>0</v>
      </c>
      <c r="I3041" s="13"/>
      <c r="J3041" s="13"/>
      <c r="K3041" s="13"/>
      <c r="L3041" s="15">
        <v>0</v>
      </c>
    </row>
    <row r="3042" spans="1:12">
      <c r="A3042" s="12"/>
      <c r="E3042" s="14"/>
      <c r="F3042" s="14"/>
      <c r="G3042" s="13">
        <v>0</v>
      </c>
      <c r="H3042" s="13">
        <v>0</v>
      </c>
      <c r="I3042" s="13"/>
      <c r="J3042" s="13"/>
      <c r="K3042" s="13"/>
      <c r="L3042" s="15">
        <v>0</v>
      </c>
    </row>
    <row r="3043" spans="1:12">
      <c r="A3043" s="12"/>
      <c r="E3043" s="14"/>
      <c r="F3043" s="14"/>
      <c r="G3043" s="13">
        <v>0</v>
      </c>
      <c r="H3043" s="13">
        <v>0</v>
      </c>
      <c r="I3043" s="13"/>
      <c r="J3043" s="13"/>
      <c r="K3043" s="13"/>
      <c r="L3043" s="15">
        <v>0</v>
      </c>
    </row>
    <row r="3044" spans="1:12">
      <c r="A3044" s="12"/>
      <c r="E3044" s="14"/>
      <c r="F3044" s="14"/>
      <c r="G3044" s="13">
        <v>0</v>
      </c>
      <c r="H3044" s="13">
        <v>0</v>
      </c>
      <c r="I3044" s="13"/>
      <c r="J3044" s="13"/>
      <c r="K3044" s="13"/>
      <c r="L3044" s="15">
        <v>0</v>
      </c>
    </row>
    <row r="3045" spans="1:12">
      <c r="A3045" s="12"/>
      <c r="E3045" s="14"/>
      <c r="F3045" s="14"/>
      <c r="G3045" s="13">
        <v>0</v>
      </c>
      <c r="H3045" s="13">
        <v>0</v>
      </c>
      <c r="I3045" s="13"/>
      <c r="J3045" s="13"/>
      <c r="K3045" s="13"/>
      <c r="L3045" s="15">
        <v>0</v>
      </c>
    </row>
    <row r="3046" spans="1:12">
      <c r="A3046" s="12"/>
      <c r="E3046" s="14"/>
      <c r="F3046" s="14"/>
      <c r="G3046" s="13">
        <v>0</v>
      </c>
      <c r="H3046" s="13">
        <v>0</v>
      </c>
      <c r="I3046" s="13"/>
      <c r="J3046" s="13"/>
      <c r="K3046" s="13"/>
      <c r="L3046" s="15">
        <v>0</v>
      </c>
    </row>
    <row r="3047" spans="1:12">
      <c r="A3047" s="12"/>
      <c r="E3047" s="14"/>
      <c r="F3047" s="14"/>
      <c r="G3047" s="13">
        <v>0</v>
      </c>
      <c r="H3047" s="13">
        <v>0</v>
      </c>
      <c r="I3047" s="13"/>
      <c r="J3047" s="13"/>
      <c r="K3047" s="13"/>
      <c r="L3047" s="15">
        <v>0</v>
      </c>
    </row>
    <row r="3048" spans="1:12">
      <c r="A3048" s="12"/>
      <c r="E3048" s="14"/>
      <c r="F3048" s="14"/>
      <c r="G3048" s="13">
        <v>0</v>
      </c>
      <c r="H3048" s="13">
        <v>0</v>
      </c>
      <c r="I3048" s="13"/>
      <c r="J3048" s="13"/>
      <c r="K3048" s="13"/>
      <c r="L3048" s="15">
        <v>0</v>
      </c>
    </row>
    <row r="3049" spans="1:12">
      <c r="A3049" s="12"/>
      <c r="E3049" s="14"/>
      <c r="F3049" s="14"/>
      <c r="G3049" s="13">
        <v>0</v>
      </c>
      <c r="H3049" s="13">
        <v>0</v>
      </c>
      <c r="I3049" s="13"/>
      <c r="J3049" s="13"/>
      <c r="K3049" s="13"/>
      <c r="L3049" s="15">
        <v>0</v>
      </c>
    </row>
    <row r="3050" spans="1:12">
      <c r="A3050" s="12"/>
      <c r="E3050" s="14"/>
      <c r="F3050" s="14"/>
      <c r="G3050" s="13">
        <v>0</v>
      </c>
      <c r="H3050" s="13">
        <v>0</v>
      </c>
      <c r="I3050" s="13"/>
      <c r="J3050" s="13"/>
      <c r="K3050" s="13"/>
      <c r="L3050" s="15">
        <v>0</v>
      </c>
    </row>
    <row r="3051" spans="1:12">
      <c r="A3051" s="12"/>
      <c r="E3051" s="14"/>
      <c r="F3051" s="14"/>
      <c r="G3051" s="13">
        <v>0</v>
      </c>
      <c r="H3051" s="13">
        <v>0</v>
      </c>
      <c r="I3051" s="13"/>
      <c r="J3051" s="13"/>
      <c r="K3051" s="13"/>
      <c r="L3051" s="15">
        <v>0</v>
      </c>
    </row>
    <row r="3052" spans="1:12">
      <c r="A3052" s="12"/>
      <c r="E3052" s="14"/>
      <c r="F3052" s="14"/>
      <c r="G3052" s="13">
        <v>0</v>
      </c>
      <c r="H3052" s="13">
        <v>0</v>
      </c>
      <c r="I3052" s="13"/>
      <c r="J3052" s="13"/>
      <c r="K3052" s="13"/>
      <c r="L3052" s="15">
        <v>0</v>
      </c>
    </row>
    <row r="3053" spans="1:12">
      <c r="A3053" s="12"/>
      <c r="E3053" s="14"/>
      <c r="F3053" s="14"/>
      <c r="G3053" s="13">
        <v>0</v>
      </c>
      <c r="H3053" s="13">
        <v>0</v>
      </c>
      <c r="I3053" s="13"/>
      <c r="J3053" s="13"/>
      <c r="K3053" s="13"/>
      <c r="L3053" s="15">
        <v>0</v>
      </c>
    </row>
    <row r="3054" spans="1:12">
      <c r="A3054" s="12"/>
      <c r="E3054" s="14"/>
      <c r="F3054" s="14"/>
      <c r="G3054" s="13">
        <v>0</v>
      </c>
      <c r="H3054" s="13">
        <v>0</v>
      </c>
      <c r="I3054" s="13"/>
      <c r="J3054" s="13"/>
      <c r="K3054" s="13"/>
      <c r="L3054" s="15">
        <v>0</v>
      </c>
    </row>
    <row r="3055" spans="1:12">
      <c r="A3055" s="12"/>
      <c r="E3055" s="14"/>
      <c r="F3055" s="14"/>
      <c r="G3055" s="13">
        <v>0</v>
      </c>
      <c r="H3055" s="13">
        <v>0</v>
      </c>
      <c r="I3055" s="13"/>
      <c r="J3055" s="13"/>
      <c r="K3055" s="13"/>
      <c r="L3055" s="15">
        <v>0</v>
      </c>
    </row>
    <row r="3056" spans="1:12">
      <c r="A3056" s="12"/>
      <c r="E3056" s="14"/>
      <c r="F3056" s="14"/>
      <c r="G3056" s="13">
        <v>0</v>
      </c>
      <c r="H3056" s="13">
        <v>0</v>
      </c>
      <c r="I3056" s="13"/>
      <c r="J3056" s="13"/>
      <c r="K3056" s="13"/>
      <c r="L3056" s="15">
        <v>0</v>
      </c>
    </row>
    <row r="3057" spans="1:12">
      <c r="A3057" s="12"/>
      <c r="E3057" s="14"/>
      <c r="F3057" s="14"/>
      <c r="G3057" s="13">
        <v>0</v>
      </c>
      <c r="H3057" s="13">
        <v>0</v>
      </c>
      <c r="I3057" s="13"/>
      <c r="J3057" s="13"/>
      <c r="K3057" s="13"/>
      <c r="L3057" s="15">
        <v>0</v>
      </c>
    </row>
    <row r="3058" spans="1:12">
      <c r="A3058" s="12"/>
      <c r="E3058" s="14"/>
      <c r="F3058" s="14"/>
      <c r="G3058" s="13">
        <v>0</v>
      </c>
      <c r="H3058" s="13">
        <v>0</v>
      </c>
      <c r="I3058" s="13"/>
      <c r="J3058" s="13"/>
      <c r="K3058" s="13"/>
      <c r="L3058" s="15">
        <v>0</v>
      </c>
    </row>
    <row r="3059" spans="1:12">
      <c r="A3059" s="12"/>
      <c r="E3059" s="14"/>
      <c r="F3059" s="14"/>
      <c r="G3059" s="13">
        <v>0</v>
      </c>
      <c r="H3059" s="13">
        <v>0</v>
      </c>
      <c r="I3059" s="13"/>
      <c r="J3059" s="13"/>
      <c r="K3059" s="13"/>
      <c r="L3059" s="15">
        <v>0</v>
      </c>
    </row>
    <row r="3060" spans="1:12">
      <c r="A3060" s="12"/>
      <c r="E3060" s="14"/>
      <c r="F3060" s="14"/>
      <c r="G3060" s="13">
        <v>0</v>
      </c>
      <c r="H3060" s="13">
        <v>0</v>
      </c>
      <c r="I3060" s="13"/>
      <c r="J3060" s="13"/>
      <c r="K3060" s="13"/>
      <c r="L3060" s="15">
        <v>0</v>
      </c>
    </row>
    <row r="3061" spans="1:12">
      <c r="A3061" s="12"/>
      <c r="E3061" s="14"/>
      <c r="F3061" s="14"/>
      <c r="G3061" s="13">
        <v>0</v>
      </c>
      <c r="H3061" s="13">
        <v>0</v>
      </c>
      <c r="I3061" s="13"/>
      <c r="J3061" s="13"/>
      <c r="K3061" s="13"/>
      <c r="L3061" s="15">
        <v>0</v>
      </c>
    </row>
    <row r="3062" spans="1:12">
      <c r="A3062" s="12"/>
      <c r="E3062" s="14"/>
      <c r="F3062" s="14"/>
      <c r="G3062" s="13">
        <v>0</v>
      </c>
      <c r="H3062" s="13">
        <v>0</v>
      </c>
      <c r="I3062" s="13"/>
      <c r="J3062" s="13"/>
      <c r="K3062" s="13"/>
      <c r="L3062" s="15">
        <v>0</v>
      </c>
    </row>
    <row r="3063" spans="1:12">
      <c r="A3063" s="12"/>
      <c r="E3063" s="14"/>
      <c r="F3063" s="14"/>
      <c r="G3063" s="13">
        <v>0</v>
      </c>
      <c r="H3063" s="13">
        <v>0</v>
      </c>
      <c r="I3063" s="13"/>
      <c r="J3063" s="13"/>
      <c r="K3063" s="13"/>
      <c r="L3063" s="15">
        <v>0</v>
      </c>
    </row>
    <row r="3064" spans="1:12">
      <c r="A3064" s="12"/>
      <c r="E3064" s="14"/>
      <c r="F3064" s="14"/>
      <c r="G3064" s="13">
        <v>0</v>
      </c>
      <c r="H3064" s="13">
        <v>0</v>
      </c>
      <c r="I3064" s="13"/>
      <c r="J3064" s="13"/>
      <c r="K3064" s="13"/>
      <c r="L3064" s="15">
        <v>0</v>
      </c>
    </row>
    <row r="3065" spans="1:12">
      <c r="A3065" s="12"/>
      <c r="E3065" s="14"/>
      <c r="F3065" s="14"/>
      <c r="G3065" s="13">
        <v>0</v>
      </c>
      <c r="H3065" s="13">
        <v>0</v>
      </c>
      <c r="I3065" s="13"/>
      <c r="J3065" s="13"/>
      <c r="K3065" s="13"/>
      <c r="L3065" s="15">
        <v>0</v>
      </c>
    </row>
    <row r="3066" spans="1:12">
      <c r="A3066" s="12"/>
      <c r="E3066" s="14"/>
      <c r="F3066" s="14"/>
      <c r="G3066" s="13">
        <v>0</v>
      </c>
      <c r="H3066" s="13">
        <v>0</v>
      </c>
      <c r="I3066" s="13"/>
      <c r="J3066" s="13"/>
      <c r="K3066" s="13"/>
      <c r="L3066" s="15">
        <v>0</v>
      </c>
    </row>
    <row r="3067" spans="1:12">
      <c r="A3067" s="12"/>
      <c r="E3067" s="14"/>
      <c r="F3067" s="14"/>
      <c r="G3067" s="13">
        <v>0</v>
      </c>
      <c r="H3067" s="13">
        <v>0</v>
      </c>
      <c r="I3067" s="13"/>
      <c r="J3067" s="13"/>
      <c r="K3067" s="13"/>
      <c r="L3067" s="15">
        <v>0</v>
      </c>
    </row>
    <row r="3068" spans="1:12">
      <c r="A3068" s="12"/>
      <c r="E3068" s="14"/>
      <c r="F3068" s="14"/>
      <c r="G3068" s="13">
        <v>0</v>
      </c>
      <c r="H3068" s="13">
        <v>0</v>
      </c>
      <c r="I3068" s="13"/>
      <c r="J3068" s="13"/>
      <c r="K3068" s="13"/>
      <c r="L3068" s="15">
        <v>0</v>
      </c>
    </row>
    <row r="3069" spans="1:12">
      <c r="A3069" s="12"/>
      <c r="E3069" s="14"/>
      <c r="F3069" s="14"/>
      <c r="G3069" s="13">
        <v>0</v>
      </c>
      <c r="H3069" s="13">
        <v>0</v>
      </c>
      <c r="I3069" s="13"/>
      <c r="J3069" s="13"/>
      <c r="K3069" s="13"/>
      <c r="L3069" s="15">
        <v>0</v>
      </c>
    </row>
    <row r="3070" spans="1:12">
      <c r="A3070" s="12"/>
      <c r="E3070" s="14"/>
      <c r="F3070" s="14"/>
      <c r="G3070" s="13">
        <v>0</v>
      </c>
      <c r="H3070" s="13">
        <v>0</v>
      </c>
      <c r="I3070" s="13"/>
      <c r="J3070" s="13"/>
      <c r="K3070" s="13"/>
      <c r="L3070" s="15">
        <v>0</v>
      </c>
    </row>
    <row r="3071" spans="1:12">
      <c r="A3071" s="12"/>
      <c r="E3071" s="14"/>
      <c r="F3071" s="14"/>
      <c r="G3071" s="13">
        <v>0</v>
      </c>
      <c r="H3071" s="13">
        <v>0</v>
      </c>
      <c r="I3071" s="13"/>
      <c r="J3071" s="13"/>
      <c r="K3071" s="13"/>
      <c r="L3071" s="15">
        <v>0</v>
      </c>
    </row>
    <row r="3072" spans="1:12">
      <c r="A3072" s="12"/>
      <c r="E3072" s="14"/>
      <c r="F3072" s="14"/>
      <c r="G3072" s="13">
        <v>0</v>
      </c>
      <c r="H3072" s="13">
        <v>0</v>
      </c>
      <c r="I3072" s="13"/>
      <c r="J3072" s="13"/>
      <c r="K3072" s="13"/>
      <c r="L3072" s="15">
        <v>0</v>
      </c>
    </row>
    <row r="3073" spans="1:12">
      <c r="A3073" s="12"/>
      <c r="E3073" s="14"/>
      <c r="F3073" s="14"/>
      <c r="G3073" s="13">
        <v>0</v>
      </c>
      <c r="H3073" s="13">
        <v>0</v>
      </c>
      <c r="I3073" s="13"/>
      <c r="J3073" s="13"/>
      <c r="K3073" s="13"/>
      <c r="L3073" s="15">
        <v>0</v>
      </c>
    </row>
    <row r="3074" spans="1:12">
      <c r="A3074" s="12"/>
      <c r="E3074" s="14"/>
      <c r="F3074" s="14"/>
      <c r="G3074" s="13">
        <v>0</v>
      </c>
      <c r="H3074" s="13">
        <v>0</v>
      </c>
      <c r="I3074" s="13"/>
      <c r="J3074" s="13"/>
      <c r="K3074" s="13"/>
      <c r="L3074" s="15">
        <v>0</v>
      </c>
    </row>
    <row r="3075" spans="1:12">
      <c r="A3075" s="12"/>
      <c r="E3075" s="14"/>
      <c r="F3075" s="14"/>
      <c r="G3075" s="13">
        <v>0</v>
      </c>
      <c r="H3075" s="13">
        <v>0</v>
      </c>
      <c r="I3075" s="13"/>
      <c r="J3075" s="13"/>
      <c r="K3075" s="13"/>
      <c r="L3075" s="15">
        <v>0</v>
      </c>
    </row>
    <row r="3076" spans="1:12">
      <c r="A3076" s="12"/>
      <c r="E3076" s="14"/>
      <c r="F3076" s="14"/>
      <c r="G3076" s="13">
        <v>0</v>
      </c>
      <c r="H3076" s="13">
        <v>0</v>
      </c>
      <c r="I3076" s="13"/>
      <c r="J3076" s="13"/>
      <c r="K3076" s="13"/>
      <c r="L3076" s="15">
        <v>0</v>
      </c>
    </row>
    <row r="3077" spans="1:12">
      <c r="A3077" s="12"/>
      <c r="E3077" s="14"/>
      <c r="F3077" s="14"/>
      <c r="G3077" s="13">
        <v>0</v>
      </c>
      <c r="H3077" s="13">
        <v>0</v>
      </c>
      <c r="I3077" s="13"/>
      <c r="J3077" s="13"/>
      <c r="K3077" s="13"/>
      <c r="L3077" s="15">
        <v>0</v>
      </c>
    </row>
    <row r="3078" spans="1:12">
      <c r="A3078" s="12"/>
      <c r="E3078" s="14"/>
      <c r="F3078" s="14"/>
      <c r="G3078" s="13">
        <v>0</v>
      </c>
      <c r="H3078" s="13">
        <v>0</v>
      </c>
      <c r="I3078" s="13"/>
      <c r="J3078" s="13"/>
      <c r="K3078" s="13"/>
      <c r="L3078" s="15">
        <v>0</v>
      </c>
    </row>
    <row r="3079" spans="1:12">
      <c r="A3079" s="12"/>
      <c r="E3079" s="14"/>
      <c r="F3079" s="14"/>
      <c r="G3079" s="13">
        <v>0</v>
      </c>
      <c r="H3079" s="13">
        <v>0</v>
      </c>
      <c r="I3079" s="13"/>
      <c r="J3079" s="13"/>
      <c r="K3079" s="13"/>
      <c r="L3079" s="15">
        <v>0</v>
      </c>
    </row>
    <row r="3080" spans="1:12">
      <c r="A3080" s="12"/>
      <c r="E3080" s="14"/>
      <c r="F3080" s="14"/>
      <c r="G3080" s="13">
        <v>0</v>
      </c>
      <c r="H3080" s="13">
        <v>0</v>
      </c>
      <c r="I3080" s="13"/>
      <c r="J3080" s="13"/>
      <c r="K3080" s="13"/>
      <c r="L3080" s="15">
        <v>0</v>
      </c>
    </row>
    <row r="3081" spans="1:12">
      <c r="A3081" s="12"/>
      <c r="E3081" s="14"/>
      <c r="F3081" s="14"/>
      <c r="G3081" s="13">
        <v>0</v>
      </c>
      <c r="H3081" s="13">
        <v>0</v>
      </c>
      <c r="I3081" s="13"/>
      <c r="J3081" s="13"/>
      <c r="K3081" s="13"/>
      <c r="L3081" s="15">
        <v>0</v>
      </c>
    </row>
    <row r="3082" spans="1:12">
      <c r="A3082" s="12"/>
      <c r="E3082" s="14"/>
      <c r="F3082" s="14"/>
      <c r="G3082" s="13">
        <v>0</v>
      </c>
      <c r="H3082" s="13">
        <v>0</v>
      </c>
      <c r="I3082" s="13"/>
      <c r="J3082" s="13"/>
      <c r="K3082" s="13"/>
      <c r="L3082" s="15">
        <v>0</v>
      </c>
    </row>
    <row r="3083" spans="1:12">
      <c r="A3083" s="12"/>
      <c r="E3083" s="14"/>
      <c r="F3083" s="14"/>
      <c r="G3083" s="13">
        <v>0</v>
      </c>
      <c r="H3083" s="13">
        <v>0</v>
      </c>
      <c r="I3083" s="13"/>
      <c r="J3083" s="13"/>
      <c r="K3083" s="13"/>
      <c r="L3083" s="15">
        <v>0</v>
      </c>
    </row>
    <row r="3084" spans="1:12">
      <c r="A3084" s="12"/>
      <c r="E3084" s="14"/>
      <c r="F3084" s="14"/>
      <c r="G3084" s="13">
        <v>0</v>
      </c>
      <c r="H3084" s="13">
        <v>0</v>
      </c>
      <c r="I3084" s="13"/>
      <c r="J3084" s="13"/>
      <c r="K3084" s="13"/>
      <c r="L3084" s="15">
        <v>0</v>
      </c>
    </row>
    <row r="3085" spans="1:12">
      <c r="A3085" s="12"/>
      <c r="E3085" s="14"/>
      <c r="F3085" s="14"/>
      <c r="G3085" s="13">
        <v>0</v>
      </c>
      <c r="H3085" s="13">
        <v>0</v>
      </c>
      <c r="I3085" s="13"/>
      <c r="J3085" s="13"/>
      <c r="K3085" s="13"/>
      <c r="L3085" s="15">
        <v>0</v>
      </c>
    </row>
    <row r="3086" spans="1:12">
      <c r="A3086" s="12"/>
      <c r="E3086" s="14"/>
      <c r="F3086" s="14"/>
      <c r="G3086" s="13">
        <v>0</v>
      </c>
      <c r="H3086" s="13">
        <v>0</v>
      </c>
      <c r="I3086" s="13"/>
      <c r="J3086" s="13"/>
      <c r="K3086" s="13"/>
      <c r="L3086" s="15">
        <v>0</v>
      </c>
    </row>
    <row r="3087" spans="1:12">
      <c r="A3087" s="12"/>
      <c r="E3087" s="14"/>
      <c r="F3087" s="14"/>
      <c r="G3087" s="13">
        <v>0</v>
      </c>
      <c r="H3087" s="13">
        <v>0</v>
      </c>
      <c r="I3087" s="13"/>
      <c r="J3087" s="13"/>
      <c r="K3087" s="13"/>
      <c r="L3087" s="15">
        <v>0</v>
      </c>
    </row>
    <row r="3088" spans="1:12">
      <c r="A3088" s="12"/>
      <c r="E3088" s="14"/>
      <c r="F3088" s="14"/>
      <c r="G3088" s="13">
        <v>0</v>
      </c>
      <c r="H3088" s="13">
        <v>0</v>
      </c>
      <c r="I3088" s="13"/>
      <c r="J3088" s="13"/>
      <c r="K3088" s="13"/>
      <c r="L3088" s="15">
        <v>0</v>
      </c>
    </row>
    <row r="3089" spans="1:12">
      <c r="A3089" s="12"/>
      <c r="E3089" s="14"/>
      <c r="F3089" s="14"/>
      <c r="G3089" s="13">
        <v>0</v>
      </c>
      <c r="H3089" s="13">
        <v>0</v>
      </c>
      <c r="I3089" s="13"/>
      <c r="J3089" s="13"/>
      <c r="K3089" s="13"/>
      <c r="L3089" s="15">
        <v>0</v>
      </c>
    </row>
    <row r="3090" spans="1:12">
      <c r="A3090" s="12"/>
      <c r="E3090" s="14"/>
      <c r="F3090" s="14"/>
      <c r="G3090" s="13">
        <v>0</v>
      </c>
      <c r="H3090" s="13">
        <v>0</v>
      </c>
      <c r="I3090" s="13"/>
      <c r="J3090" s="13"/>
      <c r="K3090" s="13"/>
      <c r="L3090" s="15">
        <v>0</v>
      </c>
    </row>
    <row r="3091" spans="1:12">
      <c r="A3091" s="12"/>
      <c r="E3091" s="14"/>
      <c r="F3091" s="14"/>
      <c r="G3091" s="13">
        <v>0</v>
      </c>
      <c r="H3091" s="13">
        <v>0</v>
      </c>
      <c r="I3091" s="13"/>
      <c r="J3091" s="13"/>
      <c r="K3091" s="13"/>
      <c r="L3091" s="15">
        <v>0</v>
      </c>
    </row>
    <row r="3092" spans="1:12">
      <c r="A3092" s="12"/>
      <c r="E3092" s="14"/>
      <c r="F3092" s="14"/>
      <c r="G3092" s="13">
        <v>0</v>
      </c>
      <c r="H3092" s="13">
        <v>0</v>
      </c>
      <c r="I3092" s="13"/>
      <c r="J3092" s="13"/>
      <c r="K3092" s="13"/>
      <c r="L3092" s="15">
        <v>0</v>
      </c>
    </row>
    <row r="3093" spans="1:12">
      <c r="A3093" s="12"/>
      <c r="E3093" s="14"/>
      <c r="F3093" s="14"/>
      <c r="G3093" s="13">
        <v>0</v>
      </c>
      <c r="H3093" s="13">
        <v>0</v>
      </c>
      <c r="I3093" s="13"/>
      <c r="J3093" s="13"/>
      <c r="K3093" s="13"/>
      <c r="L3093" s="15">
        <v>0</v>
      </c>
    </row>
    <row r="3094" spans="1:12">
      <c r="A3094" s="12"/>
      <c r="E3094" s="14"/>
      <c r="F3094" s="14"/>
      <c r="G3094" s="13">
        <v>0</v>
      </c>
      <c r="H3094" s="13">
        <v>0</v>
      </c>
      <c r="I3094" s="13"/>
      <c r="J3094" s="13"/>
      <c r="K3094" s="13"/>
      <c r="L3094" s="15">
        <v>0</v>
      </c>
    </row>
    <row r="3095" spans="1:12">
      <c r="A3095" s="12"/>
      <c r="E3095" s="14"/>
      <c r="F3095" s="14"/>
      <c r="G3095" s="13">
        <v>0</v>
      </c>
      <c r="H3095" s="13">
        <v>0</v>
      </c>
      <c r="I3095" s="13"/>
      <c r="J3095" s="13"/>
      <c r="K3095" s="13"/>
      <c r="L3095" s="15">
        <v>0</v>
      </c>
    </row>
    <row r="3096" spans="1:12">
      <c r="A3096" s="12"/>
      <c r="E3096" s="14"/>
      <c r="F3096" s="14"/>
      <c r="G3096" s="13">
        <v>0</v>
      </c>
      <c r="H3096" s="13">
        <v>0</v>
      </c>
      <c r="I3096" s="13"/>
      <c r="J3096" s="13"/>
      <c r="K3096" s="13"/>
      <c r="L3096" s="15">
        <v>0</v>
      </c>
    </row>
    <row r="3097" spans="1:12">
      <c r="A3097" s="12"/>
      <c r="E3097" s="14"/>
      <c r="F3097" s="14"/>
      <c r="G3097" s="13">
        <v>0</v>
      </c>
      <c r="H3097" s="13">
        <v>0</v>
      </c>
      <c r="I3097" s="13"/>
      <c r="J3097" s="13"/>
      <c r="K3097" s="13"/>
      <c r="L3097" s="15">
        <v>0</v>
      </c>
    </row>
    <row r="3098" spans="1:12">
      <c r="A3098" s="12"/>
      <c r="E3098" s="14"/>
      <c r="F3098" s="14"/>
      <c r="G3098" s="13">
        <v>0</v>
      </c>
      <c r="H3098" s="13">
        <v>0</v>
      </c>
      <c r="I3098" s="13"/>
      <c r="J3098" s="13"/>
      <c r="K3098" s="13"/>
      <c r="L3098" s="15">
        <v>0</v>
      </c>
    </row>
    <row r="3099" spans="1:12">
      <c r="A3099" s="12"/>
      <c r="E3099" s="14"/>
      <c r="F3099" s="14"/>
      <c r="G3099" s="13">
        <v>0</v>
      </c>
      <c r="H3099" s="13">
        <v>0</v>
      </c>
      <c r="I3099" s="13"/>
      <c r="J3099" s="13"/>
      <c r="K3099" s="13"/>
      <c r="L3099" s="15">
        <v>0</v>
      </c>
    </row>
    <row r="3100" spans="1:12">
      <c r="A3100" s="12"/>
      <c r="E3100" s="14"/>
      <c r="F3100" s="14"/>
      <c r="G3100" s="13">
        <v>0</v>
      </c>
      <c r="H3100" s="13">
        <v>0</v>
      </c>
      <c r="I3100" s="13"/>
      <c r="J3100" s="13"/>
      <c r="K3100" s="13"/>
      <c r="L3100" s="15">
        <v>0</v>
      </c>
    </row>
    <row r="3101" spans="1:12">
      <c r="A3101" s="12"/>
      <c r="E3101" s="14"/>
      <c r="F3101" s="14"/>
      <c r="G3101" s="13">
        <v>0</v>
      </c>
      <c r="H3101" s="13">
        <v>0</v>
      </c>
      <c r="I3101" s="13"/>
      <c r="J3101" s="13"/>
      <c r="K3101" s="13"/>
      <c r="L3101" s="15">
        <v>0</v>
      </c>
    </row>
    <row r="3102" spans="1:12">
      <c r="A3102" s="12"/>
      <c r="E3102" s="14"/>
      <c r="F3102" s="14"/>
      <c r="G3102" s="13">
        <v>0</v>
      </c>
      <c r="H3102" s="13">
        <v>0</v>
      </c>
      <c r="I3102" s="13"/>
      <c r="J3102" s="13"/>
      <c r="K3102" s="13"/>
      <c r="L3102" s="15">
        <v>0</v>
      </c>
    </row>
    <row r="3103" spans="1:12">
      <c r="A3103" s="12"/>
      <c r="E3103" s="14"/>
      <c r="F3103" s="14"/>
      <c r="G3103" s="13">
        <v>0</v>
      </c>
      <c r="H3103" s="13">
        <v>0</v>
      </c>
      <c r="I3103" s="13"/>
      <c r="J3103" s="13"/>
      <c r="K3103" s="13"/>
      <c r="L3103" s="15">
        <v>0</v>
      </c>
    </row>
    <row r="3104" spans="1:12">
      <c r="A3104" s="12"/>
      <c r="E3104" s="14"/>
      <c r="F3104" s="14"/>
      <c r="G3104" s="13">
        <v>0</v>
      </c>
      <c r="H3104" s="13">
        <v>0</v>
      </c>
      <c r="I3104" s="13"/>
      <c r="J3104" s="13"/>
      <c r="K3104" s="13"/>
      <c r="L3104" s="15">
        <v>0</v>
      </c>
    </row>
    <row r="3105" spans="1:12">
      <c r="A3105" s="12"/>
      <c r="E3105" s="14"/>
      <c r="F3105" s="14"/>
      <c r="G3105" s="13">
        <v>0</v>
      </c>
      <c r="H3105" s="13">
        <v>0</v>
      </c>
      <c r="I3105" s="13"/>
      <c r="J3105" s="13"/>
      <c r="K3105" s="13"/>
      <c r="L3105" s="15">
        <v>0</v>
      </c>
    </row>
    <row r="3106" spans="1:12">
      <c r="A3106" s="12"/>
      <c r="E3106" s="14"/>
      <c r="F3106" s="14"/>
      <c r="G3106" s="13">
        <v>0</v>
      </c>
      <c r="H3106" s="13">
        <v>0</v>
      </c>
      <c r="I3106" s="13"/>
      <c r="J3106" s="13"/>
      <c r="K3106" s="13"/>
      <c r="L3106" s="15">
        <v>0</v>
      </c>
    </row>
    <row r="3107" spans="1:12">
      <c r="A3107" s="12"/>
      <c r="E3107" s="14"/>
      <c r="F3107" s="14"/>
      <c r="G3107" s="13">
        <v>0</v>
      </c>
      <c r="H3107" s="13">
        <v>0</v>
      </c>
      <c r="I3107" s="13"/>
      <c r="J3107" s="13"/>
      <c r="K3107" s="13"/>
      <c r="L3107" s="15">
        <v>0</v>
      </c>
    </row>
    <row r="3108" spans="1:12">
      <c r="A3108" s="12"/>
      <c r="E3108" s="14"/>
      <c r="F3108" s="14"/>
      <c r="G3108" s="13">
        <v>0</v>
      </c>
      <c r="H3108" s="13">
        <v>0</v>
      </c>
      <c r="I3108" s="13"/>
      <c r="J3108" s="13"/>
      <c r="K3108" s="13"/>
      <c r="L3108" s="15">
        <v>0</v>
      </c>
    </row>
    <row r="3109" spans="1:12">
      <c r="A3109" s="12"/>
      <c r="E3109" s="14"/>
      <c r="F3109" s="14"/>
      <c r="G3109" s="13">
        <v>0</v>
      </c>
      <c r="H3109" s="13">
        <v>0</v>
      </c>
      <c r="I3109" s="13"/>
      <c r="J3109" s="13"/>
      <c r="K3109" s="13"/>
      <c r="L3109" s="15">
        <v>0</v>
      </c>
    </row>
    <row r="3110" spans="1:12">
      <c r="A3110" s="12"/>
      <c r="E3110" s="14"/>
      <c r="F3110" s="14"/>
      <c r="G3110" s="13">
        <v>0</v>
      </c>
      <c r="H3110" s="13">
        <v>0</v>
      </c>
      <c r="I3110" s="13"/>
      <c r="J3110" s="13"/>
      <c r="K3110" s="13"/>
      <c r="L3110" s="15">
        <v>0</v>
      </c>
    </row>
    <row r="3111" spans="1:12">
      <c r="A3111" s="12"/>
      <c r="E3111" s="14"/>
      <c r="F3111" s="14"/>
      <c r="G3111" s="13">
        <v>0</v>
      </c>
      <c r="H3111" s="13">
        <v>0</v>
      </c>
      <c r="I3111" s="13"/>
      <c r="J3111" s="13"/>
      <c r="K3111" s="13"/>
      <c r="L3111" s="15">
        <v>0</v>
      </c>
    </row>
    <row r="3112" spans="1:12">
      <c r="A3112" s="12"/>
      <c r="E3112" s="14"/>
      <c r="F3112" s="14"/>
      <c r="G3112" s="13">
        <v>0</v>
      </c>
      <c r="H3112" s="13">
        <v>0</v>
      </c>
      <c r="I3112" s="13"/>
      <c r="J3112" s="13"/>
      <c r="K3112" s="13"/>
      <c r="L3112" s="15">
        <v>0</v>
      </c>
    </row>
    <row r="3113" spans="1:12">
      <c r="A3113" s="12"/>
      <c r="E3113" s="14"/>
      <c r="F3113" s="14"/>
      <c r="G3113" s="13">
        <v>0</v>
      </c>
      <c r="H3113" s="13">
        <v>0</v>
      </c>
      <c r="I3113" s="13"/>
      <c r="J3113" s="13"/>
      <c r="K3113" s="13"/>
      <c r="L3113" s="15">
        <v>0</v>
      </c>
    </row>
    <row r="3114" spans="1:12">
      <c r="A3114" s="12"/>
      <c r="E3114" s="14"/>
      <c r="F3114" s="14"/>
      <c r="G3114" s="13">
        <v>0</v>
      </c>
      <c r="H3114" s="13">
        <v>0</v>
      </c>
      <c r="I3114" s="13"/>
      <c r="J3114" s="13"/>
      <c r="K3114" s="13"/>
      <c r="L3114" s="15">
        <v>0</v>
      </c>
    </row>
    <row r="3115" spans="1:12">
      <c r="A3115" s="12"/>
      <c r="E3115" s="14"/>
      <c r="F3115" s="14"/>
      <c r="G3115" s="13">
        <v>0</v>
      </c>
      <c r="H3115" s="13">
        <v>0</v>
      </c>
      <c r="I3115" s="13"/>
      <c r="J3115" s="13"/>
      <c r="K3115" s="13"/>
      <c r="L3115" s="15">
        <v>0</v>
      </c>
    </row>
    <row r="3116" spans="1:12">
      <c r="A3116" s="12"/>
      <c r="E3116" s="14"/>
      <c r="F3116" s="14"/>
      <c r="G3116" s="13">
        <v>0</v>
      </c>
      <c r="H3116" s="13">
        <v>0</v>
      </c>
      <c r="I3116" s="13"/>
      <c r="J3116" s="13"/>
      <c r="K3116" s="13"/>
      <c r="L3116" s="15">
        <v>0</v>
      </c>
    </row>
    <row r="3117" spans="1:12">
      <c r="A3117" s="12"/>
      <c r="E3117" s="14"/>
      <c r="F3117" s="14"/>
      <c r="G3117" s="13">
        <v>0</v>
      </c>
      <c r="H3117" s="13">
        <v>0</v>
      </c>
      <c r="I3117" s="13"/>
      <c r="J3117" s="13"/>
      <c r="K3117" s="13"/>
      <c r="L3117" s="15">
        <v>0</v>
      </c>
    </row>
    <row r="3118" spans="1:12">
      <c r="A3118" s="12"/>
      <c r="E3118" s="14"/>
      <c r="F3118" s="14"/>
      <c r="G3118" s="13">
        <v>0</v>
      </c>
      <c r="H3118" s="13">
        <v>0</v>
      </c>
      <c r="I3118" s="13"/>
      <c r="J3118" s="13"/>
      <c r="K3118" s="13"/>
      <c r="L3118" s="15">
        <v>0</v>
      </c>
    </row>
    <row r="3119" spans="1:12">
      <c r="A3119" s="12"/>
      <c r="E3119" s="14"/>
      <c r="F3119" s="14"/>
      <c r="G3119" s="13">
        <v>0</v>
      </c>
      <c r="H3119" s="13">
        <v>0</v>
      </c>
      <c r="I3119" s="13"/>
      <c r="J3119" s="13"/>
      <c r="K3119" s="13"/>
      <c r="L3119" s="15">
        <v>0</v>
      </c>
    </row>
    <row r="3120" spans="1:12">
      <c r="A3120" s="12"/>
      <c r="E3120" s="14"/>
      <c r="F3120" s="14"/>
      <c r="G3120" s="13">
        <v>0</v>
      </c>
      <c r="H3120" s="13">
        <v>0</v>
      </c>
      <c r="I3120" s="13"/>
      <c r="J3120" s="13"/>
      <c r="K3120" s="13"/>
      <c r="L3120" s="15">
        <v>0</v>
      </c>
    </row>
    <row r="3121" spans="1:12">
      <c r="A3121" s="12"/>
      <c r="E3121" s="14"/>
      <c r="F3121" s="14"/>
      <c r="G3121" s="13">
        <v>0</v>
      </c>
      <c r="H3121" s="13">
        <v>0</v>
      </c>
      <c r="I3121" s="13"/>
      <c r="J3121" s="13"/>
      <c r="K3121" s="13"/>
      <c r="L3121" s="15">
        <v>0</v>
      </c>
    </row>
    <row r="3122" spans="1:12">
      <c r="A3122" s="12"/>
      <c r="E3122" s="14"/>
      <c r="F3122" s="14"/>
      <c r="G3122" s="13">
        <v>0</v>
      </c>
      <c r="H3122" s="13">
        <v>0</v>
      </c>
      <c r="I3122" s="13"/>
      <c r="J3122" s="13"/>
      <c r="K3122" s="13"/>
      <c r="L3122" s="15">
        <v>0</v>
      </c>
    </row>
    <row r="3123" spans="1:12">
      <c r="A3123" s="12"/>
      <c r="E3123" s="14"/>
      <c r="F3123" s="14"/>
      <c r="G3123" s="13">
        <v>0</v>
      </c>
      <c r="H3123" s="13">
        <v>0</v>
      </c>
      <c r="I3123" s="13"/>
      <c r="J3123" s="13"/>
      <c r="K3123" s="13"/>
      <c r="L3123" s="15">
        <v>0</v>
      </c>
    </row>
    <row r="3124" spans="1:12">
      <c r="A3124" s="12"/>
      <c r="E3124" s="14"/>
      <c r="F3124" s="14"/>
      <c r="G3124" s="13">
        <v>0</v>
      </c>
      <c r="H3124" s="13">
        <v>0</v>
      </c>
      <c r="I3124" s="13"/>
      <c r="J3124" s="13"/>
      <c r="K3124" s="13"/>
      <c r="L3124" s="15">
        <v>0</v>
      </c>
    </row>
    <row r="3125" spans="1:12">
      <c r="A3125" s="12"/>
      <c r="E3125" s="14"/>
      <c r="F3125" s="14"/>
      <c r="G3125" s="13">
        <v>0</v>
      </c>
      <c r="H3125" s="13">
        <v>0</v>
      </c>
      <c r="I3125" s="13"/>
      <c r="J3125" s="13"/>
      <c r="K3125" s="13"/>
      <c r="L3125" s="15">
        <v>0</v>
      </c>
    </row>
    <row r="3126" spans="1:12">
      <c r="A3126" s="12"/>
      <c r="E3126" s="14"/>
      <c r="F3126" s="14"/>
      <c r="G3126" s="13">
        <v>0</v>
      </c>
      <c r="H3126" s="13">
        <v>0</v>
      </c>
      <c r="I3126" s="13"/>
      <c r="J3126" s="13"/>
      <c r="K3126" s="13"/>
      <c r="L3126" s="15">
        <v>0</v>
      </c>
    </row>
    <row r="3127" spans="1:12">
      <c r="A3127" s="12"/>
      <c r="E3127" s="14"/>
      <c r="F3127" s="14"/>
      <c r="G3127" s="13">
        <v>0</v>
      </c>
      <c r="H3127" s="13">
        <v>0</v>
      </c>
      <c r="I3127" s="13"/>
      <c r="J3127" s="13"/>
      <c r="K3127" s="13"/>
      <c r="L3127" s="15">
        <v>0</v>
      </c>
    </row>
    <row r="3128" spans="1:12">
      <c r="A3128" s="12"/>
      <c r="E3128" s="14"/>
      <c r="F3128" s="14"/>
      <c r="G3128" s="13">
        <v>0</v>
      </c>
      <c r="H3128" s="13">
        <v>0</v>
      </c>
      <c r="I3128" s="13"/>
      <c r="J3128" s="13"/>
      <c r="K3128" s="13"/>
      <c r="L3128" s="15">
        <v>0</v>
      </c>
    </row>
    <row r="3129" spans="1:12">
      <c r="A3129" s="12"/>
      <c r="E3129" s="14"/>
      <c r="F3129" s="14"/>
      <c r="G3129" s="13">
        <v>0</v>
      </c>
      <c r="H3129" s="13">
        <v>0</v>
      </c>
      <c r="I3129" s="13"/>
      <c r="J3129" s="13"/>
      <c r="K3129" s="13"/>
      <c r="L3129" s="15">
        <v>0</v>
      </c>
    </row>
    <row r="3130" spans="1:12">
      <c r="A3130" s="12"/>
      <c r="E3130" s="14"/>
      <c r="F3130" s="14"/>
      <c r="G3130" s="13">
        <v>0</v>
      </c>
      <c r="H3130" s="13">
        <v>0</v>
      </c>
      <c r="I3130" s="13"/>
      <c r="J3130" s="13"/>
      <c r="K3130" s="13"/>
      <c r="L3130" s="15">
        <v>0</v>
      </c>
    </row>
    <row r="3131" spans="1:12">
      <c r="A3131" s="12"/>
      <c r="E3131" s="14"/>
      <c r="F3131" s="14"/>
      <c r="G3131" s="13">
        <v>0</v>
      </c>
      <c r="H3131" s="13">
        <v>0</v>
      </c>
      <c r="I3131" s="13"/>
      <c r="J3131" s="13"/>
      <c r="K3131" s="13"/>
      <c r="L3131" s="15">
        <v>0</v>
      </c>
    </row>
    <row r="3132" spans="1:12">
      <c r="A3132" s="12"/>
      <c r="E3132" s="14"/>
      <c r="F3132" s="14"/>
      <c r="G3132" s="13">
        <v>0</v>
      </c>
      <c r="H3132" s="13">
        <v>0</v>
      </c>
      <c r="I3132" s="13"/>
      <c r="J3132" s="13"/>
      <c r="K3132" s="13"/>
      <c r="L3132" s="15">
        <v>0</v>
      </c>
    </row>
    <row r="3133" spans="1:12">
      <c r="A3133" s="12"/>
      <c r="E3133" s="14"/>
      <c r="F3133" s="14"/>
      <c r="G3133" s="13">
        <v>0</v>
      </c>
      <c r="H3133" s="13">
        <v>0</v>
      </c>
      <c r="I3133" s="13"/>
      <c r="J3133" s="13"/>
      <c r="K3133" s="13"/>
      <c r="L3133" s="15">
        <v>0</v>
      </c>
    </row>
    <row r="3134" spans="1:12">
      <c r="A3134" s="12"/>
      <c r="E3134" s="14"/>
      <c r="F3134" s="14"/>
      <c r="G3134" s="13">
        <v>0</v>
      </c>
      <c r="H3134" s="13">
        <v>0</v>
      </c>
      <c r="I3134" s="13"/>
      <c r="J3134" s="13"/>
      <c r="K3134" s="13"/>
      <c r="L3134" s="15">
        <v>0</v>
      </c>
    </row>
    <row r="3135" spans="1:12">
      <c r="A3135" s="12"/>
      <c r="E3135" s="14"/>
      <c r="F3135" s="14"/>
      <c r="G3135" s="13">
        <v>0</v>
      </c>
      <c r="H3135" s="13">
        <v>0</v>
      </c>
      <c r="I3135" s="13"/>
      <c r="J3135" s="13"/>
      <c r="K3135" s="13"/>
      <c r="L3135" s="15">
        <v>0</v>
      </c>
    </row>
    <row r="3136" spans="1:12">
      <c r="A3136" s="12"/>
      <c r="E3136" s="14"/>
      <c r="F3136" s="14"/>
      <c r="G3136" s="13">
        <v>0</v>
      </c>
      <c r="H3136" s="13">
        <v>0</v>
      </c>
      <c r="I3136" s="13"/>
      <c r="J3136" s="13"/>
      <c r="K3136" s="13"/>
      <c r="L3136" s="15">
        <v>0</v>
      </c>
    </row>
    <row r="3137" spans="1:12">
      <c r="A3137" s="12"/>
      <c r="E3137" s="14"/>
      <c r="F3137" s="14"/>
      <c r="G3137" s="13">
        <v>0</v>
      </c>
      <c r="H3137" s="13">
        <v>0</v>
      </c>
      <c r="I3137" s="13"/>
      <c r="J3137" s="13"/>
      <c r="K3137" s="13"/>
      <c r="L3137" s="15">
        <v>0</v>
      </c>
    </row>
    <row r="3138" spans="1:12">
      <c r="A3138" s="12"/>
      <c r="E3138" s="14"/>
      <c r="F3138" s="14"/>
      <c r="G3138" s="13">
        <v>0</v>
      </c>
      <c r="H3138" s="13">
        <v>0</v>
      </c>
      <c r="I3138" s="13"/>
      <c r="J3138" s="13"/>
      <c r="K3138" s="13"/>
      <c r="L3138" s="15">
        <v>0</v>
      </c>
    </row>
    <row r="3139" spans="1:12">
      <c r="A3139" s="12"/>
      <c r="E3139" s="14"/>
      <c r="F3139" s="14"/>
      <c r="G3139" s="13">
        <v>0</v>
      </c>
      <c r="H3139" s="13">
        <v>0</v>
      </c>
      <c r="I3139" s="13"/>
      <c r="J3139" s="13"/>
      <c r="K3139" s="13"/>
      <c r="L3139" s="15">
        <v>0</v>
      </c>
    </row>
    <row r="3140" spans="1:12">
      <c r="A3140" s="12"/>
      <c r="E3140" s="14"/>
      <c r="F3140" s="14"/>
      <c r="G3140" s="13">
        <v>0</v>
      </c>
      <c r="H3140" s="13">
        <v>0</v>
      </c>
      <c r="I3140" s="13"/>
      <c r="J3140" s="13"/>
      <c r="K3140" s="13"/>
      <c r="L3140" s="15">
        <v>0</v>
      </c>
    </row>
    <row r="3141" spans="1:12">
      <c r="A3141" s="12"/>
      <c r="E3141" s="14"/>
      <c r="F3141" s="14"/>
      <c r="G3141" s="13">
        <v>0</v>
      </c>
      <c r="H3141" s="13">
        <v>0</v>
      </c>
      <c r="I3141" s="13"/>
      <c r="J3141" s="13"/>
      <c r="K3141" s="13"/>
      <c r="L3141" s="15">
        <v>0</v>
      </c>
    </row>
    <row r="3142" spans="1:12">
      <c r="A3142" s="12"/>
      <c r="E3142" s="14"/>
      <c r="F3142" s="14"/>
      <c r="G3142" s="13">
        <v>0</v>
      </c>
      <c r="H3142" s="13">
        <v>0</v>
      </c>
      <c r="I3142" s="13"/>
      <c r="J3142" s="13"/>
      <c r="K3142" s="13"/>
      <c r="L3142" s="15">
        <v>0</v>
      </c>
    </row>
    <row r="3143" spans="1:12">
      <c r="A3143" s="12"/>
      <c r="E3143" s="14"/>
      <c r="F3143" s="14"/>
      <c r="G3143" s="13">
        <v>0</v>
      </c>
      <c r="H3143" s="13">
        <v>0</v>
      </c>
      <c r="I3143" s="13"/>
      <c r="J3143" s="13"/>
      <c r="K3143" s="13"/>
      <c r="L3143" s="15">
        <v>0</v>
      </c>
    </row>
    <row r="3144" spans="1:12">
      <c r="A3144" s="12"/>
      <c r="E3144" s="14"/>
      <c r="F3144" s="14"/>
      <c r="G3144" s="13">
        <v>0</v>
      </c>
      <c r="H3144" s="13">
        <v>0</v>
      </c>
      <c r="I3144" s="13"/>
      <c r="J3144" s="13"/>
      <c r="K3144" s="13"/>
      <c r="L3144" s="15">
        <v>0</v>
      </c>
    </row>
    <row r="3145" spans="1:12">
      <c r="A3145" s="12"/>
      <c r="E3145" s="14"/>
      <c r="F3145" s="14"/>
      <c r="G3145" s="13">
        <v>0</v>
      </c>
      <c r="H3145" s="13">
        <v>0</v>
      </c>
      <c r="I3145" s="13"/>
      <c r="J3145" s="13"/>
      <c r="K3145" s="13"/>
      <c r="L3145" s="15">
        <v>0</v>
      </c>
    </row>
    <row r="3146" spans="1:12">
      <c r="A3146" s="12"/>
      <c r="E3146" s="14"/>
      <c r="F3146" s="14"/>
      <c r="G3146" s="13">
        <v>0</v>
      </c>
      <c r="H3146" s="13">
        <v>0</v>
      </c>
      <c r="I3146" s="13"/>
      <c r="J3146" s="13"/>
      <c r="K3146" s="13"/>
      <c r="L3146" s="15">
        <v>0</v>
      </c>
    </row>
    <row r="3147" spans="1:12">
      <c r="A3147" s="12"/>
      <c r="E3147" s="14"/>
      <c r="F3147" s="14"/>
      <c r="G3147" s="13">
        <v>0</v>
      </c>
      <c r="H3147" s="13">
        <v>0</v>
      </c>
      <c r="I3147" s="13"/>
      <c r="J3147" s="13"/>
      <c r="K3147" s="13"/>
      <c r="L3147" s="15">
        <v>0</v>
      </c>
    </row>
    <row r="3148" spans="1:12">
      <c r="A3148" s="12"/>
      <c r="E3148" s="14"/>
      <c r="F3148" s="14"/>
      <c r="G3148" s="13">
        <v>0</v>
      </c>
      <c r="H3148" s="13">
        <v>0</v>
      </c>
      <c r="I3148" s="13"/>
      <c r="J3148" s="13"/>
      <c r="K3148" s="13"/>
      <c r="L3148" s="15">
        <v>0</v>
      </c>
    </row>
    <row r="3149" spans="1:12">
      <c r="A3149" s="12"/>
      <c r="E3149" s="14"/>
      <c r="F3149" s="14"/>
      <c r="G3149" s="13">
        <v>0</v>
      </c>
      <c r="H3149" s="13">
        <v>0</v>
      </c>
      <c r="I3149" s="13"/>
      <c r="J3149" s="13"/>
      <c r="K3149" s="13"/>
      <c r="L3149" s="15">
        <v>0</v>
      </c>
    </row>
    <row r="3150" spans="1:12">
      <c r="A3150" s="12"/>
      <c r="E3150" s="14"/>
      <c r="F3150" s="14"/>
      <c r="G3150" s="13">
        <v>0</v>
      </c>
      <c r="H3150" s="13">
        <v>0</v>
      </c>
      <c r="I3150" s="13"/>
      <c r="J3150" s="13"/>
      <c r="K3150" s="13"/>
      <c r="L3150" s="15">
        <v>0</v>
      </c>
    </row>
    <row r="3151" spans="1:12">
      <c r="A3151" s="12"/>
      <c r="E3151" s="14"/>
      <c r="F3151" s="14"/>
      <c r="G3151" s="13">
        <v>0</v>
      </c>
      <c r="H3151" s="13">
        <v>0</v>
      </c>
      <c r="I3151" s="13"/>
      <c r="J3151" s="13"/>
      <c r="K3151" s="13"/>
      <c r="L3151" s="15">
        <v>0</v>
      </c>
    </row>
    <row r="3152" spans="1:12">
      <c r="A3152" s="12"/>
      <c r="E3152" s="14"/>
      <c r="F3152" s="14"/>
      <c r="G3152" s="13">
        <v>0</v>
      </c>
      <c r="H3152" s="13">
        <v>0</v>
      </c>
      <c r="I3152" s="13"/>
      <c r="J3152" s="13"/>
      <c r="K3152" s="13"/>
      <c r="L3152" s="15">
        <v>0</v>
      </c>
    </row>
    <row r="3153" spans="1:12">
      <c r="A3153" s="12"/>
      <c r="E3153" s="14"/>
      <c r="F3153" s="14"/>
      <c r="G3153" s="13">
        <v>0</v>
      </c>
      <c r="H3153" s="13">
        <v>0</v>
      </c>
      <c r="I3153" s="13"/>
      <c r="J3153" s="13"/>
      <c r="K3153" s="13"/>
      <c r="L3153" s="15">
        <v>0</v>
      </c>
    </row>
    <row r="3154" spans="1:12">
      <c r="A3154" s="12"/>
      <c r="E3154" s="14"/>
      <c r="F3154" s="14"/>
      <c r="G3154" s="13">
        <v>0</v>
      </c>
      <c r="H3154" s="13">
        <v>0</v>
      </c>
      <c r="I3154" s="13"/>
      <c r="J3154" s="13"/>
      <c r="K3154" s="13"/>
      <c r="L3154" s="15">
        <v>0</v>
      </c>
    </row>
    <row r="3155" spans="1:12">
      <c r="A3155" s="12"/>
      <c r="E3155" s="14"/>
      <c r="F3155" s="14"/>
      <c r="G3155" s="13">
        <v>0</v>
      </c>
      <c r="H3155" s="13">
        <v>0</v>
      </c>
      <c r="I3155" s="13"/>
      <c r="J3155" s="13"/>
      <c r="K3155" s="13"/>
      <c r="L3155" s="15">
        <v>0</v>
      </c>
    </row>
    <row r="3156" spans="1:12">
      <c r="A3156" s="12"/>
      <c r="E3156" s="14"/>
      <c r="F3156" s="14"/>
      <c r="G3156" s="13">
        <v>0</v>
      </c>
      <c r="H3156" s="13">
        <v>0</v>
      </c>
      <c r="I3156" s="13"/>
      <c r="J3156" s="13"/>
      <c r="K3156" s="13"/>
      <c r="L3156" s="15">
        <v>0</v>
      </c>
    </row>
    <row r="3157" spans="1:12">
      <c r="A3157" s="12"/>
      <c r="E3157" s="14"/>
      <c r="F3157" s="14"/>
      <c r="G3157" s="13">
        <v>0</v>
      </c>
      <c r="H3157" s="13">
        <v>0</v>
      </c>
      <c r="I3157" s="13"/>
      <c r="J3157" s="13"/>
      <c r="K3157" s="13"/>
      <c r="L3157" s="15">
        <v>0</v>
      </c>
    </row>
    <row r="3158" spans="1:12">
      <c r="A3158" s="12"/>
      <c r="E3158" s="14"/>
      <c r="F3158" s="14"/>
      <c r="G3158" s="13">
        <v>0</v>
      </c>
      <c r="H3158" s="13">
        <v>0</v>
      </c>
      <c r="I3158" s="13"/>
      <c r="J3158" s="13"/>
      <c r="K3158" s="13"/>
      <c r="L3158" s="15">
        <v>0</v>
      </c>
    </row>
    <row r="3159" spans="1:12">
      <c r="A3159" s="12"/>
      <c r="E3159" s="14"/>
      <c r="F3159" s="14"/>
      <c r="G3159" s="13">
        <v>0</v>
      </c>
      <c r="H3159" s="13">
        <v>0</v>
      </c>
      <c r="I3159" s="13"/>
      <c r="J3159" s="13"/>
      <c r="K3159" s="13"/>
      <c r="L3159" s="15">
        <v>0</v>
      </c>
    </row>
    <row r="3160" spans="1:12">
      <c r="A3160" s="12"/>
      <c r="E3160" s="14"/>
      <c r="F3160" s="14"/>
      <c r="G3160" s="13">
        <v>0</v>
      </c>
      <c r="H3160" s="13">
        <v>0</v>
      </c>
      <c r="I3160" s="13"/>
      <c r="J3160" s="13"/>
      <c r="K3160" s="13"/>
      <c r="L3160" s="15">
        <v>0</v>
      </c>
    </row>
    <row r="3161" spans="1:12">
      <c r="A3161" s="12"/>
      <c r="E3161" s="14"/>
      <c r="F3161" s="14"/>
      <c r="G3161" s="13">
        <v>0</v>
      </c>
      <c r="H3161" s="13">
        <v>0</v>
      </c>
      <c r="I3161" s="13"/>
      <c r="J3161" s="13"/>
      <c r="K3161" s="13"/>
      <c r="L3161" s="15">
        <v>0</v>
      </c>
    </row>
    <row r="3162" spans="1:12">
      <c r="A3162" s="12"/>
      <c r="E3162" s="14"/>
      <c r="F3162" s="14"/>
      <c r="G3162" s="13">
        <v>0</v>
      </c>
      <c r="H3162" s="13">
        <v>0</v>
      </c>
      <c r="I3162" s="13"/>
      <c r="J3162" s="13"/>
      <c r="K3162" s="13"/>
      <c r="L3162" s="15">
        <v>0</v>
      </c>
    </row>
    <row r="3163" spans="1:12">
      <c r="A3163" s="12"/>
      <c r="E3163" s="14"/>
      <c r="F3163" s="14"/>
      <c r="G3163" s="13">
        <v>0</v>
      </c>
      <c r="H3163" s="13">
        <v>0</v>
      </c>
      <c r="I3163" s="13"/>
      <c r="J3163" s="13"/>
      <c r="K3163" s="13"/>
      <c r="L3163" s="15">
        <v>0</v>
      </c>
    </row>
    <row r="3164" spans="1:12">
      <c r="A3164" s="12"/>
      <c r="E3164" s="14"/>
      <c r="F3164" s="14"/>
      <c r="G3164" s="13">
        <v>0</v>
      </c>
      <c r="H3164" s="13">
        <v>0</v>
      </c>
      <c r="I3164" s="13"/>
      <c r="J3164" s="13"/>
      <c r="K3164" s="13"/>
      <c r="L3164" s="15">
        <v>0</v>
      </c>
    </row>
    <row r="3165" spans="1:12">
      <c r="A3165" s="12"/>
      <c r="E3165" s="14"/>
      <c r="F3165" s="14"/>
      <c r="G3165" s="13">
        <v>0</v>
      </c>
      <c r="H3165" s="13">
        <v>0</v>
      </c>
      <c r="I3165" s="13"/>
      <c r="J3165" s="13"/>
      <c r="K3165" s="13"/>
      <c r="L3165" s="15">
        <v>0</v>
      </c>
    </row>
    <row r="3166" spans="1:12">
      <c r="A3166" s="12"/>
      <c r="E3166" s="14"/>
      <c r="F3166" s="14"/>
      <c r="G3166" s="13">
        <v>0</v>
      </c>
      <c r="H3166" s="13">
        <v>0</v>
      </c>
      <c r="I3166" s="13"/>
      <c r="J3166" s="13"/>
      <c r="K3166" s="13"/>
      <c r="L3166" s="15">
        <v>0</v>
      </c>
    </row>
    <row r="3167" spans="1:12">
      <c r="A3167" s="12"/>
      <c r="E3167" s="14"/>
      <c r="F3167" s="14"/>
      <c r="G3167" s="13">
        <v>0</v>
      </c>
      <c r="H3167" s="13">
        <v>0</v>
      </c>
      <c r="I3167" s="13"/>
      <c r="J3167" s="13"/>
      <c r="K3167" s="13"/>
      <c r="L3167" s="15">
        <v>0</v>
      </c>
    </row>
    <row r="3168" spans="1:12">
      <c r="A3168" s="12"/>
      <c r="E3168" s="14"/>
      <c r="F3168" s="14"/>
      <c r="G3168" s="13">
        <v>0</v>
      </c>
      <c r="H3168" s="13">
        <v>0</v>
      </c>
      <c r="I3168" s="13"/>
      <c r="J3168" s="13"/>
      <c r="K3168" s="13"/>
      <c r="L3168" s="15">
        <v>0</v>
      </c>
    </row>
    <row r="3169" spans="1:12">
      <c r="A3169" s="12"/>
      <c r="E3169" s="14"/>
      <c r="F3169" s="14"/>
      <c r="G3169" s="13">
        <v>0</v>
      </c>
      <c r="H3169" s="13">
        <v>0</v>
      </c>
      <c r="I3169" s="13"/>
      <c r="J3169" s="13"/>
      <c r="K3169" s="13"/>
      <c r="L3169" s="15">
        <v>0</v>
      </c>
    </row>
    <row r="3170" spans="1:12">
      <c r="A3170" s="12"/>
      <c r="E3170" s="14"/>
      <c r="F3170" s="14"/>
      <c r="G3170" s="13">
        <v>0</v>
      </c>
      <c r="H3170" s="13">
        <v>0</v>
      </c>
      <c r="I3170" s="13"/>
      <c r="J3170" s="13"/>
      <c r="K3170" s="13"/>
      <c r="L3170" s="15">
        <v>0</v>
      </c>
    </row>
    <row r="3171" spans="1:12">
      <c r="A3171" s="12"/>
      <c r="E3171" s="14"/>
      <c r="F3171" s="14"/>
      <c r="G3171" s="13">
        <v>0</v>
      </c>
      <c r="H3171" s="13">
        <v>0</v>
      </c>
      <c r="I3171" s="13"/>
      <c r="J3171" s="13"/>
      <c r="K3171" s="13"/>
      <c r="L3171" s="15">
        <v>0</v>
      </c>
    </row>
    <row r="3172" spans="1:12">
      <c r="A3172" s="12"/>
      <c r="E3172" s="14"/>
      <c r="F3172" s="14"/>
      <c r="G3172" s="13">
        <v>0</v>
      </c>
      <c r="H3172" s="13">
        <v>0</v>
      </c>
      <c r="I3172" s="13"/>
      <c r="J3172" s="13"/>
      <c r="K3172" s="13"/>
      <c r="L3172" s="15">
        <v>0</v>
      </c>
    </row>
    <row r="3173" spans="1:12">
      <c r="A3173" s="12"/>
      <c r="E3173" s="14"/>
      <c r="F3173" s="14"/>
      <c r="G3173" s="13">
        <v>0</v>
      </c>
      <c r="H3173" s="13">
        <v>0</v>
      </c>
      <c r="I3173" s="13"/>
      <c r="J3173" s="13"/>
      <c r="K3173" s="13"/>
      <c r="L3173" s="15">
        <v>0</v>
      </c>
    </row>
    <row r="3174" spans="1:12">
      <c r="A3174" s="12"/>
      <c r="E3174" s="14"/>
      <c r="F3174" s="14"/>
      <c r="G3174" s="13">
        <v>0</v>
      </c>
      <c r="H3174" s="13">
        <v>0</v>
      </c>
      <c r="I3174" s="13"/>
      <c r="J3174" s="13"/>
      <c r="K3174" s="13"/>
      <c r="L3174" s="15">
        <v>0</v>
      </c>
    </row>
    <row r="3175" spans="1:12">
      <c r="A3175" s="12"/>
      <c r="E3175" s="14"/>
      <c r="F3175" s="14"/>
      <c r="G3175" s="13">
        <v>0</v>
      </c>
      <c r="H3175" s="13">
        <v>0</v>
      </c>
      <c r="I3175" s="13"/>
      <c r="J3175" s="13"/>
      <c r="K3175" s="13"/>
      <c r="L3175" s="15">
        <v>0</v>
      </c>
    </row>
    <row r="3176" spans="1:12">
      <c r="A3176" s="12"/>
      <c r="E3176" s="14"/>
      <c r="F3176" s="14"/>
      <c r="G3176" s="13">
        <v>0</v>
      </c>
      <c r="H3176" s="13">
        <v>0</v>
      </c>
      <c r="I3176" s="13"/>
      <c r="J3176" s="13"/>
      <c r="K3176" s="13"/>
      <c r="L3176" s="15">
        <v>0</v>
      </c>
    </row>
    <row r="3177" spans="1:12">
      <c r="A3177" s="12"/>
      <c r="E3177" s="14"/>
      <c r="F3177" s="14"/>
      <c r="G3177" s="13">
        <v>0</v>
      </c>
      <c r="H3177" s="13">
        <v>0</v>
      </c>
      <c r="I3177" s="13"/>
      <c r="J3177" s="13"/>
      <c r="K3177" s="13"/>
      <c r="L3177" s="15">
        <v>0</v>
      </c>
    </row>
    <row r="3178" spans="1:12">
      <c r="A3178" s="12"/>
      <c r="E3178" s="14"/>
      <c r="F3178" s="14"/>
      <c r="G3178" s="13">
        <v>0</v>
      </c>
      <c r="H3178" s="13">
        <v>0</v>
      </c>
      <c r="I3178" s="13"/>
      <c r="J3178" s="13"/>
      <c r="K3178" s="13"/>
      <c r="L3178" s="15">
        <v>0</v>
      </c>
    </row>
    <row r="3179" spans="1:12">
      <c r="A3179" s="12"/>
      <c r="E3179" s="14"/>
      <c r="F3179" s="14"/>
      <c r="G3179" s="13">
        <v>0</v>
      </c>
      <c r="H3179" s="13">
        <v>0</v>
      </c>
      <c r="I3179" s="13"/>
      <c r="J3179" s="13"/>
      <c r="K3179" s="13"/>
      <c r="L3179" s="15">
        <v>0</v>
      </c>
    </row>
    <row r="3180" spans="1:12">
      <c r="A3180" s="12"/>
      <c r="E3180" s="14"/>
      <c r="F3180" s="14"/>
      <c r="G3180" s="13">
        <v>0</v>
      </c>
      <c r="H3180" s="13">
        <v>0</v>
      </c>
      <c r="I3180" s="13"/>
      <c r="J3180" s="13"/>
      <c r="K3180" s="13"/>
      <c r="L3180" s="15">
        <v>0</v>
      </c>
    </row>
    <row r="3181" spans="1:12">
      <c r="A3181" s="12"/>
      <c r="E3181" s="14"/>
      <c r="F3181" s="14"/>
      <c r="G3181" s="13">
        <v>0</v>
      </c>
      <c r="H3181" s="13">
        <v>0</v>
      </c>
      <c r="I3181" s="13"/>
      <c r="J3181" s="13"/>
      <c r="K3181" s="13"/>
      <c r="L3181" s="15">
        <v>0</v>
      </c>
    </row>
    <row r="3182" spans="1:12">
      <c r="A3182" s="12"/>
      <c r="E3182" s="14"/>
      <c r="F3182" s="14"/>
      <c r="G3182" s="13">
        <v>0</v>
      </c>
      <c r="H3182" s="13">
        <v>0</v>
      </c>
      <c r="I3182" s="13"/>
      <c r="J3182" s="13"/>
      <c r="K3182" s="13"/>
      <c r="L3182" s="15">
        <v>0</v>
      </c>
    </row>
    <row r="3183" spans="1:12">
      <c r="A3183" s="12"/>
      <c r="E3183" s="14"/>
      <c r="F3183" s="14"/>
      <c r="G3183" s="13">
        <v>0</v>
      </c>
      <c r="H3183" s="13">
        <v>0</v>
      </c>
      <c r="I3183" s="13"/>
      <c r="J3183" s="13"/>
      <c r="K3183" s="13"/>
      <c r="L3183" s="15">
        <v>0</v>
      </c>
    </row>
    <row r="3184" spans="1:12">
      <c r="A3184" s="12"/>
      <c r="E3184" s="14"/>
      <c r="F3184" s="14"/>
      <c r="G3184" s="13">
        <v>0</v>
      </c>
      <c r="H3184" s="13">
        <v>0</v>
      </c>
      <c r="I3184" s="13"/>
      <c r="J3184" s="13"/>
      <c r="K3184" s="13"/>
      <c r="L3184" s="15">
        <v>0</v>
      </c>
    </row>
    <row r="3185" spans="1:12">
      <c r="A3185" s="12"/>
      <c r="E3185" s="14"/>
      <c r="F3185" s="14"/>
      <c r="G3185" s="13">
        <v>0</v>
      </c>
      <c r="H3185" s="13">
        <v>0</v>
      </c>
      <c r="I3185" s="13"/>
      <c r="J3185" s="13"/>
      <c r="K3185" s="13"/>
      <c r="L3185" s="15">
        <v>0</v>
      </c>
    </row>
    <row r="3186" spans="1:12">
      <c r="A3186" s="12"/>
      <c r="E3186" s="14"/>
      <c r="F3186" s="14"/>
      <c r="G3186" s="13">
        <v>0</v>
      </c>
      <c r="H3186" s="13">
        <v>0</v>
      </c>
      <c r="I3186" s="13"/>
      <c r="J3186" s="13"/>
      <c r="K3186" s="13"/>
      <c r="L3186" s="15">
        <v>0</v>
      </c>
    </row>
    <row r="3187" spans="1:12">
      <c r="A3187" s="12"/>
      <c r="E3187" s="14"/>
      <c r="F3187" s="14"/>
      <c r="G3187" s="13">
        <v>0</v>
      </c>
      <c r="H3187" s="13">
        <v>0</v>
      </c>
      <c r="I3187" s="13"/>
      <c r="J3187" s="13"/>
      <c r="K3187" s="13"/>
      <c r="L3187" s="15">
        <v>0</v>
      </c>
    </row>
    <row r="3188" spans="1:12">
      <c r="A3188" s="12"/>
      <c r="E3188" s="14"/>
      <c r="F3188" s="14"/>
      <c r="G3188" s="13">
        <v>0</v>
      </c>
      <c r="H3188" s="13">
        <v>0</v>
      </c>
      <c r="I3188" s="13"/>
      <c r="J3188" s="13"/>
      <c r="K3188" s="13"/>
      <c r="L3188" s="15">
        <v>0</v>
      </c>
    </row>
    <row r="3189" spans="1:12">
      <c r="A3189" s="12"/>
      <c r="E3189" s="14"/>
      <c r="F3189" s="14"/>
      <c r="G3189" s="13">
        <v>0</v>
      </c>
      <c r="H3189" s="13">
        <v>0</v>
      </c>
      <c r="I3189" s="13"/>
      <c r="J3189" s="13"/>
      <c r="K3189" s="13"/>
      <c r="L3189" s="15">
        <v>0</v>
      </c>
    </row>
    <row r="3190" spans="1:12">
      <c r="A3190" s="12"/>
      <c r="E3190" s="14"/>
      <c r="F3190" s="14"/>
      <c r="G3190" s="13">
        <v>0</v>
      </c>
      <c r="H3190" s="13">
        <v>0</v>
      </c>
      <c r="I3190" s="13"/>
      <c r="J3190" s="13"/>
      <c r="K3190" s="13"/>
      <c r="L3190" s="15">
        <v>0</v>
      </c>
    </row>
    <row r="3191" spans="1:12">
      <c r="A3191" s="12"/>
      <c r="E3191" s="14"/>
      <c r="F3191" s="14"/>
      <c r="G3191" s="13">
        <v>0</v>
      </c>
      <c r="H3191" s="13">
        <v>0</v>
      </c>
      <c r="I3191" s="13"/>
      <c r="J3191" s="13"/>
      <c r="K3191" s="13"/>
      <c r="L3191" s="15">
        <v>0</v>
      </c>
    </row>
    <row r="3192" spans="1:12">
      <c r="A3192" s="12"/>
      <c r="E3192" s="14"/>
      <c r="F3192" s="14"/>
      <c r="G3192" s="13">
        <v>0</v>
      </c>
      <c r="H3192" s="13">
        <v>0</v>
      </c>
      <c r="I3192" s="13"/>
      <c r="J3192" s="13"/>
      <c r="K3192" s="13"/>
      <c r="L3192" s="15">
        <v>0</v>
      </c>
    </row>
    <row r="3193" spans="1:12">
      <c r="A3193" s="12"/>
      <c r="E3193" s="14"/>
      <c r="F3193" s="14"/>
      <c r="G3193" s="13">
        <v>0</v>
      </c>
      <c r="H3193" s="13">
        <v>0</v>
      </c>
      <c r="I3193" s="13"/>
      <c r="J3193" s="13"/>
      <c r="K3193" s="13"/>
      <c r="L3193" s="15">
        <v>0</v>
      </c>
    </row>
    <row r="3194" spans="1:12">
      <c r="A3194" s="12"/>
      <c r="E3194" s="14"/>
      <c r="F3194" s="14"/>
      <c r="G3194" s="13">
        <v>0</v>
      </c>
      <c r="H3194" s="13">
        <v>0</v>
      </c>
      <c r="I3194" s="13"/>
      <c r="J3194" s="13"/>
      <c r="K3194" s="13"/>
      <c r="L3194" s="15">
        <v>0</v>
      </c>
    </row>
    <row r="3195" spans="1:12">
      <c r="A3195" s="12"/>
      <c r="E3195" s="14"/>
      <c r="F3195" s="14"/>
      <c r="G3195" s="13">
        <v>0</v>
      </c>
      <c r="H3195" s="13">
        <v>0</v>
      </c>
      <c r="I3195" s="13"/>
      <c r="J3195" s="13"/>
      <c r="K3195" s="13"/>
      <c r="L3195" s="15">
        <v>0</v>
      </c>
    </row>
    <row r="3196" spans="1:12">
      <c r="A3196" s="12"/>
      <c r="E3196" s="14"/>
      <c r="F3196" s="14"/>
      <c r="G3196" s="13">
        <v>0</v>
      </c>
      <c r="H3196" s="13">
        <v>0</v>
      </c>
      <c r="I3196" s="13"/>
      <c r="J3196" s="13"/>
      <c r="K3196" s="13"/>
      <c r="L3196" s="15">
        <v>0</v>
      </c>
    </row>
    <row r="3197" spans="1:12">
      <c r="A3197" s="12"/>
      <c r="E3197" s="14"/>
      <c r="F3197" s="14"/>
      <c r="G3197" s="13">
        <v>0</v>
      </c>
      <c r="H3197" s="13">
        <v>0</v>
      </c>
      <c r="I3197" s="13"/>
      <c r="J3197" s="13"/>
      <c r="K3197" s="13"/>
      <c r="L3197" s="15">
        <v>0</v>
      </c>
    </row>
    <row r="3198" spans="1:12">
      <c r="A3198" s="12"/>
      <c r="E3198" s="14"/>
      <c r="F3198" s="14"/>
      <c r="G3198" s="13">
        <v>0</v>
      </c>
      <c r="H3198" s="13">
        <v>0</v>
      </c>
      <c r="I3198" s="13"/>
      <c r="J3198" s="13"/>
      <c r="K3198" s="13"/>
      <c r="L3198" s="15">
        <v>0</v>
      </c>
    </row>
    <row r="3199" spans="1:12">
      <c r="A3199" s="12"/>
      <c r="E3199" s="14"/>
      <c r="F3199" s="14"/>
      <c r="G3199" s="13">
        <v>0</v>
      </c>
      <c r="H3199" s="13">
        <v>0</v>
      </c>
      <c r="I3199" s="13"/>
      <c r="J3199" s="13"/>
      <c r="K3199" s="13"/>
      <c r="L3199" s="15">
        <v>0</v>
      </c>
    </row>
    <row r="3200" spans="1:12">
      <c r="A3200" s="12"/>
      <c r="E3200" s="14"/>
      <c r="F3200" s="14"/>
      <c r="G3200" s="13">
        <v>0</v>
      </c>
      <c r="H3200" s="13">
        <v>0</v>
      </c>
      <c r="I3200" s="13"/>
      <c r="J3200" s="13"/>
      <c r="K3200" s="13"/>
      <c r="L3200" s="15">
        <v>0</v>
      </c>
    </row>
    <row r="3201" spans="1:12">
      <c r="A3201" s="12"/>
      <c r="E3201" s="14"/>
      <c r="F3201" s="14"/>
      <c r="G3201" s="13">
        <v>0</v>
      </c>
      <c r="H3201" s="13">
        <v>0</v>
      </c>
      <c r="I3201" s="13"/>
      <c r="J3201" s="13"/>
      <c r="K3201" s="13"/>
      <c r="L3201" s="15">
        <v>0</v>
      </c>
    </row>
    <row r="3202" spans="1:12">
      <c r="A3202" s="12"/>
      <c r="E3202" s="14"/>
      <c r="F3202" s="14"/>
      <c r="G3202" s="13">
        <v>0</v>
      </c>
      <c r="H3202" s="13">
        <v>0</v>
      </c>
      <c r="I3202" s="13"/>
      <c r="J3202" s="13"/>
      <c r="K3202" s="13"/>
      <c r="L3202" s="15">
        <v>0</v>
      </c>
    </row>
    <row r="3203" spans="1:12">
      <c r="A3203" s="12"/>
      <c r="E3203" s="14"/>
      <c r="F3203" s="14"/>
      <c r="G3203" s="13">
        <v>0</v>
      </c>
      <c r="H3203" s="13">
        <v>0</v>
      </c>
      <c r="I3203" s="13"/>
      <c r="J3203" s="13"/>
      <c r="K3203" s="13"/>
      <c r="L3203" s="15">
        <v>0</v>
      </c>
    </row>
    <row r="3204" spans="1:12">
      <c r="A3204" s="12"/>
      <c r="E3204" s="14"/>
      <c r="F3204" s="14"/>
      <c r="G3204" s="13">
        <v>0</v>
      </c>
      <c r="H3204" s="13">
        <v>0</v>
      </c>
      <c r="I3204" s="13"/>
      <c r="J3204" s="13"/>
      <c r="K3204" s="13"/>
      <c r="L3204" s="15">
        <v>0</v>
      </c>
    </row>
    <row r="3205" spans="1:12">
      <c r="A3205" s="12"/>
      <c r="E3205" s="14"/>
      <c r="F3205" s="14"/>
      <c r="G3205" s="13">
        <v>0</v>
      </c>
      <c r="H3205" s="13">
        <v>0</v>
      </c>
      <c r="I3205" s="13"/>
      <c r="J3205" s="13"/>
      <c r="K3205" s="13"/>
      <c r="L3205" s="15">
        <v>0</v>
      </c>
    </row>
    <row r="3206" spans="1:12">
      <c r="A3206" s="12"/>
      <c r="E3206" s="14"/>
      <c r="F3206" s="14"/>
      <c r="G3206" s="13">
        <v>0</v>
      </c>
      <c r="H3206" s="13">
        <v>0</v>
      </c>
      <c r="I3206" s="13"/>
      <c r="J3206" s="13"/>
      <c r="K3206" s="13"/>
      <c r="L3206" s="15">
        <v>0</v>
      </c>
    </row>
    <row r="3207" spans="1:12">
      <c r="A3207" s="12"/>
      <c r="E3207" s="14"/>
      <c r="F3207" s="14"/>
      <c r="G3207" s="13">
        <v>0</v>
      </c>
      <c r="H3207" s="13">
        <v>0</v>
      </c>
      <c r="I3207" s="13"/>
      <c r="J3207" s="13"/>
      <c r="K3207" s="13"/>
      <c r="L3207" s="15">
        <v>0</v>
      </c>
    </row>
    <row r="3208" spans="1:12">
      <c r="A3208" s="12"/>
      <c r="E3208" s="14"/>
      <c r="F3208" s="14"/>
      <c r="G3208" s="13">
        <v>0</v>
      </c>
      <c r="H3208" s="13">
        <v>0</v>
      </c>
      <c r="I3208" s="13"/>
      <c r="J3208" s="13"/>
      <c r="K3208" s="13"/>
      <c r="L3208" s="15">
        <v>0</v>
      </c>
    </row>
    <row r="3209" spans="1:12">
      <c r="A3209" s="12"/>
      <c r="E3209" s="14"/>
      <c r="F3209" s="14"/>
      <c r="G3209" s="13">
        <v>0</v>
      </c>
      <c r="H3209" s="13">
        <v>0</v>
      </c>
      <c r="I3209" s="13"/>
      <c r="J3209" s="13"/>
      <c r="K3209" s="13"/>
      <c r="L3209" s="15">
        <v>0</v>
      </c>
    </row>
    <row r="3210" spans="1:12">
      <c r="A3210" s="12"/>
      <c r="E3210" s="14"/>
      <c r="F3210" s="14"/>
      <c r="G3210" s="13">
        <v>0</v>
      </c>
      <c r="H3210" s="13">
        <v>0</v>
      </c>
      <c r="I3210" s="13"/>
      <c r="J3210" s="13"/>
      <c r="K3210" s="13"/>
      <c r="L3210" s="15">
        <v>0</v>
      </c>
    </row>
    <row r="3211" spans="1:12">
      <c r="A3211" s="12"/>
      <c r="E3211" s="14"/>
      <c r="F3211" s="14"/>
      <c r="G3211" s="13">
        <v>0</v>
      </c>
      <c r="H3211" s="13">
        <v>0</v>
      </c>
      <c r="I3211" s="13"/>
      <c r="J3211" s="13"/>
      <c r="K3211" s="13"/>
      <c r="L3211" s="15">
        <v>0</v>
      </c>
    </row>
    <row r="3212" spans="1:12">
      <c r="A3212" s="12"/>
      <c r="E3212" s="14"/>
      <c r="F3212" s="14"/>
      <c r="G3212" s="13">
        <v>0</v>
      </c>
      <c r="H3212" s="13">
        <v>0</v>
      </c>
      <c r="I3212" s="13"/>
      <c r="J3212" s="13"/>
      <c r="K3212" s="13"/>
      <c r="L3212" s="15">
        <v>0</v>
      </c>
    </row>
    <row r="3213" spans="1:12">
      <c r="A3213" s="12"/>
      <c r="E3213" s="14"/>
      <c r="F3213" s="14"/>
      <c r="G3213" s="13">
        <v>0</v>
      </c>
      <c r="H3213" s="13">
        <v>0</v>
      </c>
      <c r="I3213" s="13"/>
      <c r="J3213" s="13"/>
      <c r="K3213" s="13"/>
      <c r="L3213" s="15">
        <v>0</v>
      </c>
    </row>
    <row r="3214" spans="1:12">
      <c r="A3214" s="12"/>
      <c r="E3214" s="14"/>
      <c r="F3214" s="14"/>
      <c r="G3214" s="13">
        <v>0</v>
      </c>
      <c r="H3214" s="13">
        <v>0</v>
      </c>
      <c r="I3214" s="13"/>
      <c r="J3214" s="13"/>
      <c r="K3214" s="13"/>
      <c r="L3214" s="15">
        <v>0</v>
      </c>
    </row>
    <row r="3215" spans="1:12">
      <c r="A3215" s="12"/>
      <c r="E3215" s="14"/>
      <c r="F3215" s="14"/>
      <c r="G3215" s="13">
        <v>0</v>
      </c>
      <c r="H3215" s="13">
        <v>0</v>
      </c>
      <c r="I3215" s="13"/>
      <c r="J3215" s="13"/>
      <c r="K3215" s="13"/>
      <c r="L3215" s="15">
        <v>0</v>
      </c>
    </row>
    <row r="3216" spans="1:12">
      <c r="A3216" s="12"/>
      <c r="E3216" s="14"/>
      <c r="F3216" s="14"/>
      <c r="G3216" s="13">
        <v>0</v>
      </c>
      <c r="H3216" s="13">
        <v>0</v>
      </c>
      <c r="I3216" s="13"/>
      <c r="J3216" s="13"/>
      <c r="K3216" s="13"/>
      <c r="L3216" s="15">
        <v>0</v>
      </c>
    </row>
    <row r="3217" spans="1:12">
      <c r="A3217" s="12"/>
      <c r="E3217" s="14"/>
      <c r="F3217" s="14"/>
      <c r="G3217" s="13">
        <v>0</v>
      </c>
      <c r="H3217" s="13">
        <v>0</v>
      </c>
      <c r="I3217" s="13"/>
      <c r="J3217" s="13"/>
      <c r="K3217" s="13"/>
      <c r="L3217" s="15">
        <v>0</v>
      </c>
    </row>
    <row r="3218" spans="1:12">
      <c r="A3218" s="12"/>
      <c r="E3218" s="14"/>
      <c r="F3218" s="14"/>
      <c r="G3218" s="13">
        <v>0</v>
      </c>
      <c r="H3218" s="13">
        <v>0</v>
      </c>
      <c r="I3218" s="13"/>
      <c r="J3218" s="13"/>
      <c r="K3218" s="13"/>
      <c r="L3218" s="15">
        <v>0</v>
      </c>
    </row>
    <row r="3219" spans="1:12">
      <c r="A3219" s="12"/>
      <c r="E3219" s="14"/>
      <c r="F3219" s="14"/>
      <c r="G3219" s="13">
        <v>0</v>
      </c>
      <c r="H3219" s="13">
        <v>0</v>
      </c>
      <c r="I3219" s="13"/>
      <c r="J3219" s="13"/>
      <c r="K3219" s="13"/>
      <c r="L3219" s="15">
        <v>0</v>
      </c>
    </row>
    <row r="3220" spans="1:12">
      <c r="A3220" s="12"/>
      <c r="E3220" s="14"/>
      <c r="F3220" s="14"/>
      <c r="G3220" s="13">
        <v>0</v>
      </c>
      <c r="H3220" s="13">
        <v>0</v>
      </c>
      <c r="I3220" s="13"/>
      <c r="J3220" s="13"/>
      <c r="K3220" s="13"/>
      <c r="L3220" s="15">
        <v>0</v>
      </c>
    </row>
    <row r="3221" spans="1:12">
      <c r="A3221" s="12"/>
      <c r="E3221" s="14"/>
      <c r="F3221" s="14"/>
      <c r="G3221" s="13">
        <v>0</v>
      </c>
      <c r="H3221" s="13">
        <v>0</v>
      </c>
      <c r="I3221" s="13"/>
      <c r="J3221" s="13"/>
      <c r="K3221" s="13"/>
      <c r="L3221" s="15">
        <v>0</v>
      </c>
    </row>
    <row r="3222" spans="1:12">
      <c r="A3222" s="12"/>
      <c r="E3222" s="14"/>
      <c r="F3222" s="14"/>
      <c r="G3222" s="13">
        <v>0</v>
      </c>
      <c r="H3222" s="13">
        <v>0</v>
      </c>
      <c r="I3222" s="13"/>
      <c r="J3222" s="13"/>
      <c r="K3222" s="13"/>
      <c r="L3222" s="15">
        <v>0</v>
      </c>
    </row>
    <row r="3223" spans="1:12">
      <c r="A3223" s="12"/>
      <c r="E3223" s="14"/>
      <c r="F3223" s="14"/>
      <c r="G3223" s="13">
        <v>0</v>
      </c>
      <c r="H3223" s="13">
        <v>0</v>
      </c>
      <c r="I3223" s="13"/>
      <c r="J3223" s="13"/>
      <c r="K3223" s="13"/>
      <c r="L3223" s="15">
        <v>0</v>
      </c>
    </row>
    <row r="3224" spans="1:12">
      <c r="A3224" s="12"/>
      <c r="E3224" s="14"/>
      <c r="F3224" s="14"/>
      <c r="G3224" s="13">
        <v>0</v>
      </c>
      <c r="H3224" s="13">
        <v>0</v>
      </c>
      <c r="I3224" s="13"/>
      <c r="J3224" s="13"/>
      <c r="K3224" s="13"/>
      <c r="L3224" s="15">
        <v>0</v>
      </c>
    </row>
    <row r="3225" spans="1:12">
      <c r="A3225" s="12"/>
      <c r="E3225" s="14"/>
      <c r="F3225" s="14"/>
      <c r="G3225" s="13">
        <v>0</v>
      </c>
      <c r="H3225" s="13">
        <v>0</v>
      </c>
      <c r="I3225" s="13"/>
      <c r="J3225" s="13"/>
      <c r="K3225" s="13"/>
      <c r="L3225" s="15">
        <v>0</v>
      </c>
    </row>
    <row r="3226" spans="1:12">
      <c r="A3226" s="12"/>
      <c r="E3226" s="14"/>
      <c r="F3226" s="14"/>
      <c r="G3226" s="13">
        <v>0</v>
      </c>
      <c r="H3226" s="13">
        <v>0</v>
      </c>
      <c r="I3226" s="13"/>
      <c r="J3226" s="13"/>
      <c r="K3226" s="13"/>
      <c r="L3226" s="15">
        <v>0</v>
      </c>
    </row>
    <row r="3227" spans="1:12">
      <c r="A3227" s="12"/>
      <c r="E3227" s="14"/>
      <c r="F3227" s="14"/>
      <c r="G3227" s="13">
        <v>0</v>
      </c>
      <c r="H3227" s="13">
        <v>0</v>
      </c>
      <c r="I3227" s="13"/>
      <c r="J3227" s="13"/>
      <c r="K3227" s="13"/>
      <c r="L3227" s="15">
        <v>0</v>
      </c>
    </row>
    <row r="3228" spans="1:12">
      <c r="A3228" s="12"/>
      <c r="E3228" s="14"/>
      <c r="F3228" s="14"/>
      <c r="G3228" s="13">
        <v>0</v>
      </c>
      <c r="H3228" s="13">
        <v>0</v>
      </c>
      <c r="I3228" s="13"/>
      <c r="J3228" s="13"/>
      <c r="K3228" s="13"/>
      <c r="L3228" s="15">
        <v>0</v>
      </c>
    </row>
    <row r="3229" spans="1:12">
      <c r="A3229" s="12"/>
      <c r="E3229" s="14"/>
      <c r="F3229" s="14"/>
      <c r="G3229" s="13">
        <v>0</v>
      </c>
      <c r="H3229" s="13">
        <v>0</v>
      </c>
      <c r="I3229" s="13"/>
      <c r="J3229" s="13"/>
      <c r="K3229" s="13"/>
      <c r="L3229" s="15">
        <v>0</v>
      </c>
    </row>
    <row r="3230" spans="1:12">
      <c r="A3230" s="12"/>
      <c r="E3230" s="14"/>
      <c r="F3230" s="14"/>
      <c r="G3230" s="13">
        <v>0</v>
      </c>
      <c r="H3230" s="13">
        <v>0</v>
      </c>
      <c r="I3230" s="13"/>
      <c r="J3230" s="13"/>
      <c r="K3230" s="13"/>
      <c r="L3230" s="15">
        <v>0</v>
      </c>
    </row>
    <row r="3231" spans="1:12">
      <c r="A3231" s="12"/>
      <c r="E3231" s="14"/>
      <c r="F3231" s="14"/>
      <c r="G3231" s="13">
        <v>0</v>
      </c>
      <c r="H3231" s="13">
        <v>0</v>
      </c>
      <c r="I3231" s="13"/>
      <c r="J3231" s="13"/>
      <c r="K3231" s="13"/>
      <c r="L3231" s="15">
        <v>0</v>
      </c>
    </row>
    <row r="3232" spans="1:12">
      <c r="A3232" s="12"/>
      <c r="E3232" s="14"/>
      <c r="F3232" s="14"/>
      <c r="G3232" s="13">
        <v>0</v>
      </c>
      <c r="H3232" s="13">
        <v>0</v>
      </c>
      <c r="I3232" s="13"/>
      <c r="J3232" s="13"/>
      <c r="K3232" s="13"/>
      <c r="L3232" s="15">
        <v>0</v>
      </c>
    </row>
    <row r="3233" spans="1:12">
      <c r="A3233" s="12"/>
      <c r="E3233" s="14"/>
      <c r="F3233" s="14"/>
      <c r="G3233" s="13">
        <v>0</v>
      </c>
      <c r="H3233" s="13">
        <v>0</v>
      </c>
      <c r="I3233" s="13"/>
      <c r="J3233" s="13"/>
      <c r="K3233" s="13"/>
      <c r="L3233" s="15">
        <v>0</v>
      </c>
    </row>
    <row r="3234" spans="1:12">
      <c r="A3234" s="12"/>
      <c r="E3234" s="14"/>
      <c r="F3234" s="14"/>
      <c r="G3234" s="13">
        <v>0</v>
      </c>
      <c r="H3234" s="13">
        <v>0</v>
      </c>
      <c r="I3234" s="13"/>
      <c r="J3234" s="13"/>
      <c r="K3234" s="13"/>
      <c r="L3234" s="15">
        <v>0</v>
      </c>
    </row>
    <row r="3235" spans="1:12">
      <c r="A3235" s="12"/>
      <c r="E3235" s="14"/>
      <c r="F3235" s="14"/>
      <c r="G3235" s="13">
        <v>0</v>
      </c>
      <c r="H3235" s="13">
        <v>0</v>
      </c>
      <c r="I3235" s="13"/>
      <c r="J3235" s="13"/>
      <c r="K3235" s="13"/>
      <c r="L3235" s="15">
        <v>0</v>
      </c>
    </row>
    <row r="3236" spans="1:12">
      <c r="A3236" s="12"/>
      <c r="E3236" s="14"/>
      <c r="F3236" s="14"/>
      <c r="G3236" s="13">
        <v>0</v>
      </c>
      <c r="H3236" s="13">
        <v>0</v>
      </c>
      <c r="I3236" s="13"/>
      <c r="J3236" s="13"/>
      <c r="K3236" s="13"/>
      <c r="L3236" s="15">
        <v>0</v>
      </c>
    </row>
    <row r="3237" spans="1:12">
      <c r="A3237" s="12"/>
      <c r="E3237" s="14"/>
      <c r="F3237" s="14"/>
      <c r="G3237" s="13">
        <v>0</v>
      </c>
      <c r="H3237" s="13">
        <v>0</v>
      </c>
      <c r="I3237" s="13"/>
      <c r="J3237" s="13"/>
      <c r="K3237" s="13"/>
      <c r="L3237" s="15">
        <v>0</v>
      </c>
    </row>
    <row r="3238" spans="1:12">
      <c r="A3238" s="12"/>
      <c r="E3238" s="14"/>
      <c r="F3238" s="14"/>
      <c r="G3238" s="13">
        <v>0</v>
      </c>
      <c r="H3238" s="13">
        <v>0</v>
      </c>
      <c r="I3238" s="13"/>
      <c r="J3238" s="13"/>
      <c r="K3238" s="13"/>
      <c r="L3238" s="15">
        <v>0</v>
      </c>
    </row>
    <row r="3239" spans="1:12">
      <c r="A3239" s="12"/>
      <c r="E3239" s="14"/>
      <c r="F3239" s="14"/>
      <c r="G3239" s="13">
        <v>0</v>
      </c>
      <c r="H3239" s="13">
        <v>0</v>
      </c>
      <c r="I3239" s="13"/>
      <c r="J3239" s="13"/>
      <c r="K3239" s="13"/>
      <c r="L3239" s="15">
        <v>0</v>
      </c>
    </row>
    <row r="3240" spans="1:12">
      <c r="A3240" s="12"/>
      <c r="E3240" s="14"/>
      <c r="F3240" s="14"/>
      <c r="G3240" s="13">
        <v>0</v>
      </c>
      <c r="H3240" s="13">
        <v>0</v>
      </c>
      <c r="I3240" s="13"/>
      <c r="J3240" s="13"/>
      <c r="K3240" s="13"/>
      <c r="L3240" s="15">
        <v>0</v>
      </c>
    </row>
    <row r="3241" spans="1:12">
      <c r="A3241" s="12"/>
      <c r="E3241" s="14"/>
      <c r="F3241" s="14"/>
      <c r="G3241" s="13">
        <v>0</v>
      </c>
      <c r="H3241" s="13">
        <v>0</v>
      </c>
      <c r="I3241" s="13"/>
      <c r="J3241" s="13"/>
      <c r="K3241" s="13"/>
      <c r="L3241" s="15">
        <v>0</v>
      </c>
    </row>
    <row r="3242" spans="1:12">
      <c r="A3242" s="12"/>
      <c r="E3242" s="14"/>
      <c r="F3242" s="14"/>
      <c r="G3242" s="13">
        <v>0</v>
      </c>
      <c r="H3242" s="13">
        <v>0</v>
      </c>
      <c r="I3242" s="13"/>
      <c r="J3242" s="13"/>
      <c r="K3242" s="13"/>
      <c r="L3242" s="15">
        <v>0</v>
      </c>
    </row>
    <row r="3243" spans="1:12">
      <c r="A3243" s="12"/>
      <c r="E3243" s="14"/>
      <c r="F3243" s="14"/>
      <c r="G3243" s="13">
        <v>0</v>
      </c>
      <c r="H3243" s="13">
        <v>0</v>
      </c>
      <c r="I3243" s="13"/>
      <c r="J3243" s="13"/>
      <c r="K3243" s="13"/>
      <c r="L3243" s="15">
        <v>0</v>
      </c>
    </row>
    <row r="3244" spans="1:12">
      <c r="A3244" s="12"/>
      <c r="E3244" s="14"/>
      <c r="F3244" s="14"/>
      <c r="G3244" s="13">
        <v>0</v>
      </c>
      <c r="H3244" s="13">
        <v>0</v>
      </c>
      <c r="I3244" s="13"/>
      <c r="J3244" s="13"/>
      <c r="K3244" s="13"/>
      <c r="L3244" s="15">
        <v>0</v>
      </c>
    </row>
    <row r="3245" spans="1:12">
      <c r="A3245" s="12"/>
      <c r="E3245" s="14"/>
      <c r="F3245" s="14"/>
      <c r="G3245" s="13">
        <v>0</v>
      </c>
      <c r="H3245" s="13">
        <v>0</v>
      </c>
      <c r="I3245" s="13"/>
      <c r="J3245" s="13"/>
      <c r="K3245" s="13"/>
      <c r="L3245" s="15">
        <v>0</v>
      </c>
    </row>
    <row r="3246" spans="1:12">
      <c r="A3246" s="12"/>
      <c r="E3246" s="14"/>
      <c r="F3246" s="14"/>
      <c r="G3246" s="13">
        <v>0</v>
      </c>
      <c r="H3246" s="13">
        <v>0</v>
      </c>
      <c r="I3246" s="13"/>
      <c r="J3246" s="13"/>
      <c r="K3246" s="13"/>
      <c r="L3246" s="15">
        <v>0</v>
      </c>
    </row>
    <row r="3247" spans="1:12">
      <c r="A3247" s="12"/>
      <c r="E3247" s="14"/>
      <c r="F3247" s="14"/>
      <c r="G3247" s="13">
        <v>0</v>
      </c>
      <c r="H3247" s="13">
        <v>0</v>
      </c>
      <c r="I3247" s="13"/>
      <c r="J3247" s="13"/>
      <c r="K3247" s="13"/>
      <c r="L3247" s="15">
        <v>0</v>
      </c>
    </row>
    <row r="3248" spans="1:12">
      <c r="A3248" s="12"/>
      <c r="E3248" s="14"/>
      <c r="F3248" s="14"/>
      <c r="G3248" s="13">
        <v>0</v>
      </c>
      <c r="H3248" s="13">
        <v>0</v>
      </c>
      <c r="I3248" s="13"/>
      <c r="J3248" s="13"/>
      <c r="K3248" s="13"/>
      <c r="L3248" s="15">
        <v>0</v>
      </c>
    </row>
    <row r="3249" spans="1:12">
      <c r="A3249" s="12"/>
      <c r="E3249" s="14"/>
      <c r="F3249" s="14"/>
      <c r="G3249" s="13">
        <v>0</v>
      </c>
      <c r="H3249" s="13">
        <v>0</v>
      </c>
      <c r="I3249" s="13"/>
      <c r="J3249" s="13"/>
      <c r="K3249" s="13"/>
      <c r="L3249" s="15">
        <v>0</v>
      </c>
    </row>
    <row r="3250" spans="1:12">
      <c r="A3250" s="12"/>
      <c r="E3250" s="14"/>
      <c r="F3250" s="14"/>
      <c r="G3250" s="13">
        <v>0</v>
      </c>
      <c r="H3250" s="13">
        <v>0</v>
      </c>
      <c r="I3250" s="13"/>
      <c r="J3250" s="13"/>
      <c r="K3250" s="13"/>
      <c r="L3250" s="15">
        <v>0</v>
      </c>
    </row>
    <row r="3251" spans="1:12">
      <c r="A3251" s="12"/>
      <c r="E3251" s="14"/>
      <c r="F3251" s="14"/>
      <c r="G3251" s="13">
        <v>0</v>
      </c>
      <c r="H3251" s="13">
        <v>0</v>
      </c>
      <c r="I3251" s="13"/>
      <c r="J3251" s="13"/>
      <c r="K3251" s="13"/>
      <c r="L3251" s="15">
        <v>0</v>
      </c>
    </row>
    <row r="3252" spans="1:12">
      <c r="A3252" s="12"/>
      <c r="E3252" s="14"/>
      <c r="F3252" s="14"/>
      <c r="G3252" s="13">
        <v>0</v>
      </c>
      <c r="H3252" s="13">
        <v>0</v>
      </c>
      <c r="I3252" s="13"/>
      <c r="J3252" s="13"/>
      <c r="K3252" s="13"/>
      <c r="L3252" s="15">
        <v>0</v>
      </c>
    </row>
    <row r="3253" spans="1:12">
      <c r="A3253" s="12"/>
      <c r="E3253" s="14"/>
      <c r="F3253" s="14"/>
      <c r="G3253" s="13">
        <v>0</v>
      </c>
      <c r="H3253" s="13">
        <v>0</v>
      </c>
      <c r="I3253" s="13"/>
      <c r="J3253" s="13"/>
      <c r="K3253" s="13"/>
      <c r="L3253" s="15">
        <v>0</v>
      </c>
    </row>
    <row r="3254" spans="1:12">
      <c r="A3254" s="12"/>
      <c r="E3254" s="14"/>
      <c r="F3254" s="14"/>
      <c r="G3254" s="13">
        <v>0</v>
      </c>
      <c r="H3254" s="13">
        <v>0</v>
      </c>
      <c r="I3254" s="13"/>
      <c r="J3254" s="13"/>
      <c r="K3254" s="13"/>
      <c r="L3254" s="15">
        <v>0</v>
      </c>
    </row>
    <row r="3255" spans="1:12">
      <c r="A3255" s="12"/>
      <c r="E3255" s="14"/>
      <c r="F3255" s="14"/>
      <c r="G3255" s="13">
        <v>0</v>
      </c>
      <c r="H3255" s="13">
        <v>0</v>
      </c>
      <c r="I3255" s="13"/>
      <c r="J3255" s="13"/>
      <c r="K3255" s="13"/>
      <c r="L3255" s="15">
        <v>0</v>
      </c>
    </row>
    <row r="3256" spans="1:12">
      <c r="A3256" s="12"/>
      <c r="E3256" s="14"/>
      <c r="F3256" s="14"/>
      <c r="G3256" s="13">
        <v>0</v>
      </c>
      <c r="H3256" s="13">
        <v>0</v>
      </c>
      <c r="I3256" s="13"/>
      <c r="J3256" s="13"/>
      <c r="K3256" s="13"/>
      <c r="L3256" s="15">
        <v>0</v>
      </c>
    </row>
    <row r="3257" spans="1:12">
      <c r="A3257" s="12"/>
      <c r="E3257" s="14"/>
      <c r="F3257" s="14"/>
      <c r="G3257" s="13">
        <v>0</v>
      </c>
      <c r="H3257" s="13">
        <v>0</v>
      </c>
      <c r="I3257" s="13"/>
      <c r="J3257" s="13"/>
      <c r="K3257" s="13"/>
      <c r="L3257" s="15">
        <v>0</v>
      </c>
    </row>
    <row r="3258" spans="1:12">
      <c r="A3258" s="12"/>
      <c r="E3258" s="14"/>
      <c r="F3258" s="14"/>
      <c r="G3258" s="13">
        <v>0</v>
      </c>
      <c r="H3258" s="13">
        <v>0</v>
      </c>
      <c r="I3258" s="13"/>
      <c r="J3258" s="13"/>
      <c r="K3258" s="13"/>
      <c r="L3258" s="15">
        <v>0</v>
      </c>
    </row>
    <row r="3259" spans="1:12">
      <c r="A3259" s="12"/>
      <c r="E3259" s="14"/>
      <c r="F3259" s="14"/>
      <c r="G3259" s="13">
        <v>0</v>
      </c>
      <c r="H3259" s="13">
        <v>0</v>
      </c>
      <c r="I3259" s="13"/>
      <c r="J3259" s="13"/>
      <c r="K3259" s="13"/>
      <c r="L3259" s="15">
        <v>0</v>
      </c>
    </row>
    <row r="3260" spans="1:12">
      <c r="A3260" s="12"/>
      <c r="E3260" s="14"/>
      <c r="F3260" s="14"/>
      <c r="G3260" s="13">
        <v>0</v>
      </c>
      <c r="H3260" s="13">
        <v>0</v>
      </c>
      <c r="I3260" s="13"/>
      <c r="J3260" s="13"/>
      <c r="K3260" s="13"/>
      <c r="L3260" s="15">
        <v>0</v>
      </c>
    </row>
    <row r="3261" spans="1:12">
      <c r="A3261" s="12"/>
      <c r="E3261" s="14"/>
      <c r="F3261" s="14"/>
      <c r="G3261" s="13">
        <v>0</v>
      </c>
      <c r="H3261" s="13">
        <v>0</v>
      </c>
      <c r="I3261" s="13"/>
      <c r="J3261" s="13"/>
      <c r="K3261" s="13"/>
      <c r="L3261" s="15">
        <v>0</v>
      </c>
    </row>
    <row r="3262" spans="1:12">
      <c r="A3262" s="12"/>
      <c r="E3262" s="14"/>
      <c r="F3262" s="14"/>
      <c r="G3262" s="13">
        <v>0</v>
      </c>
      <c r="H3262" s="13">
        <v>0</v>
      </c>
      <c r="I3262" s="13"/>
      <c r="J3262" s="13"/>
      <c r="K3262" s="13"/>
      <c r="L3262" s="15">
        <v>0</v>
      </c>
    </row>
    <row r="3263" spans="1:12">
      <c r="A3263" s="12"/>
      <c r="E3263" s="14"/>
      <c r="F3263" s="14"/>
      <c r="G3263" s="13">
        <v>0</v>
      </c>
      <c r="H3263" s="13">
        <v>0</v>
      </c>
      <c r="I3263" s="13"/>
      <c r="J3263" s="13"/>
      <c r="K3263" s="13"/>
      <c r="L3263" s="15">
        <v>0</v>
      </c>
    </row>
    <row r="3264" spans="1:12">
      <c r="A3264" s="12"/>
      <c r="E3264" s="14"/>
      <c r="F3264" s="14"/>
      <c r="G3264" s="13">
        <v>0</v>
      </c>
      <c r="H3264" s="13">
        <v>0</v>
      </c>
      <c r="I3264" s="13"/>
      <c r="J3264" s="13"/>
      <c r="K3264" s="13"/>
      <c r="L3264" s="15">
        <v>0</v>
      </c>
    </row>
    <row r="3265" spans="1:12">
      <c r="A3265" s="12"/>
      <c r="E3265" s="14"/>
      <c r="F3265" s="14"/>
      <c r="G3265" s="13">
        <v>0</v>
      </c>
      <c r="H3265" s="13">
        <v>0</v>
      </c>
      <c r="I3265" s="13"/>
      <c r="J3265" s="13"/>
      <c r="K3265" s="13"/>
      <c r="L3265" s="15">
        <v>0</v>
      </c>
    </row>
    <row r="3266" spans="1:12">
      <c r="A3266" s="12"/>
      <c r="E3266" s="14"/>
      <c r="F3266" s="14"/>
      <c r="G3266" s="13">
        <v>0</v>
      </c>
      <c r="H3266" s="13">
        <v>0</v>
      </c>
      <c r="I3266" s="13"/>
      <c r="J3266" s="13"/>
      <c r="K3266" s="13"/>
      <c r="L3266" s="15">
        <v>0</v>
      </c>
    </row>
    <row r="3267" spans="1:12">
      <c r="A3267" s="12"/>
      <c r="E3267" s="14"/>
      <c r="F3267" s="14"/>
      <c r="G3267" s="13">
        <v>0</v>
      </c>
      <c r="H3267" s="13">
        <v>0</v>
      </c>
      <c r="I3267" s="13"/>
      <c r="J3267" s="13"/>
      <c r="K3267" s="13"/>
      <c r="L3267" s="15">
        <v>0</v>
      </c>
    </row>
    <row r="3268" spans="1:12">
      <c r="A3268" s="12"/>
      <c r="E3268" s="14"/>
      <c r="F3268" s="14"/>
      <c r="G3268" s="13">
        <v>0</v>
      </c>
      <c r="H3268" s="13">
        <v>0</v>
      </c>
      <c r="I3268" s="13"/>
      <c r="J3268" s="13"/>
      <c r="K3268" s="13"/>
      <c r="L3268" s="15">
        <v>0</v>
      </c>
    </row>
    <row r="3269" spans="1:12">
      <c r="A3269" s="12"/>
      <c r="E3269" s="14"/>
      <c r="F3269" s="14"/>
      <c r="G3269" s="13">
        <v>0</v>
      </c>
      <c r="H3269" s="13">
        <v>0</v>
      </c>
      <c r="I3269" s="13"/>
      <c r="J3269" s="13"/>
      <c r="K3269" s="13"/>
      <c r="L3269" s="15">
        <v>0</v>
      </c>
    </row>
    <row r="3270" spans="1:12">
      <c r="A3270" s="12"/>
      <c r="E3270" s="14"/>
      <c r="F3270" s="14"/>
      <c r="G3270" s="13">
        <v>0</v>
      </c>
      <c r="H3270" s="13">
        <v>0</v>
      </c>
      <c r="I3270" s="13"/>
      <c r="J3270" s="13"/>
      <c r="K3270" s="13"/>
      <c r="L3270" s="15">
        <v>0</v>
      </c>
    </row>
    <row r="3271" spans="1:12">
      <c r="A3271" s="12"/>
      <c r="E3271" s="14"/>
      <c r="F3271" s="14"/>
      <c r="G3271" s="13">
        <v>0</v>
      </c>
      <c r="H3271" s="13">
        <v>0</v>
      </c>
      <c r="I3271" s="13"/>
      <c r="J3271" s="13"/>
      <c r="K3271" s="13"/>
      <c r="L3271" s="15">
        <v>0</v>
      </c>
    </row>
    <row r="3272" spans="1:12">
      <c r="A3272" s="12"/>
      <c r="E3272" s="14"/>
      <c r="F3272" s="14"/>
      <c r="G3272" s="13">
        <v>0</v>
      </c>
      <c r="H3272" s="13">
        <v>0</v>
      </c>
      <c r="I3272" s="13"/>
      <c r="J3272" s="13"/>
      <c r="K3272" s="13"/>
      <c r="L3272" s="15">
        <v>0</v>
      </c>
    </row>
    <row r="3273" spans="1:12">
      <c r="A3273" s="12"/>
      <c r="E3273" s="14"/>
      <c r="F3273" s="14"/>
      <c r="G3273" s="13">
        <v>0</v>
      </c>
      <c r="H3273" s="13">
        <v>0</v>
      </c>
      <c r="I3273" s="13"/>
      <c r="J3273" s="13"/>
      <c r="K3273" s="13"/>
      <c r="L3273" s="15">
        <v>0</v>
      </c>
    </row>
    <row r="3274" spans="1:12">
      <c r="A3274" s="12"/>
      <c r="E3274" s="14"/>
      <c r="F3274" s="14"/>
      <c r="G3274" s="13">
        <v>0</v>
      </c>
      <c r="H3274" s="13">
        <v>0</v>
      </c>
      <c r="I3274" s="13"/>
      <c r="J3274" s="13"/>
      <c r="K3274" s="13"/>
      <c r="L3274" s="15">
        <v>0</v>
      </c>
    </row>
    <row r="3275" spans="1:12">
      <c r="A3275" s="12"/>
      <c r="E3275" s="14"/>
      <c r="F3275" s="14"/>
      <c r="G3275" s="13">
        <v>0</v>
      </c>
      <c r="H3275" s="13">
        <v>0</v>
      </c>
      <c r="I3275" s="13"/>
      <c r="J3275" s="13"/>
      <c r="K3275" s="13"/>
      <c r="L3275" s="15">
        <v>0</v>
      </c>
    </row>
    <row r="3276" spans="1:12">
      <c r="A3276" s="12"/>
      <c r="E3276" s="14"/>
      <c r="F3276" s="14"/>
      <c r="G3276" s="13">
        <v>0</v>
      </c>
      <c r="H3276" s="13">
        <v>0</v>
      </c>
      <c r="I3276" s="13"/>
      <c r="J3276" s="13"/>
      <c r="K3276" s="13"/>
      <c r="L3276" s="15">
        <v>0</v>
      </c>
    </row>
    <row r="3277" spans="1:12">
      <c r="A3277" s="12"/>
      <c r="E3277" s="14"/>
      <c r="F3277" s="14"/>
      <c r="G3277" s="13">
        <v>0</v>
      </c>
      <c r="H3277" s="13">
        <v>0</v>
      </c>
      <c r="I3277" s="13"/>
      <c r="J3277" s="13"/>
      <c r="K3277" s="13"/>
      <c r="L3277" s="15">
        <v>0</v>
      </c>
    </row>
    <row r="3278" spans="1:12">
      <c r="A3278" s="12"/>
      <c r="E3278" s="14"/>
      <c r="F3278" s="14"/>
      <c r="G3278" s="13">
        <v>0</v>
      </c>
      <c r="H3278" s="13">
        <v>0</v>
      </c>
      <c r="I3278" s="13"/>
      <c r="J3278" s="13"/>
      <c r="K3278" s="13"/>
      <c r="L3278" s="15">
        <v>0</v>
      </c>
    </row>
    <row r="3279" spans="1:12">
      <c r="A3279" s="12"/>
      <c r="E3279" s="14"/>
      <c r="F3279" s="14"/>
      <c r="G3279" s="13">
        <v>0</v>
      </c>
      <c r="H3279" s="13">
        <v>0</v>
      </c>
      <c r="I3279" s="13"/>
      <c r="J3279" s="13"/>
      <c r="K3279" s="13"/>
      <c r="L3279" s="15">
        <v>0</v>
      </c>
    </row>
    <row r="3280" spans="1:12">
      <c r="A3280" s="12"/>
      <c r="E3280" s="14"/>
      <c r="F3280" s="14"/>
      <c r="G3280" s="13">
        <v>0</v>
      </c>
      <c r="H3280" s="13">
        <v>0</v>
      </c>
      <c r="I3280" s="13"/>
      <c r="J3280" s="13"/>
      <c r="K3280" s="13"/>
      <c r="L3280" s="15">
        <v>0</v>
      </c>
    </row>
    <row r="3281" spans="1:12">
      <c r="A3281" s="12"/>
      <c r="E3281" s="14"/>
      <c r="F3281" s="14"/>
      <c r="G3281" s="13">
        <v>0</v>
      </c>
      <c r="H3281" s="13">
        <v>0</v>
      </c>
      <c r="I3281" s="13"/>
      <c r="J3281" s="13"/>
      <c r="K3281" s="13"/>
      <c r="L3281" s="15">
        <v>0</v>
      </c>
    </row>
    <row r="3282" spans="1:12">
      <c r="A3282" s="12"/>
      <c r="E3282" s="14"/>
      <c r="F3282" s="14"/>
      <c r="G3282" s="13">
        <v>0</v>
      </c>
      <c r="H3282" s="13">
        <v>0</v>
      </c>
      <c r="I3282" s="13"/>
      <c r="J3282" s="13"/>
      <c r="K3282" s="13"/>
      <c r="L3282" s="15">
        <v>0</v>
      </c>
    </row>
    <row r="3283" spans="1:12">
      <c r="A3283" s="12"/>
      <c r="E3283" s="14"/>
      <c r="F3283" s="14"/>
      <c r="G3283" s="13">
        <v>0</v>
      </c>
      <c r="H3283" s="13">
        <v>0</v>
      </c>
      <c r="I3283" s="13"/>
      <c r="J3283" s="13"/>
      <c r="K3283" s="13"/>
      <c r="L3283" s="15">
        <v>0</v>
      </c>
    </row>
    <row r="3284" spans="1:12">
      <c r="A3284" s="12"/>
      <c r="E3284" s="14"/>
      <c r="F3284" s="14"/>
      <c r="G3284" s="13">
        <v>0</v>
      </c>
      <c r="H3284" s="13">
        <v>0</v>
      </c>
      <c r="I3284" s="13"/>
      <c r="J3284" s="13"/>
      <c r="K3284" s="13"/>
      <c r="L3284" s="15">
        <v>0</v>
      </c>
    </row>
    <row r="3285" spans="1:12">
      <c r="A3285" s="12"/>
      <c r="E3285" s="14"/>
      <c r="F3285" s="14"/>
      <c r="G3285" s="13">
        <v>0</v>
      </c>
      <c r="H3285" s="13">
        <v>0</v>
      </c>
      <c r="I3285" s="13"/>
      <c r="J3285" s="13"/>
      <c r="K3285" s="13"/>
      <c r="L3285" s="15">
        <v>0</v>
      </c>
    </row>
    <row r="3286" spans="1:12">
      <c r="A3286" s="12"/>
      <c r="E3286" s="14"/>
      <c r="F3286" s="14"/>
      <c r="G3286" s="13">
        <v>0</v>
      </c>
      <c r="H3286" s="13">
        <v>0</v>
      </c>
      <c r="I3286" s="13"/>
      <c r="J3286" s="13"/>
      <c r="K3286" s="13"/>
      <c r="L3286" s="15">
        <v>0</v>
      </c>
    </row>
    <row r="3287" spans="1:12">
      <c r="A3287" s="12"/>
      <c r="E3287" s="14"/>
      <c r="F3287" s="14"/>
      <c r="G3287" s="13">
        <v>0</v>
      </c>
      <c r="H3287" s="13">
        <v>0</v>
      </c>
      <c r="I3287" s="13"/>
      <c r="J3287" s="13"/>
      <c r="K3287" s="13"/>
      <c r="L3287" s="15">
        <v>0</v>
      </c>
    </row>
    <row r="3288" spans="1:12">
      <c r="A3288" s="12"/>
      <c r="E3288" s="14"/>
      <c r="F3288" s="14"/>
      <c r="G3288" s="13">
        <v>0</v>
      </c>
      <c r="H3288" s="13">
        <v>0</v>
      </c>
      <c r="I3288" s="13"/>
      <c r="J3288" s="13"/>
      <c r="K3288" s="13"/>
      <c r="L3288" s="15">
        <v>0</v>
      </c>
    </row>
    <row r="3289" spans="1:12">
      <c r="A3289" s="12"/>
      <c r="E3289" s="14"/>
      <c r="F3289" s="14"/>
      <c r="G3289" s="13">
        <v>0</v>
      </c>
      <c r="H3289" s="13">
        <v>0</v>
      </c>
      <c r="I3289" s="13"/>
      <c r="J3289" s="13"/>
      <c r="K3289" s="13"/>
      <c r="L3289" s="15">
        <v>0</v>
      </c>
    </row>
    <row r="3290" spans="1:12">
      <c r="A3290" s="12"/>
      <c r="E3290" s="14"/>
      <c r="F3290" s="14"/>
      <c r="G3290" s="13">
        <v>0</v>
      </c>
      <c r="H3290" s="13">
        <v>0</v>
      </c>
      <c r="I3290" s="13"/>
      <c r="J3290" s="13"/>
      <c r="K3290" s="13"/>
      <c r="L3290" s="15">
        <v>0</v>
      </c>
    </row>
    <row r="3291" spans="1:12">
      <c r="A3291" s="12"/>
      <c r="E3291" s="14"/>
      <c r="F3291" s="14"/>
      <c r="G3291" s="13">
        <v>0</v>
      </c>
      <c r="H3291" s="13">
        <v>0</v>
      </c>
      <c r="I3291" s="13"/>
      <c r="J3291" s="13"/>
      <c r="K3291" s="13"/>
      <c r="L3291" s="15">
        <v>0</v>
      </c>
    </row>
    <row r="3292" spans="1:12">
      <c r="A3292" s="12"/>
      <c r="E3292" s="14"/>
      <c r="F3292" s="14"/>
      <c r="G3292" s="13">
        <v>0</v>
      </c>
      <c r="H3292" s="13">
        <v>0</v>
      </c>
      <c r="I3292" s="13"/>
      <c r="J3292" s="13"/>
      <c r="K3292" s="13"/>
      <c r="L3292" s="15">
        <v>0</v>
      </c>
    </row>
    <row r="3293" spans="1:12">
      <c r="A3293" s="12"/>
      <c r="E3293" s="14"/>
      <c r="F3293" s="14"/>
      <c r="G3293" s="13">
        <v>0</v>
      </c>
      <c r="H3293" s="13">
        <v>0</v>
      </c>
      <c r="I3293" s="13"/>
      <c r="J3293" s="13"/>
      <c r="K3293" s="13"/>
      <c r="L3293" s="15">
        <v>0</v>
      </c>
    </row>
    <row r="3294" spans="1:12">
      <c r="A3294" s="12"/>
      <c r="E3294" s="14"/>
      <c r="F3294" s="14"/>
      <c r="G3294" s="13">
        <v>0</v>
      </c>
      <c r="H3294" s="13">
        <v>0</v>
      </c>
      <c r="I3294" s="13"/>
      <c r="J3294" s="13"/>
      <c r="K3294" s="13"/>
      <c r="L3294" s="15">
        <v>0</v>
      </c>
    </row>
    <row r="3295" spans="1:12">
      <c r="A3295" s="12"/>
      <c r="E3295" s="14"/>
      <c r="F3295" s="14"/>
      <c r="G3295" s="13">
        <v>0</v>
      </c>
      <c r="H3295" s="13">
        <v>0</v>
      </c>
      <c r="I3295" s="13"/>
      <c r="J3295" s="13"/>
      <c r="K3295" s="13"/>
      <c r="L3295" s="15">
        <v>0</v>
      </c>
    </row>
    <row r="3296" spans="1:12">
      <c r="A3296" s="12"/>
      <c r="E3296" s="14"/>
      <c r="F3296" s="14"/>
      <c r="G3296" s="13">
        <v>0</v>
      </c>
      <c r="H3296" s="13">
        <v>0</v>
      </c>
      <c r="I3296" s="13"/>
      <c r="J3296" s="13"/>
      <c r="K3296" s="13"/>
      <c r="L3296" s="15">
        <v>0</v>
      </c>
    </row>
    <row r="3297" spans="1:12">
      <c r="A3297" s="12"/>
      <c r="E3297" s="14"/>
      <c r="F3297" s="14"/>
      <c r="G3297" s="13">
        <v>0</v>
      </c>
      <c r="H3297" s="13">
        <v>0</v>
      </c>
      <c r="I3297" s="13"/>
      <c r="J3297" s="13"/>
      <c r="K3297" s="13"/>
      <c r="L3297" s="15">
        <v>0</v>
      </c>
    </row>
    <row r="3298" spans="1:12">
      <c r="A3298" s="12"/>
      <c r="E3298" s="14"/>
      <c r="F3298" s="14"/>
      <c r="G3298" s="13">
        <v>0</v>
      </c>
      <c r="H3298" s="13">
        <v>0</v>
      </c>
      <c r="I3298" s="13"/>
      <c r="J3298" s="13"/>
      <c r="K3298" s="13"/>
      <c r="L3298" s="15">
        <v>0</v>
      </c>
    </row>
    <row r="3299" spans="1:12">
      <c r="A3299" s="12"/>
      <c r="E3299" s="14"/>
      <c r="F3299" s="14"/>
      <c r="G3299" s="13">
        <v>0</v>
      </c>
      <c r="H3299" s="13">
        <v>0</v>
      </c>
      <c r="I3299" s="13"/>
      <c r="J3299" s="13"/>
      <c r="K3299" s="13"/>
      <c r="L3299" s="15">
        <v>0</v>
      </c>
    </row>
    <row r="3300" spans="1:12">
      <c r="A3300" s="12"/>
      <c r="E3300" s="14"/>
      <c r="F3300" s="14"/>
      <c r="G3300" s="13">
        <v>0</v>
      </c>
      <c r="H3300" s="13">
        <v>0</v>
      </c>
      <c r="I3300" s="13"/>
      <c r="J3300" s="13"/>
      <c r="K3300" s="13"/>
      <c r="L3300" s="15">
        <v>0</v>
      </c>
    </row>
    <row r="3301" spans="1:12">
      <c r="A3301" s="12"/>
      <c r="E3301" s="14"/>
      <c r="F3301" s="14"/>
      <c r="G3301" s="13">
        <v>0</v>
      </c>
      <c r="H3301" s="13">
        <v>0</v>
      </c>
      <c r="I3301" s="13"/>
      <c r="J3301" s="13"/>
      <c r="K3301" s="13"/>
      <c r="L3301" s="15">
        <v>0</v>
      </c>
    </row>
    <row r="3302" spans="1:12">
      <c r="A3302" s="12"/>
      <c r="E3302" s="14"/>
      <c r="F3302" s="14"/>
      <c r="G3302" s="13">
        <v>0</v>
      </c>
      <c r="H3302" s="13">
        <v>0</v>
      </c>
      <c r="I3302" s="13"/>
      <c r="J3302" s="13"/>
      <c r="K3302" s="13"/>
      <c r="L3302" s="15">
        <v>0</v>
      </c>
    </row>
    <row r="3303" spans="1:12">
      <c r="A3303" s="12"/>
      <c r="E3303" s="14"/>
      <c r="F3303" s="14"/>
      <c r="G3303" s="13">
        <v>0</v>
      </c>
      <c r="H3303" s="13">
        <v>0</v>
      </c>
      <c r="I3303" s="13"/>
      <c r="J3303" s="13"/>
      <c r="K3303" s="13"/>
      <c r="L3303" s="15">
        <v>0</v>
      </c>
    </row>
    <row r="3304" spans="1:12">
      <c r="A3304" s="12"/>
      <c r="E3304" s="14"/>
      <c r="F3304" s="14"/>
      <c r="G3304" s="13">
        <v>0</v>
      </c>
      <c r="H3304" s="13">
        <v>0</v>
      </c>
      <c r="I3304" s="13"/>
      <c r="J3304" s="13"/>
      <c r="K3304" s="13"/>
      <c r="L3304" s="15">
        <v>0</v>
      </c>
    </row>
    <row r="3305" spans="1:12">
      <c r="A3305" s="12"/>
      <c r="E3305" s="14"/>
      <c r="F3305" s="14"/>
      <c r="G3305" s="13">
        <v>0</v>
      </c>
      <c r="H3305" s="13">
        <v>0</v>
      </c>
      <c r="I3305" s="13"/>
      <c r="J3305" s="13"/>
      <c r="K3305" s="13"/>
      <c r="L3305" s="15">
        <v>0</v>
      </c>
    </row>
    <row r="3306" spans="1:12">
      <c r="A3306" s="12"/>
      <c r="E3306" s="14"/>
      <c r="F3306" s="14"/>
      <c r="G3306" s="13">
        <v>0</v>
      </c>
      <c r="H3306" s="13">
        <v>0</v>
      </c>
      <c r="I3306" s="13"/>
      <c r="J3306" s="13"/>
      <c r="K3306" s="13"/>
      <c r="L3306" s="15">
        <v>0</v>
      </c>
    </row>
    <row r="3307" spans="1:12">
      <c r="A3307" s="12"/>
      <c r="E3307" s="14"/>
      <c r="F3307" s="14"/>
      <c r="G3307" s="13">
        <v>0</v>
      </c>
      <c r="H3307" s="13">
        <v>0</v>
      </c>
      <c r="I3307" s="13"/>
      <c r="J3307" s="13"/>
      <c r="K3307" s="13"/>
      <c r="L3307" s="15">
        <v>0</v>
      </c>
    </row>
    <row r="3308" spans="1:12">
      <c r="A3308" s="12"/>
      <c r="E3308" s="14"/>
      <c r="F3308" s="14"/>
      <c r="G3308" s="13">
        <v>0</v>
      </c>
      <c r="H3308" s="13">
        <v>0</v>
      </c>
      <c r="I3308" s="13"/>
      <c r="J3308" s="13"/>
      <c r="K3308" s="13"/>
      <c r="L3308" s="15">
        <v>0</v>
      </c>
    </row>
    <row r="3309" spans="1:12">
      <c r="A3309" s="12"/>
      <c r="E3309" s="14"/>
      <c r="F3309" s="14"/>
      <c r="G3309" s="13">
        <v>0</v>
      </c>
      <c r="H3309" s="13">
        <v>0</v>
      </c>
      <c r="I3309" s="13"/>
      <c r="J3309" s="13"/>
      <c r="K3309" s="13"/>
      <c r="L3309" s="15">
        <v>0</v>
      </c>
    </row>
    <row r="3310" spans="1:12">
      <c r="A3310" s="12"/>
      <c r="E3310" s="14"/>
      <c r="F3310" s="14"/>
      <c r="G3310" s="13">
        <v>0</v>
      </c>
      <c r="H3310" s="13">
        <v>0</v>
      </c>
      <c r="I3310" s="13"/>
      <c r="J3310" s="13"/>
      <c r="K3310" s="13"/>
      <c r="L3310" s="15">
        <v>0</v>
      </c>
    </row>
    <row r="3311" spans="1:12">
      <c r="A3311" s="12"/>
      <c r="E3311" s="14"/>
      <c r="F3311" s="14"/>
      <c r="G3311" s="13">
        <v>0</v>
      </c>
      <c r="H3311" s="13">
        <v>0</v>
      </c>
      <c r="I3311" s="13"/>
      <c r="J3311" s="13"/>
      <c r="K3311" s="13"/>
      <c r="L3311" s="15">
        <v>0</v>
      </c>
    </row>
    <row r="3312" spans="1:12">
      <c r="A3312" s="12"/>
      <c r="E3312" s="14"/>
      <c r="F3312" s="14"/>
      <c r="G3312" s="13">
        <v>0</v>
      </c>
      <c r="H3312" s="13">
        <v>0</v>
      </c>
      <c r="I3312" s="13"/>
      <c r="J3312" s="13"/>
      <c r="K3312" s="13"/>
      <c r="L3312" s="15">
        <v>0</v>
      </c>
    </row>
    <row r="3313" spans="1:12">
      <c r="A3313" s="12"/>
      <c r="E3313" s="14"/>
      <c r="F3313" s="14"/>
      <c r="G3313" s="13">
        <v>0</v>
      </c>
      <c r="H3313" s="13">
        <v>0</v>
      </c>
      <c r="I3313" s="13"/>
      <c r="J3313" s="13"/>
      <c r="K3313" s="13"/>
      <c r="L3313" s="15">
        <v>0</v>
      </c>
    </row>
    <row r="3314" spans="1:12">
      <c r="A3314" s="12"/>
      <c r="E3314" s="14"/>
      <c r="F3314" s="14"/>
      <c r="G3314" s="13">
        <v>0</v>
      </c>
      <c r="H3314" s="13">
        <v>0</v>
      </c>
      <c r="I3314" s="13"/>
      <c r="J3314" s="13"/>
      <c r="K3314" s="13"/>
      <c r="L3314" s="15">
        <v>0</v>
      </c>
    </row>
    <row r="3315" spans="1:12">
      <c r="A3315" s="12"/>
      <c r="E3315" s="14"/>
      <c r="F3315" s="14"/>
      <c r="G3315" s="13">
        <v>0</v>
      </c>
      <c r="H3315" s="13">
        <v>0</v>
      </c>
      <c r="I3315" s="13"/>
      <c r="J3315" s="13"/>
      <c r="K3315" s="13"/>
      <c r="L3315" s="15">
        <v>0</v>
      </c>
    </row>
    <row r="3316" spans="1:12">
      <c r="A3316" s="12"/>
      <c r="E3316" s="14"/>
      <c r="F3316" s="14"/>
      <c r="G3316" s="13">
        <v>0</v>
      </c>
      <c r="H3316" s="13">
        <v>0</v>
      </c>
      <c r="I3316" s="13"/>
      <c r="J3316" s="13"/>
      <c r="K3316" s="13"/>
      <c r="L3316" s="15">
        <v>0</v>
      </c>
    </row>
    <row r="3317" spans="1:12">
      <c r="A3317" s="12"/>
      <c r="E3317" s="14"/>
      <c r="F3317" s="14"/>
      <c r="G3317" s="13">
        <v>0</v>
      </c>
      <c r="H3317" s="13">
        <v>0</v>
      </c>
      <c r="I3317" s="13"/>
      <c r="J3317" s="13"/>
      <c r="K3317" s="13"/>
      <c r="L3317" s="15">
        <v>0</v>
      </c>
    </row>
    <row r="3318" spans="1:12">
      <c r="A3318" s="12"/>
      <c r="E3318" s="14"/>
      <c r="F3318" s="14"/>
      <c r="G3318" s="13">
        <v>0</v>
      </c>
      <c r="H3318" s="13">
        <v>0</v>
      </c>
      <c r="I3318" s="13"/>
      <c r="J3318" s="13"/>
      <c r="K3318" s="13"/>
      <c r="L3318" s="15">
        <v>0</v>
      </c>
    </row>
    <row r="3319" spans="1:12">
      <c r="A3319" s="12"/>
      <c r="E3319" s="14"/>
      <c r="F3319" s="14"/>
      <c r="G3319" s="13">
        <v>0</v>
      </c>
      <c r="H3319" s="13">
        <v>0</v>
      </c>
      <c r="I3319" s="13"/>
      <c r="J3319" s="13"/>
      <c r="K3319" s="13"/>
      <c r="L3319" s="15">
        <v>0</v>
      </c>
    </row>
    <row r="3320" spans="1:12">
      <c r="A3320" s="12"/>
      <c r="E3320" s="14"/>
      <c r="F3320" s="14"/>
      <c r="G3320" s="13">
        <v>0</v>
      </c>
      <c r="H3320" s="13">
        <v>0</v>
      </c>
      <c r="I3320" s="13"/>
      <c r="J3320" s="13"/>
      <c r="K3320" s="13"/>
      <c r="L3320" s="15">
        <v>0</v>
      </c>
    </row>
    <row r="3321" spans="1:12">
      <c r="A3321" s="12"/>
      <c r="E3321" s="14"/>
      <c r="F3321" s="14"/>
      <c r="G3321" s="13">
        <v>0</v>
      </c>
      <c r="H3321" s="13">
        <v>0</v>
      </c>
      <c r="I3321" s="13"/>
      <c r="J3321" s="13"/>
      <c r="K3321" s="13"/>
      <c r="L3321" s="15">
        <v>0</v>
      </c>
    </row>
    <row r="3322" spans="1:12">
      <c r="A3322" s="12"/>
      <c r="E3322" s="14"/>
      <c r="F3322" s="14"/>
      <c r="G3322" s="13">
        <v>0</v>
      </c>
      <c r="H3322" s="13">
        <v>0</v>
      </c>
      <c r="I3322" s="13"/>
      <c r="J3322" s="13"/>
      <c r="K3322" s="13"/>
      <c r="L3322" s="15">
        <v>0</v>
      </c>
    </row>
    <row r="3323" spans="1:12">
      <c r="A3323" s="12"/>
      <c r="E3323" s="14"/>
      <c r="F3323" s="14"/>
      <c r="G3323" s="13">
        <v>0</v>
      </c>
      <c r="H3323" s="13">
        <v>0</v>
      </c>
      <c r="I3323" s="13"/>
      <c r="J3323" s="13"/>
      <c r="K3323" s="13"/>
      <c r="L3323" s="15">
        <v>0</v>
      </c>
    </row>
    <row r="3324" spans="1:12">
      <c r="A3324" s="12"/>
      <c r="E3324" s="14"/>
      <c r="F3324" s="14"/>
      <c r="G3324" s="13">
        <v>0</v>
      </c>
      <c r="H3324" s="13">
        <v>0</v>
      </c>
      <c r="I3324" s="13"/>
      <c r="J3324" s="13"/>
      <c r="K3324" s="13"/>
      <c r="L3324" s="15">
        <v>0</v>
      </c>
    </row>
    <row r="3325" spans="1:12">
      <c r="A3325" s="12"/>
      <c r="E3325" s="14"/>
      <c r="F3325" s="14"/>
      <c r="G3325" s="13">
        <v>0</v>
      </c>
      <c r="H3325" s="13">
        <v>0</v>
      </c>
      <c r="I3325" s="13"/>
      <c r="J3325" s="13"/>
      <c r="K3325" s="13"/>
      <c r="L3325" s="15">
        <v>0</v>
      </c>
    </row>
    <row r="3326" spans="1:12">
      <c r="A3326" s="12"/>
      <c r="E3326" s="14"/>
      <c r="F3326" s="14"/>
      <c r="G3326" s="13">
        <v>0</v>
      </c>
      <c r="H3326" s="13">
        <v>0</v>
      </c>
      <c r="I3326" s="13"/>
      <c r="J3326" s="13"/>
      <c r="K3326" s="13"/>
      <c r="L3326" s="15">
        <v>0</v>
      </c>
    </row>
    <row r="3327" spans="1:12">
      <c r="A3327" s="12"/>
      <c r="E3327" s="14"/>
      <c r="F3327" s="14"/>
      <c r="G3327" s="13">
        <v>0</v>
      </c>
      <c r="H3327" s="13">
        <v>0</v>
      </c>
      <c r="I3327" s="13"/>
      <c r="J3327" s="13"/>
      <c r="K3327" s="13"/>
      <c r="L3327" s="15">
        <v>0</v>
      </c>
    </row>
    <row r="3328" spans="1:12">
      <c r="A3328" s="12"/>
      <c r="E3328" s="14"/>
      <c r="F3328" s="14"/>
      <c r="G3328" s="13">
        <v>0</v>
      </c>
      <c r="H3328" s="13">
        <v>0</v>
      </c>
      <c r="I3328" s="13"/>
      <c r="J3328" s="13"/>
      <c r="K3328" s="13"/>
      <c r="L3328" s="15">
        <v>0</v>
      </c>
    </row>
    <row r="3329" spans="1:12">
      <c r="A3329" s="12"/>
      <c r="E3329" s="14"/>
      <c r="F3329" s="14"/>
      <c r="G3329" s="13">
        <v>0</v>
      </c>
      <c r="H3329" s="13">
        <v>0</v>
      </c>
      <c r="I3329" s="13"/>
      <c r="J3329" s="13"/>
      <c r="K3329" s="13"/>
      <c r="L3329" s="15">
        <v>0</v>
      </c>
    </row>
    <row r="3330" spans="1:12">
      <c r="A3330" s="12"/>
      <c r="E3330" s="14"/>
      <c r="F3330" s="14"/>
      <c r="G3330" s="13">
        <v>0</v>
      </c>
      <c r="H3330" s="13">
        <v>0</v>
      </c>
      <c r="I3330" s="13"/>
      <c r="J3330" s="13"/>
      <c r="K3330" s="13"/>
      <c r="L3330" s="15">
        <v>0</v>
      </c>
    </row>
    <row r="3331" spans="1:12">
      <c r="A3331" s="12"/>
      <c r="E3331" s="14"/>
      <c r="F3331" s="14"/>
      <c r="G3331" s="13">
        <v>0</v>
      </c>
      <c r="H3331" s="13">
        <v>0</v>
      </c>
      <c r="I3331" s="13"/>
      <c r="J3331" s="13"/>
      <c r="K3331" s="13"/>
      <c r="L3331" s="15">
        <v>0</v>
      </c>
    </row>
    <row r="3332" spans="1:12">
      <c r="A3332" s="12"/>
      <c r="E3332" s="14"/>
      <c r="F3332" s="14"/>
      <c r="G3332" s="13">
        <v>0</v>
      </c>
      <c r="H3332" s="13">
        <v>0</v>
      </c>
      <c r="I3332" s="13"/>
      <c r="J3332" s="13"/>
      <c r="K3332" s="13"/>
      <c r="L3332" s="15">
        <v>0</v>
      </c>
    </row>
    <row r="3333" spans="1:12">
      <c r="A3333" s="12"/>
      <c r="E3333" s="14"/>
      <c r="F3333" s="14"/>
      <c r="G3333" s="13">
        <v>0</v>
      </c>
      <c r="H3333" s="13">
        <v>0</v>
      </c>
      <c r="I3333" s="13"/>
      <c r="J3333" s="13"/>
      <c r="K3333" s="13"/>
      <c r="L3333" s="15">
        <v>0</v>
      </c>
    </row>
    <row r="3334" spans="1:12">
      <c r="A3334" s="12"/>
      <c r="E3334" s="14"/>
      <c r="F3334" s="14"/>
      <c r="G3334" s="13">
        <v>0</v>
      </c>
      <c r="H3334" s="13">
        <v>0</v>
      </c>
      <c r="I3334" s="13"/>
      <c r="J3334" s="13"/>
      <c r="K3334" s="13"/>
      <c r="L3334" s="15">
        <v>0</v>
      </c>
    </row>
    <row r="3335" spans="1:12">
      <c r="A3335" s="12"/>
      <c r="E3335" s="14"/>
      <c r="F3335" s="14"/>
      <c r="G3335" s="13">
        <v>0</v>
      </c>
      <c r="H3335" s="13">
        <v>0</v>
      </c>
      <c r="I3335" s="13"/>
      <c r="J3335" s="13"/>
      <c r="K3335" s="13"/>
      <c r="L3335" s="15">
        <v>0</v>
      </c>
    </row>
    <row r="3336" spans="1:12">
      <c r="A3336" s="12"/>
      <c r="E3336" s="14"/>
      <c r="F3336" s="14"/>
      <c r="G3336" s="13">
        <v>0</v>
      </c>
      <c r="H3336" s="13">
        <v>0</v>
      </c>
      <c r="I3336" s="13"/>
      <c r="J3336" s="13"/>
      <c r="K3336" s="13"/>
      <c r="L3336" s="15">
        <v>0</v>
      </c>
    </row>
    <row r="3337" spans="1:12">
      <c r="A3337" s="12"/>
      <c r="E3337" s="14"/>
      <c r="F3337" s="14"/>
      <c r="G3337" s="13">
        <v>0</v>
      </c>
      <c r="H3337" s="13">
        <v>0</v>
      </c>
      <c r="I3337" s="13"/>
      <c r="J3337" s="13"/>
      <c r="K3337" s="13"/>
      <c r="L3337" s="15">
        <v>0</v>
      </c>
    </row>
    <row r="3338" spans="1:12">
      <c r="A3338" s="12"/>
      <c r="E3338" s="14"/>
      <c r="F3338" s="14"/>
      <c r="G3338" s="13">
        <v>0</v>
      </c>
      <c r="H3338" s="13">
        <v>0</v>
      </c>
      <c r="I3338" s="13"/>
      <c r="J3338" s="13"/>
      <c r="K3338" s="13"/>
      <c r="L3338" s="15">
        <v>0</v>
      </c>
    </row>
    <row r="3339" spans="1:12">
      <c r="A3339" s="12"/>
      <c r="E3339" s="14"/>
      <c r="F3339" s="14"/>
      <c r="G3339" s="13">
        <v>0</v>
      </c>
      <c r="H3339" s="13">
        <v>0</v>
      </c>
      <c r="I3339" s="13"/>
      <c r="J3339" s="13"/>
      <c r="K3339" s="13"/>
      <c r="L3339" s="15">
        <v>0</v>
      </c>
    </row>
    <row r="3340" spans="1:12">
      <c r="A3340" s="12"/>
      <c r="E3340" s="14"/>
      <c r="F3340" s="14"/>
      <c r="G3340" s="13">
        <v>0</v>
      </c>
      <c r="H3340" s="13">
        <v>0</v>
      </c>
      <c r="I3340" s="13"/>
      <c r="J3340" s="13"/>
      <c r="K3340" s="13"/>
      <c r="L3340" s="15">
        <v>0</v>
      </c>
    </row>
    <row r="3341" spans="1:12">
      <c r="A3341" s="12"/>
      <c r="E3341" s="14"/>
      <c r="F3341" s="14"/>
      <c r="G3341" s="13">
        <v>0</v>
      </c>
      <c r="H3341" s="13">
        <v>0</v>
      </c>
      <c r="I3341" s="13"/>
      <c r="J3341" s="13"/>
      <c r="K3341" s="13"/>
      <c r="L3341" s="15">
        <v>0</v>
      </c>
    </row>
    <row r="3342" spans="1:12">
      <c r="A3342" s="12"/>
      <c r="E3342" s="14"/>
      <c r="F3342" s="14"/>
      <c r="G3342" s="13">
        <v>0</v>
      </c>
      <c r="H3342" s="13">
        <v>0</v>
      </c>
      <c r="I3342" s="13"/>
      <c r="J3342" s="13"/>
      <c r="K3342" s="13"/>
      <c r="L3342" s="15">
        <v>0</v>
      </c>
    </row>
    <row r="3343" spans="1:12">
      <c r="A3343" s="12"/>
      <c r="E3343" s="14"/>
      <c r="F3343" s="14"/>
      <c r="G3343" s="13">
        <v>0</v>
      </c>
      <c r="H3343" s="13">
        <v>0</v>
      </c>
      <c r="I3343" s="13"/>
      <c r="J3343" s="13"/>
      <c r="K3343" s="13"/>
      <c r="L3343" s="15">
        <v>0</v>
      </c>
    </row>
    <row r="3344" spans="1:12">
      <c r="A3344" s="12"/>
      <c r="E3344" s="14"/>
      <c r="F3344" s="14"/>
      <c r="G3344" s="13">
        <v>0</v>
      </c>
      <c r="H3344" s="13">
        <v>0</v>
      </c>
      <c r="I3344" s="13"/>
      <c r="J3344" s="13"/>
      <c r="K3344" s="13"/>
      <c r="L3344" s="15">
        <v>0</v>
      </c>
    </row>
    <row r="3345" spans="1:12">
      <c r="A3345" s="12"/>
      <c r="E3345" s="14"/>
      <c r="F3345" s="14"/>
      <c r="G3345" s="13">
        <v>0</v>
      </c>
      <c r="H3345" s="13">
        <v>0</v>
      </c>
      <c r="I3345" s="13"/>
      <c r="J3345" s="13"/>
      <c r="K3345" s="13"/>
      <c r="L3345" s="15">
        <v>0</v>
      </c>
    </row>
    <row r="3346" spans="1:12">
      <c r="A3346" s="12"/>
      <c r="E3346" s="14"/>
      <c r="F3346" s="14"/>
      <c r="G3346" s="13">
        <v>0</v>
      </c>
      <c r="H3346" s="13">
        <v>0</v>
      </c>
      <c r="I3346" s="13"/>
      <c r="J3346" s="13"/>
      <c r="K3346" s="13"/>
      <c r="L3346" s="15">
        <v>0</v>
      </c>
    </row>
    <row r="3347" spans="1:12">
      <c r="A3347" s="12"/>
      <c r="E3347" s="14"/>
      <c r="F3347" s="14"/>
      <c r="G3347" s="13">
        <v>0</v>
      </c>
      <c r="H3347" s="13">
        <v>0</v>
      </c>
      <c r="I3347" s="13"/>
      <c r="J3347" s="13"/>
      <c r="K3347" s="13"/>
      <c r="L3347" s="15">
        <v>0</v>
      </c>
    </row>
    <row r="3348" spans="1:12">
      <c r="A3348" s="12"/>
      <c r="E3348" s="14"/>
      <c r="F3348" s="14"/>
      <c r="G3348" s="13">
        <v>0</v>
      </c>
      <c r="H3348" s="13">
        <v>0</v>
      </c>
      <c r="I3348" s="13"/>
      <c r="J3348" s="13"/>
      <c r="K3348" s="13"/>
      <c r="L3348" s="15">
        <v>0</v>
      </c>
    </row>
    <row r="3349" spans="1:12">
      <c r="A3349" s="12"/>
      <c r="E3349" s="14"/>
      <c r="F3349" s="14"/>
      <c r="G3349" s="13">
        <v>0</v>
      </c>
      <c r="H3349" s="13">
        <v>0</v>
      </c>
      <c r="I3349" s="13"/>
      <c r="J3349" s="13"/>
      <c r="K3349" s="13"/>
      <c r="L3349" s="15">
        <v>0</v>
      </c>
    </row>
    <row r="3350" spans="1:12">
      <c r="A3350" s="12"/>
      <c r="E3350" s="14"/>
      <c r="F3350" s="14"/>
      <c r="G3350" s="13">
        <v>0</v>
      </c>
      <c r="H3350" s="13">
        <v>0</v>
      </c>
      <c r="I3350" s="13"/>
      <c r="J3350" s="13"/>
      <c r="K3350" s="13"/>
      <c r="L3350" s="15">
        <v>0</v>
      </c>
    </row>
    <row r="3351" spans="1:12">
      <c r="A3351" s="12"/>
      <c r="E3351" s="14"/>
      <c r="F3351" s="14"/>
      <c r="G3351" s="13">
        <v>0</v>
      </c>
      <c r="H3351" s="13">
        <v>0</v>
      </c>
      <c r="I3351" s="13"/>
      <c r="J3351" s="13"/>
      <c r="K3351" s="13"/>
      <c r="L3351" s="15">
        <v>0</v>
      </c>
    </row>
    <row r="3352" spans="1:12">
      <c r="A3352" s="12"/>
      <c r="E3352" s="14"/>
      <c r="F3352" s="14"/>
      <c r="G3352" s="13">
        <v>0</v>
      </c>
      <c r="H3352" s="13">
        <v>0</v>
      </c>
      <c r="I3352" s="13"/>
      <c r="J3352" s="13"/>
      <c r="K3352" s="13"/>
      <c r="L3352" s="15">
        <v>0</v>
      </c>
    </row>
    <row r="3353" spans="1:12">
      <c r="A3353" s="12"/>
      <c r="E3353" s="14"/>
      <c r="F3353" s="14"/>
      <c r="G3353" s="13">
        <v>0</v>
      </c>
      <c r="H3353" s="13">
        <v>0</v>
      </c>
      <c r="I3353" s="13"/>
      <c r="J3353" s="13"/>
      <c r="K3353" s="13"/>
      <c r="L3353" s="15">
        <v>0</v>
      </c>
    </row>
    <row r="3354" spans="1:12">
      <c r="A3354" s="12"/>
      <c r="E3354" s="14"/>
      <c r="F3354" s="14"/>
      <c r="G3354" s="13">
        <v>0</v>
      </c>
      <c r="H3354" s="13">
        <v>0</v>
      </c>
      <c r="I3354" s="13"/>
      <c r="J3354" s="13"/>
      <c r="K3354" s="13"/>
      <c r="L3354" s="15">
        <v>0</v>
      </c>
    </row>
    <row r="3355" spans="1:12">
      <c r="A3355" s="12"/>
      <c r="E3355" s="14"/>
      <c r="F3355" s="14"/>
      <c r="G3355" s="13">
        <v>0</v>
      </c>
      <c r="H3355" s="13">
        <v>0</v>
      </c>
      <c r="I3355" s="13"/>
      <c r="J3355" s="13"/>
      <c r="K3355" s="13"/>
      <c r="L3355" s="15">
        <v>0</v>
      </c>
    </row>
    <row r="3356" spans="1:12">
      <c r="A3356" s="12"/>
      <c r="E3356" s="14"/>
      <c r="F3356" s="14"/>
      <c r="G3356" s="13">
        <v>0</v>
      </c>
      <c r="H3356" s="13">
        <v>0</v>
      </c>
      <c r="I3356" s="13"/>
      <c r="J3356" s="13"/>
      <c r="K3356" s="13"/>
      <c r="L3356" s="15">
        <v>0</v>
      </c>
    </row>
    <row r="3357" spans="1:12">
      <c r="A3357" s="12"/>
      <c r="E3357" s="14"/>
      <c r="F3357" s="14"/>
      <c r="G3357" s="13">
        <v>0</v>
      </c>
      <c r="H3357" s="13">
        <v>0</v>
      </c>
      <c r="I3357" s="13"/>
      <c r="J3357" s="13"/>
      <c r="K3357" s="13"/>
      <c r="L3357" s="15">
        <v>0</v>
      </c>
    </row>
    <row r="3358" spans="1:12">
      <c r="A3358" s="12"/>
      <c r="E3358" s="14"/>
      <c r="F3358" s="14"/>
      <c r="G3358" s="13">
        <v>0</v>
      </c>
      <c r="H3358" s="13">
        <v>0</v>
      </c>
      <c r="I3358" s="13"/>
      <c r="J3358" s="13"/>
      <c r="K3358" s="13"/>
      <c r="L3358" s="15">
        <v>0</v>
      </c>
    </row>
    <row r="3359" spans="1:12">
      <c r="A3359" s="12"/>
      <c r="E3359" s="14"/>
      <c r="F3359" s="14"/>
      <c r="G3359" s="13">
        <v>0</v>
      </c>
      <c r="H3359" s="13">
        <v>0</v>
      </c>
      <c r="I3359" s="13"/>
      <c r="J3359" s="13"/>
      <c r="K3359" s="13"/>
      <c r="L3359" s="15">
        <v>0</v>
      </c>
    </row>
    <row r="3360" spans="1:12">
      <c r="A3360" s="12"/>
      <c r="E3360" s="14"/>
      <c r="F3360" s="14"/>
      <c r="G3360" s="13">
        <v>0</v>
      </c>
      <c r="H3360" s="13">
        <v>0</v>
      </c>
      <c r="I3360" s="13"/>
      <c r="J3360" s="13"/>
      <c r="K3360" s="13"/>
      <c r="L3360" s="15">
        <v>0</v>
      </c>
    </row>
    <row r="3361" spans="1:12">
      <c r="A3361" s="12"/>
      <c r="E3361" s="14"/>
      <c r="F3361" s="14"/>
      <c r="G3361" s="13">
        <v>0</v>
      </c>
      <c r="H3361" s="13">
        <v>0</v>
      </c>
      <c r="I3361" s="13"/>
      <c r="J3361" s="13"/>
      <c r="K3361" s="13"/>
      <c r="L3361" s="15">
        <v>0</v>
      </c>
    </row>
    <row r="3362" spans="1:12">
      <c r="A3362" s="12"/>
      <c r="E3362" s="14"/>
      <c r="F3362" s="14"/>
      <c r="G3362" s="13">
        <v>0</v>
      </c>
      <c r="H3362" s="13">
        <v>0</v>
      </c>
      <c r="I3362" s="13"/>
      <c r="J3362" s="13"/>
      <c r="K3362" s="13"/>
      <c r="L3362" s="15">
        <v>0</v>
      </c>
    </row>
    <row r="3363" spans="1:12">
      <c r="A3363" s="12"/>
      <c r="E3363" s="14"/>
      <c r="F3363" s="14"/>
      <c r="G3363" s="13">
        <v>0</v>
      </c>
      <c r="H3363" s="13">
        <v>0</v>
      </c>
      <c r="I3363" s="13"/>
      <c r="J3363" s="13"/>
      <c r="K3363" s="13"/>
      <c r="L3363" s="15">
        <v>0</v>
      </c>
    </row>
    <row r="3364" spans="1:12">
      <c r="A3364" s="12"/>
      <c r="E3364" s="14"/>
      <c r="F3364" s="14"/>
      <c r="G3364" s="13">
        <v>0</v>
      </c>
      <c r="H3364" s="13">
        <v>0</v>
      </c>
      <c r="I3364" s="13"/>
      <c r="J3364" s="13"/>
      <c r="K3364" s="13"/>
      <c r="L3364" s="15">
        <v>0</v>
      </c>
    </row>
    <row r="3365" spans="1:12">
      <c r="A3365" s="12"/>
      <c r="E3365" s="14"/>
      <c r="F3365" s="14"/>
      <c r="G3365" s="13">
        <v>0</v>
      </c>
      <c r="H3365" s="13">
        <v>0</v>
      </c>
      <c r="I3365" s="13"/>
      <c r="J3365" s="13"/>
      <c r="K3365" s="13"/>
      <c r="L3365" s="15">
        <v>0</v>
      </c>
    </row>
    <row r="3366" spans="1:12">
      <c r="A3366" s="12"/>
      <c r="E3366" s="14"/>
      <c r="F3366" s="14"/>
      <c r="G3366" s="13">
        <v>0</v>
      </c>
      <c r="H3366" s="13">
        <v>0</v>
      </c>
      <c r="I3366" s="13"/>
      <c r="J3366" s="13"/>
      <c r="K3366" s="13"/>
      <c r="L3366" s="15">
        <v>0</v>
      </c>
    </row>
    <row r="3367" spans="1:12">
      <c r="A3367" s="12"/>
      <c r="E3367" s="14"/>
      <c r="F3367" s="14"/>
      <c r="G3367" s="13">
        <v>0</v>
      </c>
      <c r="H3367" s="13">
        <v>0</v>
      </c>
      <c r="I3367" s="13"/>
      <c r="J3367" s="13"/>
      <c r="K3367" s="13"/>
      <c r="L3367" s="15">
        <v>0</v>
      </c>
    </row>
    <row r="3368" spans="1:12">
      <c r="A3368" s="12"/>
      <c r="E3368" s="14"/>
      <c r="F3368" s="14"/>
      <c r="G3368" s="13">
        <v>0</v>
      </c>
      <c r="H3368" s="13">
        <v>0</v>
      </c>
      <c r="I3368" s="13"/>
      <c r="J3368" s="13"/>
      <c r="K3368" s="13"/>
      <c r="L3368" s="15">
        <v>0</v>
      </c>
    </row>
    <row r="3369" spans="1:12">
      <c r="A3369" s="12"/>
      <c r="E3369" s="14"/>
      <c r="F3369" s="14"/>
      <c r="G3369" s="13">
        <v>0</v>
      </c>
      <c r="H3369" s="13">
        <v>0</v>
      </c>
      <c r="I3369" s="13"/>
      <c r="J3369" s="13"/>
      <c r="K3369" s="13"/>
      <c r="L3369" s="15">
        <v>0</v>
      </c>
    </row>
    <row r="3370" spans="1:12">
      <c r="A3370" s="12"/>
      <c r="E3370" s="14"/>
      <c r="F3370" s="14"/>
      <c r="G3370" s="13">
        <v>0</v>
      </c>
      <c r="H3370" s="13">
        <v>0</v>
      </c>
      <c r="I3370" s="13"/>
      <c r="J3370" s="13"/>
      <c r="K3370" s="13"/>
      <c r="L3370" s="15">
        <v>0</v>
      </c>
    </row>
    <row r="3371" spans="1:12">
      <c r="A3371" s="12"/>
      <c r="E3371" s="14"/>
      <c r="F3371" s="14"/>
      <c r="G3371" s="13">
        <v>0</v>
      </c>
      <c r="H3371" s="13">
        <v>0</v>
      </c>
      <c r="I3371" s="13"/>
      <c r="J3371" s="13"/>
      <c r="K3371" s="13"/>
      <c r="L3371" s="15">
        <v>0</v>
      </c>
    </row>
    <row r="3372" spans="1:12">
      <c r="A3372" s="12"/>
      <c r="E3372" s="14"/>
      <c r="F3372" s="14"/>
      <c r="G3372" s="13">
        <v>0</v>
      </c>
      <c r="H3372" s="13">
        <v>0</v>
      </c>
      <c r="I3372" s="13"/>
      <c r="J3372" s="13"/>
      <c r="K3372" s="13"/>
      <c r="L3372" s="15">
        <v>0</v>
      </c>
    </row>
    <row r="3373" spans="1:12">
      <c r="A3373" s="12"/>
      <c r="E3373" s="14"/>
      <c r="F3373" s="14"/>
      <c r="G3373" s="13">
        <v>0</v>
      </c>
      <c r="H3373" s="13">
        <v>0</v>
      </c>
      <c r="I3373" s="13"/>
      <c r="J3373" s="13"/>
      <c r="K3373" s="13"/>
      <c r="L3373" s="15">
        <v>0</v>
      </c>
    </row>
    <row r="3374" spans="1:12">
      <c r="A3374" s="12"/>
      <c r="E3374" s="14"/>
      <c r="F3374" s="14"/>
      <c r="G3374" s="13">
        <v>0</v>
      </c>
      <c r="H3374" s="13">
        <v>0</v>
      </c>
      <c r="I3374" s="13"/>
      <c r="J3374" s="13"/>
      <c r="K3374" s="13"/>
      <c r="L3374" s="15">
        <v>0</v>
      </c>
    </row>
    <row r="3375" spans="1:12">
      <c r="A3375" s="12"/>
      <c r="E3375" s="14"/>
      <c r="F3375" s="14"/>
      <c r="G3375" s="13">
        <v>0</v>
      </c>
      <c r="H3375" s="13">
        <v>0</v>
      </c>
      <c r="I3375" s="13"/>
      <c r="J3375" s="13"/>
      <c r="K3375" s="13"/>
      <c r="L3375" s="15">
        <v>0</v>
      </c>
    </row>
    <row r="3376" spans="1:12">
      <c r="A3376" s="12"/>
      <c r="E3376" s="14"/>
      <c r="F3376" s="14"/>
      <c r="G3376" s="13">
        <v>0</v>
      </c>
      <c r="H3376" s="13">
        <v>0</v>
      </c>
      <c r="I3376" s="13"/>
      <c r="J3376" s="13"/>
      <c r="K3376" s="13"/>
      <c r="L3376" s="15">
        <v>0</v>
      </c>
    </row>
    <row r="3377" spans="1:12">
      <c r="A3377" s="12"/>
      <c r="E3377" s="14"/>
      <c r="F3377" s="14"/>
      <c r="G3377" s="13">
        <v>0</v>
      </c>
      <c r="H3377" s="13">
        <v>0</v>
      </c>
      <c r="I3377" s="13"/>
      <c r="J3377" s="13"/>
      <c r="K3377" s="13"/>
      <c r="L3377" s="15">
        <v>0</v>
      </c>
    </row>
    <row r="3378" spans="1:12">
      <c r="A3378" s="12"/>
      <c r="E3378" s="14"/>
      <c r="F3378" s="14"/>
      <c r="G3378" s="13">
        <v>0</v>
      </c>
      <c r="H3378" s="13">
        <v>0</v>
      </c>
      <c r="I3378" s="13"/>
      <c r="J3378" s="13"/>
      <c r="K3378" s="13"/>
      <c r="L3378" s="15">
        <v>0</v>
      </c>
    </row>
    <row r="3379" spans="1:12">
      <c r="A3379" s="12"/>
      <c r="E3379" s="14"/>
      <c r="F3379" s="14"/>
      <c r="G3379" s="13">
        <v>0</v>
      </c>
      <c r="H3379" s="13">
        <v>0</v>
      </c>
      <c r="I3379" s="13"/>
      <c r="J3379" s="13"/>
      <c r="K3379" s="13"/>
      <c r="L3379" s="15">
        <v>0</v>
      </c>
    </row>
    <row r="3380" spans="1:12">
      <c r="A3380" s="12"/>
      <c r="E3380" s="14"/>
      <c r="F3380" s="14"/>
      <c r="G3380" s="13">
        <v>0</v>
      </c>
      <c r="H3380" s="13">
        <v>0</v>
      </c>
      <c r="I3380" s="13"/>
      <c r="J3380" s="13"/>
      <c r="K3380" s="13"/>
      <c r="L3380" s="15">
        <v>0</v>
      </c>
    </row>
    <row r="3381" spans="1:12">
      <c r="A3381" s="12"/>
      <c r="E3381" s="14"/>
      <c r="F3381" s="14"/>
      <c r="G3381" s="13">
        <v>0</v>
      </c>
      <c r="H3381" s="13">
        <v>0</v>
      </c>
      <c r="I3381" s="13"/>
      <c r="J3381" s="13"/>
      <c r="K3381" s="13"/>
      <c r="L3381" s="15">
        <v>0</v>
      </c>
    </row>
    <row r="3382" spans="1:12">
      <c r="A3382" s="12"/>
      <c r="E3382" s="14"/>
      <c r="F3382" s="14"/>
      <c r="G3382" s="13">
        <v>0</v>
      </c>
      <c r="H3382" s="13">
        <v>0</v>
      </c>
      <c r="I3382" s="13"/>
      <c r="J3382" s="13"/>
      <c r="K3382" s="13"/>
      <c r="L3382" s="15">
        <v>0</v>
      </c>
    </row>
    <row r="3383" spans="1:12">
      <c r="A3383" s="12"/>
      <c r="E3383" s="14"/>
      <c r="F3383" s="14"/>
      <c r="G3383" s="13">
        <v>0</v>
      </c>
      <c r="H3383" s="13">
        <v>0</v>
      </c>
      <c r="I3383" s="13"/>
      <c r="J3383" s="13"/>
      <c r="K3383" s="13"/>
      <c r="L3383" s="15">
        <v>0</v>
      </c>
    </row>
    <row r="3384" spans="1:12">
      <c r="A3384" s="12"/>
      <c r="E3384" s="14"/>
      <c r="F3384" s="14"/>
      <c r="G3384" s="13">
        <v>0</v>
      </c>
      <c r="H3384" s="13">
        <v>0</v>
      </c>
      <c r="I3384" s="13"/>
      <c r="J3384" s="13"/>
      <c r="K3384" s="13"/>
      <c r="L3384" s="15">
        <v>0</v>
      </c>
    </row>
    <row r="3385" spans="1:12">
      <c r="A3385" s="12"/>
      <c r="E3385" s="14"/>
      <c r="F3385" s="14"/>
      <c r="G3385" s="13">
        <v>0</v>
      </c>
      <c r="H3385" s="13">
        <v>0</v>
      </c>
      <c r="I3385" s="13"/>
      <c r="J3385" s="13"/>
      <c r="K3385" s="13"/>
      <c r="L3385" s="15">
        <v>0</v>
      </c>
    </row>
    <row r="3386" spans="1:12">
      <c r="A3386" s="12"/>
      <c r="E3386" s="14"/>
      <c r="F3386" s="14"/>
      <c r="G3386" s="13">
        <v>0</v>
      </c>
      <c r="H3386" s="13">
        <v>0</v>
      </c>
      <c r="I3386" s="13"/>
      <c r="J3386" s="13"/>
      <c r="K3386" s="13"/>
      <c r="L3386" s="15">
        <v>0</v>
      </c>
    </row>
    <row r="3387" spans="1:12">
      <c r="A3387" s="12"/>
      <c r="E3387" s="14"/>
      <c r="F3387" s="14"/>
      <c r="G3387" s="13">
        <v>0</v>
      </c>
      <c r="H3387" s="13">
        <v>0</v>
      </c>
      <c r="I3387" s="13"/>
      <c r="J3387" s="13"/>
      <c r="K3387" s="13"/>
      <c r="L3387" s="15">
        <v>0</v>
      </c>
    </row>
    <row r="3388" spans="1:12">
      <c r="A3388" s="12"/>
      <c r="E3388" s="14"/>
      <c r="F3388" s="14"/>
      <c r="G3388" s="13">
        <v>0</v>
      </c>
      <c r="H3388" s="13">
        <v>0</v>
      </c>
      <c r="I3388" s="13"/>
      <c r="J3388" s="13"/>
      <c r="K3388" s="13"/>
      <c r="L3388" s="15">
        <v>0</v>
      </c>
    </row>
    <row r="3389" spans="1:12">
      <c r="A3389" s="12"/>
      <c r="E3389" s="14"/>
      <c r="F3389" s="14"/>
      <c r="G3389" s="13">
        <v>0</v>
      </c>
      <c r="H3389" s="13">
        <v>0</v>
      </c>
      <c r="I3389" s="13"/>
      <c r="J3389" s="13"/>
      <c r="K3389" s="13"/>
      <c r="L3389" s="15">
        <v>0</v>
      </c>
    </row>
    <row r="3390" spans="1:12">
      <c r="A3390" s="12"/>
      <c r="E3390" s="14"/>
      <c r="F3390" s="14"/>
      <c r="G3390" s="13">
        <v>0</v>
      </c>
      <c r="H3390" s="13">
        <v>0</v>
      </c>
      <c r="I3390" s="13"/>
      <c r="J3390" s="13"/>
      <c r="K3390" s="13"/>
      <c r="L3390" s="15">
        <v>0</v>
      </c>
    </row>
    <row r="3391" spans="1:12">
      <c r="A3391" s="12"/>
      <c r="E3391" s="14"/>
      <c r="F3391" s="14"/>
      <c r="G3391" s="13">
        <v>0</v>
      </c>
      <c r="H3391" s="13">
        <v>0</v>
      </c>
      <c r="I3391" s="13"/>
      <c r="J3391" s="13"/>
      <c r="K3391" s="13"/>
      <c r="L3391" s="15">
        <v>0</v>
      </c>
    </row>
    <row r="3392" spans="1:12">
      <c r="A3392" s="12"/>
      <c r="E3392" s="14"/>
      <c r="F3392" s="14"/>
      <c r="G3392" s="13">
        <v>0</v>
      </c>
      <c r="H3392" s="13">
        <v>0</v>
      </c>
      <c r="I3392" s="13"/>
      <c r="J3392" s="13"/>
      <c r="K3392" s="13"/>
      <c r="L3392" s="15">
        <v>0</v>
      </c>
    </row>
    <row r="3393" spans="1:12">
      <c r="A3393" s="12"/>
      <c r="E3393" s="14"/>
      <c r="F3393" s="14"/>
      <c r="G3393" s="13">
        <v>0</v>
      </c>
      <c r="H3393" s="13">
        <v>0</v>
      </c>
      <c r="I3393" s="13"/>
      <c r="J3393" s="13"/>
      <c r="K3393" s="13"/>
      <c r="L3393" s="15">
        <v>0</v>
      </c>
    </row>
    <row r="3394" spans="1:12">
      <c r="A3394" s="12"/>
      <c r="E3394" s="14"/>
      <c r="F3394" s="14"/>
      <c r="G3394" s="13">
        <v>0</v>
      </c>
      <c r="H3394" s="13">
        <v>0</v>
      </c>
      <c r="I3394" s="13"/>
      <c r="J3394" s="13"/>
      <c r="K3394" s="13"/>
      <c r="L3394" s="15">
        <v>0</v>
      </c>
    </row>
    <row r="3395" spans="1:12">
      <c r="A3395" s="12"/>
      <c r="E3395" s="14"/>
      <c r="F3395" s="14"/>
      <c r="G3395" s="13">
        <v>0</v>
      </c>
      <c r="H3395" s="13">
        <v>0</v>
      </c>
      <c r="I3395" s="13"/>
      <c r="J3395" s="13"/>
      <c r="K3395" s="13"/>
      <c r="L3395" s="15">
        <v>0</v>
      </c>
    </row>
    <row r="3396" spans="1:12">
      <c r="A3396" s="12"/>
      <c r="E3396" s="14"/>
      <c r="F3396" s="14"/>
      <c r="G3396" s="13">
        <v>0</v>
      </c>
      <c r="H3396" s="13">
        <v>0</v>
      </c>
      <c r="I3396" s="13"/>
      <c r="J3396" s="13"/>
      <c r="K3396" s="13"/>
      <c r="L3396" s="15">
        <v>0</v>
      </c>
    </row>
    <row r="3397" spans="1:12">
      <c r="A3397" s="12"/>
      <c r="E3397" s="14"/>
      <c r="F3397" s="14"/>
      <c r="G3397" s="13">
        <v>0</v>
      </c>
      <c r="H3397" s="13">
        <v>0</v>
      </c>
      <c r="I3397" s="13"/>
      <c r="J3397" s="13"/>
      <c r="K3397" s="13"/>
      <c r="L3397" s="15">
        <v>0</v>
      </c>
    </row>
    <row r="3398" spans="1:12">
      <c r="A3398" s="12"/>
      <c r="E3398" s="14"/>
      <c r="F3398" s="14"/>
      <c r="G3398" s="13">
        <v>0</v>
      </c>
      <c r="H3398" s="13">
        <v>0</v>
      </c>
      <c r="I3398" s="13"/>
      <c r="J3398" s="13"/>
      <c r="K3398" s="13"/>
      <c r="L3398" s="15">
        <v>0</v>
      </c>
    </row>
    <row r="3399" spans="1:12">
      <c r="A3399" s="12"/>
      <c r="E3399" s="14"/>
      <c r="F3399" s="14"/>
      <c r="G3399" s="13">
        <v>0</v>
      </c>
      <c r="H3399" s="13">
        <v>0</v>
      </c>
      <c r="I3399" s="13"/>
      <c r="J3399" s="13"/>
      <c r="K3399" s="13"/>
      <c r="L3399" s="15">
        <v>0</v>
      </c>
    </row>
    <row r="3400" spans="1:12">
      <c r="A3400" s="12"/>
      <c r="E3400" s="14"/>
      <c r="F3400" s="14"/>
      <c r="G3400" s="13">
        <v>0</v>
      </c>
      <c r="H3400" s="13">
        <v>0</v>
      </c>
      <c r="I3400" s="13"/>
      <c r="J3400" s="13"/>
      <c r="K3400" s="13"/>
      <c r="L3400" s="15">
        <v>0</v>
      </c>
    </row>
    <row r="3401" spans="1:12">
      <c r="A3401" s="12"/>
      <c r="E3401" s="14"/>
      <c r="F3401" s="14"/>
      <c r="G3401" s="13">
        <v>0</v>
      </c>
      <c r="H3401" s="13">
        <v>0</v>
      </c>
      <c r="I3401" s="13"/>
      <c r="J3401" s="13"/>
      <c r="K3401" s="13"/>
      <c r="L3401" s="15">
        <v>0</v>
      </c>
    </row>
    <row r="3402" spans="1:12">
      <c r="A3402" s="12"/>
      <c r="E3402" s="14"/>
      <c r="F3402" s="14"/>
      <c r="G3402" s="13">
        <v>0</v>
      </c>
      <c r="H3402" s="13">
        <v>0</v>
      </c>
      <c r="I3402" s="13"/>
      <c r="J3402" s="13"/>
      <c r="K3402" s="13"/>
      <c r="L3402" s="15">
        <v>0</v>
      </c>
    </row>
    <row r="3403" spans="1:12">
      <c r="A3403" s="12"/>
      <c r="E3403" s="14"/>
      <c r="F3403" s="14"/>
      <c r="G3403" s="13">
        <v>0</v>
      </c>
      <c r="H3403" s="13">
        <v>0</v>
      </c>
      <c r="I3403" s="13"/>
      <c r="J3403" s="13"/>
      <c r="K3403" s="13"/>
      <c r="L3403" s="15">
        <v>0</v>
      </c>
    </row>
    <row r="3404" spans="1:12">
      <c r="A3404" s="12"/>
      <c r="E3404" s="14"/>
      <c r="F3404" s="14"/>
      <c r="G3404" s="13">
        <v>0</v>
      </c>
      <c r="H3404" s="13">
        <v>0</v>
      </c>
      <c r="I3404" s="13"/>
      <c r="J3404" s="13"/>
      <c r="K3404" s="13"/>
      <c r="L3404" s="15">
        <v>0</v>
      </c>
    </row>
    <row r="3405" spans="1:12">
      <c r="A3405" s="12"/>
      <c r="E3405" s="14"/>
      <c r="F3405" s="14"/>
      <c r="G3405" s="13">
        <v>0</v>
      </c>
      <c r="H3405" s="13">
        <v>0</v>
      </c>
      <c r="I3405" s="13"/>
      <c r="J3405" s="13"/>
      <c r="K3405" s="13"/>
      <c r="L3405" s="15">
        <v>0</v>
      </c>
    </row>
    <row r="3406" spans="1:12">
      <c r="A3406" s="12"/>
      <c r="E3406" s="14"/>
      <c r="F3406" s="14"/>
      <c r="G3406" s="13">
        <v>0</v>
      </c>
      <c r="H3406" s="13">
        <v>0</v>
      </c>
      <c r="I3406" s="13"/>
      <c r="J3406" s="13"/>
      <c r="K3406" s="13"/>
      <c r="L3406" s="15">
        <v>0</v>
      </c>
    </row>
    <row r="3407" spans="1:12">
      <c r="A3407" s="12"/>
      <c r="E3407" s="14"/>
      <c r="F3407" s="14"/>
      <c r="G3407" s="13">
        <v>0</v>
      </c>
      <c r="H3407" s="13">
        <v>0</v>
      </c>
      <c r="I3407" s="13"/>
      <c r="J3407" s="13"/>
      <c r="K3407" s="13"/>
      <c r="L3407" s="15">
        <v>0</v>
      </c>
    </row>
    <row r="3408" spans="1:12">
      <c r="A3408" s="12"/>
      <c r="E3408" s="14"/>
      <c r="F3408" s="14"/>
      <c r="G3408" s="13">
        <v>0</v>
      </c>
      <c r="H3408" s="13">
        <v>0</v>
      </c>
      <c r="I3408" s="13"/>
      <c r="J3408" s="13"/>
      <c r="K3408" s="13"/>
      <c r="L3408" s="15">
        <v>0</v>
      </c>
    </row>
    <row r="3409" spans="1:12">
      <c r="A3409" s="12"/>
      <c r="E3409" s="14"/>
      <c r="F3409" s="14"/>
      <c r="G3409" s="13">
        <v>0</v>
      </c>
      <c r="H3409" s="13">
        <v>0</v>
      </c>
      <c r="I3409" s="13"/>
      <c r="J3409" s="13"/>
      <c r="K3409" s="13"/>
      <c r="L3409" s="15">
        <v>0</v>
      </c>
    </row>
    <row r="3410" spans="1:12">
      <c r="A3410" s="12"/>
      <c r="E3410" s="14"/>
      <c r="F3410" s="14"/>
      <c r="G3410" s="13">
        <v>0</v>
      </c>
      <c r="H3410" s="13">
        <v>0</v>
      </c>
      <c r="I3410" s="13"/>
      <c r="J3410" s="13"/>
      <c r="K3410" s="13"/>
      <c r="L3410" s="15">
        <v>0</v>
      </c>
    </row>
    <row r="3411" spans="1:12">
      <c r="A3411" s="12"/>
      <c r="E3411" s="14"/>
      <c r="F3411" s="14"/>
      <c r="G3411" s="13">
        <v>0</v>
      </c>
      <c r="H3411" s="13">
        <v>0</v>
      </c>
      <c r="I3411" s="13"/>
      <c r="J3411" s="13"/>
      <c r="K3411" s="13"/>
      <c r="L3411" s="15">
        <v>0</v>
      </c>
    </row>
    <row r="3412" spans="1:12">
      <c r="A3412" s="12"/>
      <c r="E3412" s="14"/>
      <c r="F3412" s="14"/>
      <c r="G3412" s="13">
        <v>0</v>
      </c>
      <c r="H3412" s="13">
        <v>0</v>
      </c>
      <c r="I3412" s="13"/>
      <c r="J3412" s="13"/>
      <c r="K3412" s="13"/>
      <c r="L3412" s="15">
        <v>0</v>
      </c>
    </row>
    <row r="3413" spans="1:12">
      <c r="A3413" s="12"/>
      <c r="E3413" s="14"/>
      <c r="F3413" s="14"/>
      <c r="G3413" s="13">
        <v>0</v>
      </c>
      <c r="H3413" s="13">
        <v>0</v>
      </c>
      <c r="I3413" s="13"/>
      <c r="J3413" s="13"/>
      <c r="K3413" s="13"/>
      <c r="L3413" s="15">
        <v>0</v>
      </c>
    </row>
    <row r="3414" spans="1:12">
      <c r="A3414" s="12"/>
      <c r="E3414" s="14"/>
      <c r="F3414" s="14"/>
      <c r="G3414" s="13">
        <v>0</v>
      </c>
      <c r="H3414" s="13">
        <v>0</v>
      </c>
      <c r="I3414" s="13"/>
      <c r="J3414" s="13"/>
      <c r="K3414" s="13"/>
      <c r="L3414" s="15">
        <v>0</v>
      </c>
    </row>
    <row r="3415" spans="1:12">
      <c r="A3415" s="12"/>
      <c r="E3415" s="14"/>
      <c r="F3415" s="14"/>
      <c r="G3415" s="13">
        <v>0</v>
      </c>
      <c r="H3415" s="13">
        <v>0</v>
      </c>
      <c r="I3415" s="13"/>
      <c r="J3415" s="13"/>
      <c r="K3415" s="13"/>
      <c r="L3415" s="15">
        <v>0</v>
      </c>
    </row>
    <row r="3416" spans="1:12">
      <c r="A3416" s="12"/>
      <c r="E3416" s="14"/>
      <c r="F3416" s="14"/>
      <c r="G3416" s="13">
        <v>0</v>
      </c>
      <c r="H3416" s="13">
        <v>0</v>
      </c>
      <c r="I3416" s="13"/>
      <c r="J3416" s="13"/>
      <c r="K3416" s="13"/>
      <c r="L3416" s="15">
        <v>0</v>
      </c>
    </row>
    <row r="3417" spans="1:12">
      <c r="A3417" s="12"/>
      <c r="E3417" s="14"/>
      <c r="F3417" s="14"/>
      <c r="G3417" s="13">
        <v>0</v>
      </c>
      <c r="H3417" s="13">
        <v>0</v>
      </c>
      <c r="I3417" s="13"/>
      <c r="J3417" s="13"/>
      <c r="K3417" s="13"/>
      <c r="L3417" s="15">
        <v>0</v>
      </c>
    </row>
    <row r="3418" spans="1:12">
      <c r="A3418" s="12"/>
      <c r="E3418" s="14"/>
      <c r="F3418" s="14"/>
      <c r="G3418" s="13">
        <v>0</v>
      </c>
      <c r="H3418" s="13">
        <v>0</v>
      </c>
      <c r="I3418" s="13"/>
      <c r="J3418" s="13"/>
      <c r="K3418" s="13"/>
      <c r="L3418" s="15">
        <v>0</v>
      </c>
    </row>
    <row r="3419" spans="1:12">
      <c r="A3419" s="12"/>
      <c r="E3419" s="14"/>
      <c r="F3419" s="14"/>
      <c r="G3419" s="13">
        <v>0</v>
      </c>
      <c r="H3419" s="13">
        <v>0</v>
      </c>
      <c r="I3419" s="13"/>
      <c r="J3419" s="13"/>
      <c r="K3419" s="13"/>
      <c r="L3419" s="15">
        <v>0</v>
      </c>
    </row>
    <row r="3420" spans="1:12">
      <c r="A3420" s="12"/>
      <c r="E3420" s="14"/>
      <c r="F3420" s="14"/>
      <c r="G3420" s="13">
        <v>0</v>
      </c>
      <c r="H3420" s="13">
        <v>0</v>
      </c>
      <c r="I3420" s="13"/>
      <c r="J3420" s="13"/>
      <c r="K3420" s="13"/>
      <c r="L3420" s="15">
        <v>0</v>
      </c>
    </row>
    <row r="3421" spans="1:12">
      <c r="A3421" s="12"/>
      <c r="E3421" s="14"/>
      <c r="F3421" s="14"/>
      <c r="G3421" s="13">
        <v>0</v>
      </c>
      <c r="H3421" s="13">
        <v>0</v>
      </c>
      <c r="I3421" s="13"/>
      <c r="J3421" s="13"/>
      <c r="K3421" s="13"/>
      <c r="L3421" s="15">
        <v>0</v>
      </c>
    </row>
    <row r="3422" spans="1:12">
      <c r="A3422" s="12"/>
      <c r="E3422" s="14"/>
      <c r="F3422" s="14"/>
      <c r="G3422" s="13">
        <v>0</v>
      </c>
      <c r="H3422" s="13">
        <v>0</v>
      </c>
      <c r="I3422" s="13"/>
      <c r="J3422" s="13"/>
      <c r="K3422" s="13"/>
      <c r="L3422" s="15">
        <v>0</v>
      </c>
    </row>
    <row r="3423" spans="1:12">
      <c r="A3423" s="12"/>
      <c r="E3423" s="14"/>
      <c r="F3423" s="14"/>
      <c r="G3423" s="13">
        <v>0</v>
      </c>
      <c r="H3423" s="13">
        <v>0</v>
      </c>
      <c r="I3423" s="13"/>
      <c r="J3423" s="13"/>
      <c r="K3423" s="13"/>
      <c r="L3423" s="15">
        <v>0</v>
      </c>
    </row>
    <row r="3424" spans="1:12">
      <c r="A3424" s="12"/>
      <c r="E3424" s="14"/>
      <c r="F3424" s="14"/>
      <c r="G3424" s="13">
        <v>0</v>
      </c>
      <c r="H3424" s="13">
        <v>0</v>
      </c>
      <c r="I3424" s="13"/>
      <c r="J3424" s="13"/>
      <c r="K3424" s="13"/>
      <c r="L3424" s="15">
        <v>0</v>
      </c>
    </row>
    <row r="3425" spans="1:12">
      <c r="A3425" s="12"/>
      <c r="E3425" s="14"/>
      <c r="F3425" s="14"/>
      <c r="G3425" s="13">
        <v>0</v>
      </c>
      <c r="H3425" s="13">
        <v>0</v>
      </c>
      <c r="I3425" s="13"/>
      <c r="J3425" s="13"/>
      <c r="K3425" s="13"/>
      <c r="L3425" s="15">
        <v>0</v>
      </c>
    </row>
    <row r="3426" spans="1:12">
      <c r="A3426" s="12"/>
      <c r="E3426" s="14"/>
      <c r="F3426" s="14"/>
      <c r="G3426" s="13">
        <v>0</v>
      </c>
      <c r="H3426" s="13">
        <v>0</v>
      </c>
      <c r="I3426" s="13"/>
      <c r="J3426" s="13"/>
      <c r="K3426" s="13"/>
      <c r="L3426" s="15">
        <v>0</v>
      </c>
    </row>
    <row r="3427" spans="1:12">
      <c r="A3427" s="12"/>
      <c r="E3427" s="14"/>
      <c r="F3427" s="14"/>
      <c r="G3427" s="13">
        <v>0</v>
      </c>
      <c r="H3427" s="13">
        <v>0</v>
      </c>
      <c r="I3427" s="13"/>
      <c r="J3427" s="13"/>
      <c r="K3427" s="13"/>
      <c r="L3427" s="15">
        <v>0</v>
      </c>
    </row>
    <row r="3428" spans="1:12">
      <c r="A3428" s="12"/>
      <c r="E3428" s="14"/>
      <c r="F3428" s="14"/>
      <c r="G3428" s="13">
        <v>0</v>
      </c>
      <c r="H3428" s="13">
        <v>0</v>
      </c>
      <c r="I3428" s="13"/>
      <c r="J3428" s="13"/>
      <c r="K3428" s="13"/>
      <c r="L3428" s="15">
        <v>0</v>
      </c>
    </row>
    <row r="3429" spans="1:12">
      <c r="A3429" s="12"/>
      <c r="E3429" s="14"/>
      <c r="F3429" s="14"/>
      <c r="G3429" s="13">
        <v>0</v>
      </c>
      <c r="H3429" s="13">
        <v>0</v>
      </c>
      <c r="I3429" s="13"/>
      <c r="J3429" s="13"/>
      <c r="K3429" s="13"/>
      <c r="L3429" s="15">
        <v>0</v>
      </c>
    </row>
    <row r="3430" spans="1:12">
      <c r="A3430" s="12"/>
      <c r="E3430" s="14"/>
      <c r="F3430" s="14"/>
      <c r="G3430" s="13">
        <v>0</v>
      </c>
      <c r="H3430" s="13">
        <v>0</v>
      </c>
      <c r="I3430" s="13"/>
      <c r="J3430" s="13"/>
      <c r="K3430" s="13"/>
      <c r="L3430" s="15">
        <v>0</v>
      </c>
    </row>
    <row r="3431" spans="1:12">
      <c r="A3431" s="12"/>
      <c r="E3431" s="14"/>
      <c r="F3431" s="14"/>
      <c r="G3431" s="13">
        <v>0</v>
      </c>
      <c r="H3431" s="13">
        <v>0</v>
      </c>
      <c r="I3431" s="13"/>
      <c r="J3431" s="13"/>
      <c r="K3431" s="13"/>
      <c r="L3431" s="15">
        <v>0</v>
      </c>
    </row>
    <row r="3432" spans="1:12">
      <c r="A3432" s="12"/>
      <c r="E3432" s="14"/>
      <c r="F3432" s="14"/>
      <c r="G3432" s="13">
        <v>0</v>
      </c>
      <c r="H3432" s="13">
        <v>0</v>
      </c>
      <c r="I3432" s="13"/>
      <c r="J3432" s="13"/>
      <c r="K3432" s="13"/>
      <c r="L3432" s="15">
        <v>0</v>
      </c>
    </row>
    <row r="3433" spans="1:12">
      <c r="A3433" s="12"/>
      <c r="E3433" s="14"/>
      <c r="F3433" s="14"/>
      <c r="G3433" s="13">
        <v>0</v>
      </c>
      <c r="H3433" s="13">
        <v>0</v>
      </c>
      <c r="I3433" s="13"/>
      <c r="J3433" s="13"/>
      <c r="K3433" s="13"/>
      <c r="L3433" s="15">
        <v>0</v>
      </c>
    </row>
    <row r="3434" spans="1:12">
      <c r="A3434" s="12"/>
      <c r="E3434" s="14"/>
      <c r="F3434" s="14"/>
      <c r="G3434" s="13">
        <v>0</v>
      </c>
      <c r="H3434" s="13">
        <v>0</v>
      </c>
      <c r="I3434" s="13"/>
      <c r="J3434" s="13"/>
      <c r="K3434" s="13"/>
      <c r="L3434" s="15">
        <v>0</v>
      </c>
    </row>
    <row r="3435" spans="1:12">
      <c r="A3435" s="12"/>
      <c r="E3435" s="14"/>
      <c r="F3435" s="14"/>
      <c r="G3435" s="13">
        <v>0</v>
      </c>
      <c r="H3435" s="13">
        <v>0</v>
      </c>
      <c r="I3435" s="13"/>
      <c r="J3435" s="13"/>
      <c r="K3435" s="13"/>
      <c r="L3435" s="15">
        <v>0</v>
      </c>
    </row>
    <row r="3436" spans="1:12">
      <c r="A3436" s="12"/>
      <c r="E3436" s="14"/>
      <c r="F3436" s="14"/>
      <c r="G3436" s="13">
        <v>0</v>
      </c>
      <c r="H3436" s="13">
        <v>0</v>
      </c>
      <c r="I3436" s="13"/>
      <c r="J3436" s="13"/>
      <c r="K3436" s="13"/>
      <c r="L3436" s="15">
        <v>0</v>
      </c>
    </row>
    <row r="3437" spans="1:12">
      <c r="A3437" s="12"/>
      <c r="E3437" s="14"/>
      <c r="F3437" s="14"/>
      <c r="G3437" s="13">
        <v>0</v>
      </c>
      <c r="H3437" s="13">
        <v>0</v>
      </c>
      <c r="I3437" s="13"/>
      <c r="J3437" s="13"/>
      <c r="K3437" s="13"/>
      <c r="L3437" s="15">
        <v>0</v>
      </c>
    </row>
    <row r="3438" spans="1:12">
      <c r="A3438" s="12"/>
      <c r="E3438" s="14"/>
      <c r="F3438" s="14"/>
      <c r="G3438" s="13">
        <v>0</v>
      </c>
      <c r="H3438" s="13">
        <v>0</v>
      </c>
      <c r="I3438" s="13"/>
      <c r="J3438" s="13"/>
      <c r="K3438" s="13"/>
      <c r="L3438" s="15">
        <v>0</v>
      </c>
    </row>
    <row r="3439" spans="1:12">
      <c r="A3439" s="12"/>
      <c r="E3439" s="14"/>
      <c r="F3439" s="14"/>
      <c r="G3439" s="13">
        <v>0</v>
      </c>
      <c r="H3439" s="13">
        <v>0</v>
      </c>
      <c r="I3439" s="13"/>
      <c r="J3439" s="13"/>
      <c r="K3439" s="13"/>
      <c r="L3439" s="15">
        <v>0</v>
      </c>
    </row>
    <row r="3440" spans="1:12">
      <c r="A3440" s="12"/>
      <c r="E3440" s="14"/>
      <c r="F3440" s="14"/>
      <c r="G3440" s="13">
        <v>0</v>
      </c>
      <c r="H3440" s="13">
        <v>0</v>
      </c>
      <c r="I3440" s="13"/>
      <c r="J3440" s="13"/>
      <c r="K3440" s="13"/>
      <c r="L3440" s="15">
        <v>0</v>
      </c>
    </row>
    <row r="3441" spans="1:12">
      <c r="A3441" s="12"/>
      <c r="E3441" s="14"/>
      <c r="F3441" s="14"/>
      <c r="G3441" s="13">
        <v>0</v>
      </c>
      <c r="H3441" s="13">
        <v>0</v>
      </c>
      <c r="I3441" s="13"/>
      <c r="J3441" s="13"/>
      <c r="K3441" s="13"/>
      <c r="L3441" s="15">
        <v>0</v>
      </c>
    </row>
    <row r="3442" spans="1:12">
      <c r="A3442" s="12"/>
      <c r="E3442" s="14"/>
      <c r="F3442" s="14"/>
      <c r="G3442" s="13">
        <v>0</v>
      </c>
      <c r="H3442" s="13">
        <v>0</v>
      </c>
      <c r="I3442" s="13"/>
      <c r="J3442" s="13"/>
      <c r="K3442" s="13"/>
      <c r="L3442" s="15">
        <v>0</v>
      </c>
    </row>
    <row r="3443" spans="1:12">
      <c r="A3443" s="12"/>
      <c r="E3443" s="14"/>
      <c r="F3443" s="14"/>
      <c r="G3443" s="13">
        <v>0</v>
      </c>
      <c r="H3443" s="13">
        <v>0</v>
      </c>
      <c r="I3443" s="13"/>
      <c r="J3443" s="13"/>
      <c r="K3443" s="13"/>
      <c r="L3443" s="15">
        <v>0</v>
      </c>
    </row>
    <row r="3444" spans="1:12">
      <c r="A3444" s="12"/>
      <c r="E3444" s="14"/>
      <c r="F3444" s="14"/>
      <c r="G3444" s="13">
        <v>0</v>
      </c>
      <c r="H3444" s="13">
        <v>0</v>
      </c>
      <c r="I3444" s="13"/>
      <c r="J3444" s="13"/>
      <c r="K3444" s="13"/>
      <c r="L3444" s="15">
        <v>0</v>
      </c>
    </row>
    <row r="3445" spans="1:12">
      <c r="A3445" s="12"/>
      <c r="E3445" s="14"/>
      <c r="F3445" s="14"/>
      <c r="G3445" s="13">
        <v>0</v>
      </c>
      <c r="H3445" s="13">
        <v>0</v>
      </c>
      <c r="I3445" s="13"/>
      <c r="J3445" s="13"/>
      <c r="K3445" s="13"/>
      <c r="L3445" s="15">
        <v>0</v>
      </c>
    </row>
    <row r="3446" spans="1:12">
      <c r="A3446" s="12"/>
      <c r="E3446" s="14"/>
      <c r="F3446" s="14"/>
      <c r="G3446" s="13">
        <v>0</v>
      </c>
      <c r="H3446" s="13">
        <v>0</v>
      </c>
      <c r="I3446" s="13"/>
      <c r="J3446" s="13"/>
      <c r="K3446" s="13"/>
      <c r="L3446" s="15">
        <v>0</v>
      </c>
    </row>
    <row r="3447" spans="1:12">
      <c r="A3447" s="12"/>
      <c r="E3447" s="14"/>
      <c r="F3447" s="14"/>
      <c r="G3447" s="13">
        <v>0</v>
      </c>
      <c r="H3447" s="13">
        <v>0</v>
      </c>
      <c r="I3447" s="13"/>
      <c r="J3447" s="13"/>
      <c r="K3447" s="13"/>
      <c r="L3447" s="15">
        <v>0</v>
      </c>
    </row>
    <row r="3448" spans="1:12">
      <c r="A3448" s="12"/>
      <c r="E3448" s="14"/>
      <c r="F3448" s="14"/>
      <c r="G3448" s="13">
        <v>0</v>
      </c>
      <c r="H3448" s="13">
        <v>0</v>
      </c>
      <c r="I3448" s="13"/>
      <c r="J3448" s="13"/>
      <c r="K3448" s="13"/>
      <c r="L3448" s="15">
        <v>0</v>
      </c>
    </row>
    <row r="3449" spans="1:12">
      <c r="A3449" s="12"/>
      <c r="E3449" s="14"/>
      <c r="F3449" s="14"/>
      <c r="G3449" s="13">
        <v>0</v>
      </c>
      <c r="H3449" s="13">
        <v>0</v>
      </c>
      <c r="I3449" s="13"/>
      <c r="J3449" s="13"/>
      <c r="K3449" s="13"/>
      <c r="L3449" s="15">
        <v>0</v>
      </c>
    </row>
    <row r="3450" spans="1:12">
      <c r="A3450" s="12"/>
      <c r="E3450" s="14"/>
      <c r="F3450" s="14"/>
      <c r="G3450" s="13">
        <v>0</v>
      </c>
      <c r="H3450" s="13">
        <v>0</v>
      </c>
      <c r="I3450" s="13"/>
      <c r="J3450" s="13"/>
      <c r="K3450" s="13"/>
      <c r="L3450" s="15">
        <v>0</v>
      </c>
    </row>
    <row r="3451" spans="1:12">
      <c r="A3451" s="12"/>
      <c r="E3451" s="14"/>
      <c r="F3451" s="14"/>
      <c r="G3451" s="13">
        <v>0</v>
      </c>
      <c r="H3451" s="13">
        <v>0</v>
      </c>
      <c r="I3451" s="13"/>
      <c r="J3451" s="13"/>
      <c r="K3451" s="13"/>
      <c r="L3451" s="15">
        <v>0</v>
      </c>
    </row>
    <row r="3452" spans="1:12">
      <c r="A3452" s="12"/>
      <c r="E3452" s="14"/>
      <c r="F3452" s="14"/>
      <c r="G3452" s="13">
        <v>0</v>
      </c>
      <c r="H3452" s="13">
        <v>0</v>
      </c>
      <c r="I3452" s="13"/>
      <c r="J3452" s="13"/>
      <c r="K3452" s="13"/>
      <c r="L3452" s="15">
        <v>0</v>
      </c>
    </row>
    <row r="3453" spans="1:12">
      <c r="A3453" s="12"/>
      <c r="E3453" s="14"/>
      <c r="F3453" s="14"/>
      <c r="G3453" s="13">
        <v>0</v>
      </c>
      <c r="H3453" s="13">
        <v>0</v>
      </c>
      <c r="I3453" s="13"/>
      <c r="J3453" s="13"/>
      <c r="K3453" s="13"/>
      <c r="L3453" s="15">
        <v>0</v>
      </c>
    </row>
    <row r="3454" spans="1:12">
      <c r="A3454" s="12"/>
      <c r="E3454" s="14"/>
      <c r="F3454" s="14"/>
      <c r="G3454" s="13">
        <v>0</v>
      </c>
      <c r="H3454" s="13">
        <v>0</v>
      </c>
      <c r="I3454" s="13"/>
      <c r="J3454" s="13"/>
      <c r="K3454" s="13"/>
      <c r="L3454" s="15">
        <v>0</v>
      </c>
    </row>
    <row r="3455" spans="1:12">
      <c r="A3455" s="12"/>
      <c r="E3455" s="14"/>
      <c r="F3455" s="14"/>
      <c r="G3455" s="13">
        <v>0</v>
      </c>
      <c r="H3455" s="13">
        <v>0</v>
      </c>
      <c r="I3455" s="13"/>
      <c r="J3455" s="13"/>
      <c r="K3455" s="13"/>
      <c r="L3455" s="15">
        <v>0</v>
      </c>
    </row>
    <row r="3456" spans="1:12">
      <c r="A3456" s="12"/>
      <c r="E3456" s="14"/>
      <c r="F3456" s="14"/>
      <c r="G3456" s="13">
        <v>0</v>
      </c>
      <c r="H3456" s="13">
        <v>0</v>
      </c>
      <c r="I3456" s="13"/>
      <c r="J3456" s="13"/>
      <c r="K3456" s="13"/>
      <c r="L3456" s="15">
        <v>0</v>
      </c>
    </row>
    <row r="3457" spans="1:12">
      <c r="A3457" s="12"/>
      <c r="E3457" s="14"/>
      <c r="F3457" s="14"/>
      <c r="G3457" s="13">
        <v>0</v>
      </c>
      <c r="H3457" s="13">
        <v>0</v>
      </c>
      <c r="I3457" s="13"/>
      <c r="J3457" s="13"/>
      <c r="K3457" s="13"/>
      <c r="L3457" s="15">
        <v>0</v>
      </c>
    </row>
    <row r="3458" spans="1:12">
      <c r="A3458" s="12"/>
      <c r="E3458" s="14"/>
      <c r="F3458" s="14"/>
      <c r="G3458" s="13">
        <v>0</v>
      </c>
      <c r="H3458" s="13">
        <v>0</v>
      </c>
      <c r="I3458" s="13"/>
      <c r="J3458" s="13"/>
      <c r="K3458" s="13"/>
      <c r="L3458" s="15">
        <v>0</v>
      </c>
    </row>
    <row r="3459" spans="1:12">
      <c r="A3459" s="12"/>
      <c r="E3459" s="14"/>
      <c r="F3459" s="14"/>
      <c r="G3459" s="13">
        <v>0</v>
      </c>
      <c r="H3459" s="13">
        <v>0</v>
      </c>
      <c r="I3459" s="13"/>
      <c r="J3459" s="13"/>
      <c r="K3459" s="13"/>
      <c r="L3459" s="15">
        <v>0</v>
      </c>
    </row>
    <row r="3460" spans="1:12">
      <c r="A3460" s="12"/>
      <c r="E3460" s="14"/>
      <c r="F3460" s="14"/>
      <c r="G3460" s="13">
        <v>0</v>
      </c>
      <c r="H3460" s="13">
        <v>0</v>
      </c>
      <c r="I3460" s="13"/>
      <c r="J3460" s="13"/>
      <c r="K3460" s="13"/>
      <c r="L3460" s="15">
        <v>0</v>
      </c>
    </row>
    <row r="3461" spans="1:12">
      <c r="A3461" s="12"/>
      <c r="E3461" s="14"/>
      <c r="F3461" s="14"/>
      <c r="G3461" s="13">
        <v>0</v>
      </c>
      <c r="H3461" s="13">
        <v>0</v>
      </c>
      <c r="I3461" s="13"/>
      <c r="J3461" s="13"/>
      <c r="K3461" s="13"/>
      <c r="L3461" s="15">
        <v>0</v>
      </c>
    </row>
    <row r="3462" spans="1:12">
      <c r="A3462" s="12"/>
      <c r="E3462" s="14"/>
      <c r="F3462" s="14"/>
      <c r="G3462" s="13">
        <v>0</v>
      </c>
      <c r="H3462" s="13">
        <v>0</v>
      </c>
      <c r="I3462" s="13"/>
      <c r="J3462" s="13"/>
      <c r="K3462" s="13"/>
      <c r="L3462" s="15">
        <v>0</v>
      </c>
    </row>
    <row r="3463" spans="1:12">
      <c r="A3463" s="12"/>
      <c r="E3463" s="14"/>
      <c r="F3463" s="14"/>
      <c r="G3463" s="13">
        <v>0</v>
      </c>
      <c r="H3463" s="13">
        <v>0</v>
      </c>
      <c r="I3463" s="13"/>
      <c r="J3463" s="13"/>
      <c r="K3463" s="13"/>
      <c r="L3463" s="15">
        <v>0</v>
      </c>
    </row>
    <row r="3464" spans="1:12">
      <c r="A3464" s="12"/>
      <c r="E3464" s="14"/>
      <c r="F3464" s="14"/>
      <c r="G3464" s="13">
        <v>0</v>
      </c>
      <c r="H3464" s="13">
        <v>0</v>
      </c>
      <c r="I3464" s="13"/>
      <c r="J3464" s="13"/>
      <c r="K3464" s="13"/>
      <c r="L3464" s="15">
        <v>0</v>
      </c>
    </row>
    <row r="3465" spans="1:12">
      <c r="A3465" s="12"/>
      <c r="E3465" s="14"/>
      <c r="F3465" s="14"/>
      <c r="G3465" s="13">
        <v>0</v>
      </c>
      <c r="H3465" s="13">
        <v>0</v>
      </c>
      <c r="I3465" s="13"/>
      <c r="J3465" s="13"/>
      <c r="K3465" s="13"/>
      <c r="L3465" s="15">
        <v>0</v>
      </c>
    </row>
    <row r="3466" spans="1:12">
      <c r="A3466" s="12"/>
      <c r="E3466" s="14"/>
      <c r="F3466" s="14"/>
      <c r="G3466" s="13">
        <v>0</v>
      </c>
      <c r="H3466" s="13">
        <v>0</v>
      </c>
      <c r="I3466" s="13"/>
      <c r="J3466" s="13"/>
      <c r="K3466" s="13"/>
      <c r="L3466" s="15">
        <v>0</v>
      </c>
    </row>
    <row r="3467" spans="1:12">
      <c r="A3467" s="12"/>
      <c r="E3467" s="14"/>
      <c r="F3467" s="14"/>
      <c r="G3467" s="13">
        <v>0</v>
      </c>
      <c r="H3467" s="13">
        <v>0</v>
      </c>
      <c r="I3467" s="13"/>
      <c r="J3467" s="13"/>
      <c r="K3467" s="13"/>
      <c r="L3467" s="15">
        <v>0</v>
      </c>
    </row>
    <row r="3468" spans="1:12">
      <c r="A3468" s="12"/>
      <c r="E3468" s="14"/>
      <c r="F3468" s="14"/>
      <c r="G3468" s="13">
        <v>0</v>
      </c>
      <c r="H3468" s="13">
        <v>0</v>
      </c>
      <c r="I3468" s="13"/>
      <c r="J3468" s="13"/>
      <c r="K3468" s="13"/>
      <c r="L3468" s="15">
        <v>0</v>
      </c>
    </row>
    <row r="3469" spans="1:12">
      <c r="A3469" s="12"/>
      <c r="E3469" s="14"/>
      <c r="F3469" s="14"/>
      <c r="G3469" s="13">
        <v>0</v>
      </c>
      <c r="H3469" s="13">
        <v>0</v>
      </c>
      <c r="I3469" s="13"/>
      <c r="J3469" s="13"/>
      <c r="K3469" s="13"/>
      <c r="L3469" s="15">
        <v>0</v>
      </c>
    </row>
    <row r="3470" spans="1:12">
      <c r="A3470" s="12"/>
      <c r="E3470" s="14"/>
      <c r="F3470" s="14"/>
      <c r="G3470" s="13">
        <v>0</v>
      </c>
      <c r="H3470" s="13">
        <v>0</v>
      </c>
      <c r="I3470" s="13"/>
      <c r="J3470" s="13"/>
      <c r="K3470" s="13"/>
      <c r="L3470" s="15">
        <v>0</v>
      </c>
    </row>
    <row r="3471" spans="1:12">
      <c r="A3471" s="12"/>
      <c r="E3471" s="14"/>
      <c r="F3471" s="14"/>
      <c r="G3471" s="13">
        <v>0</v>
      </c>
      <c r="H3471" s="13">
        <v>0</v>
      </c>
      <c r="I3471" s="13"/>
      <c r="J3471" s="13"/>
      <c r="K3471" s="13"/>
      <c r="L3471" s="15">
        <v>0</v>
      </c>
    </row>
    <row r="3472" spans="1:12">
      <c r="A3472" s="12"/>
      <c r="E3472" s="14"/>
      <c r="F3472" s="14"/>
      <c r="G3472" s="13">
        <v>0</v>
      </c>
      <c r="H3472" s="13">
        <v>0</v>
      </c>
      <c r="I3472" s="13"/>
      <c r="J3472" s="13"/>
      <c r="K3472" s="13"/>
      <c r="L3472" s="15">
        <v>0</v>
      </c>
    </row>
    <row r="3473" spans="1:12">
      <c r="A3473" s="12"/>
      <c r="E3473" s="14"/>
      <c r="F3473" s="14"/>
      <c r="G3473" s="13">
        <v>0</v>
      </c>
      <c r="H3473" s="13">
        <v>0</v>
      </c>
      <c r="I3473" s="13"/>
      <c r="J3473" s="13"/>
      <c r="K3473" s="13"/>
      <c r="L3473" s="15">
        <v>0</v>
      </c>
    </row>
    <row r="3474" spans="1:12">
      <c r="A3474" s="12"/>
      <c r="E3474" s="14"/>
      <c r="F3474" s="14"/>
      <c r="G3474" s="13">
        <v>0</v>
      </c>
      <c r="H3474" s="13">
        <v>0</v>
      </c>
      <c r="I3474" s="13"/>
      <c r="J3474" s="13"/>
      <c r="K3474" s="13"/>
      <c r="L3474" s="15">
        <v>0</v>
      </c>
    </row>
    <row r="3475" spans="1:12">
      <c r="A3475" s="12"/>
      <c r="E3475" s="14"/>
      <c r="F3475" s="14"/>
      <c r="G3475" s="13">
        <v>0</v>
      </c>
      <c r="H3475" s="13">
        <v>0</v>
      </c>
      <c r="I3475" s="13"/>
      <c r="J3475" s="13"/>
      <c r="K3475" s="13"/>
      <c r="L3475" s="15">
        <v>0</v>
      </c>
    </row>
    <row r="3476" spans="1:12">
      <c r="A3476" s="12"/>
      <c r="E3476" s="14"/>
      <c r="F3476" s="14"/>
      <c r="G3476" s="13">
        <v>0</v>
      </c>
      <c r="H3476" s="13">
        <v>0</v>
      </c>
      <c r="I3476" s="13"/>
      <c r="J3476" s="13"/>
      <c r="K3476" s="13"/>
      <c r="L3476" s="15">
        <v>0</v>
      </c>
    </row>
    <row r="3477" spans="1:12">
      <c r="A3477" s="12"/>
      <c r="E3477" s="14"/>
      <c r="F3477" s="14"/>
      <c r="G3477" s="13">
        <v>0</v>
      </c>
      <c r="H3477" s="13">
        <v>0</v>
      </c>
      <c r="I3477" s="13"/>
      <c r="J3477" s="13"/>
      <c r="K3477" s="13"/>
      <c r="L3477" s="15">
        <v>0</v>
      </c>
    </row>
    <row r="3478" spans="1:12">
      <c r="A3478" s="12"/>
      <c r="E3478" s="14"/>
      <c r="F3478" s="14"/>
      <c r="G3478" s="13">
        <v>0</v>
      </c>
      <c r="H3478" s="13">
        <v>0</v>
      </c>
      <c r="I3478" s="13"/>
      <c r="J3478" s="13"/>
      <c r="K3478" s="13"/>
      <c r="L3478" s="15">
        <v>0</v>
      </c>
    </row>
    <row r="3479" spans="1:12">
      <c r="A3479" s="12"/>
      <c r="E3479" s="14"/>
      <c r="F3479" s="14"/>
      <c r="G3479" s="13">
        <v>0</v>
      </c>
      <c r="H3479" s="13">
        <v>0</v>
      </c>
      <c r="I3479" s="13"/>
      <c r="J3479" s="13"/>
      <c r="K3479" s="13"/>
      <c r="L3479" s="15">
        <v>0</v>
      </c>
    </row>
    <row r="3480" spans="1:12">
      <c r="A3480" s="12"/>
      <c r="E3480" s="14"/>
      <c r="F3480" s="14"/>
      <c r="G3480" s="13">
        <v>0</v>
      </c>
      <c r="H3480" s="13">
        <v>0</v>
      </c>
      <c r="I3480" s="13"/>
      <c r="J3480" s="13"/>
      <c r="K3480" s="13"/>
      <c r="L3480" s="15">
        <v>0</v>
      </c>
    </row>
    <row r="3481" spans="1:12">
      <c r="A3481" s="12"/>
      <c r="E3481" s="14"/>
      <c r="F3481" s="14"/>
      <c r="G3481" s="13">
        <v>0</v>
      </c>
      <c r="H3481" s="13">
        <v>0</v>
      </c>
      <c r="I3481" s="13"/>
      <c r="J3481" s="13"/>
      <c r="K3481" s="13"/>
      <c r="L3481" s="15">
        <v>0</v>
      </c>
    </row>
    <row r="3482" spans="1:12">
      <c r="A3482" s="12"/>
      <c r="E3482" s="14"/>
      <c r="F3482" s="14"/>
      <c r="G3482" s="13">
        <v>0</v>
      </c>
      <c r="H3482" s="13">
        <v>0</v>
      </c>
      <c r="I3482" s="13"/>
      <c r="J3482" s="13"/>
      <c r="K3482" s="13"/>
      <c r="L3482" s="15">
        <v>0</v>
      </c>
    </row>
    <row r="3483" spans="1:12">
      <c r="A3483" s="12"/>
      <c r="E3483" s="14"/>
      <c r="F3483" s="14"/>
      <c r="G3483" s="13">
        <v>0</v>
      </c>
      <c r="H3483" s="13">
        <v>0</v>
      </c>
      <c r="I3483" s="13"/>
      <c r="J3483" s="13"/>
      <c r="K3483" s="13"/>
      <c r="L3483" s="15">
        <v>0</v>
      </c>
    </row>
    <row r="3484" spans="1:12">
      <c r="A3484" s="12"/>
      <c r="E3484" s="14"/>
      <c r="F3484" s="14"/>
      <c r="G3484" s="13">
        <v>0</v>
      </c>
      <c r="H3484" s="13">
        <v>0</v>
      </c>
      <c r="I3484" s="13"/>
      <c r="J3484" s="13"/>
      <c r="K3484" s="13"/>
      <c r="L3484" s="15">
        <v>0</v>
      </c>
    </row>
    <row r="3485" spans="1:12">
      <c r="A3485" s="12"/>
      <c r="E3485" s="14"/>
      <c r="F3485" s="14"/>
      <c r="G3485" s="13">
        <v>0</v>
      </c>
      <c r="H3485" s="13">
        <v>0</v>
      </c>
      <c r="I3485" s="13"/>
      <c r="J3485" s="13"/>
      <c r="K3485" s="13"/>
      <c r="L3485" s="15">
        <v>0</v>
      </c>
    </row>
    <row r="3486" spans="1:12">
      <c r="A3486" s="12"/>
      <c r="E3486" s="14"/>
      <c r="F3486" s="14"/>
      <c r="G3486" s="13">
        <v>0</v>
      </c>
      <c r="H3486" s="13">
        <v>0</v>
      </c>
      <c r="I3486" s="13"/>
      <c r="J3486" s="13"/>
      <c r="K3486" s="13"/>
      <c r="L3486" s="15">
        <v>0</v>
      </c>
    </row>
    <row r="3487" spans="1:12">
      <c r="A3487" s="12"/>
      <c r="E3487" s="14"/>
      <c r="F3487" s="14"/>
      <c r="G3487" s="13">
        <v>0</v>
      </c>
      <c r="H3487" s="13">
        <v>0</v>
      </c>
      <c r="I3487" s="13"/>
      <c r="J3487" s="13"/>
      <c r="K3487" s="13"/>
      <c r="L3487" s="15">
        <v>0</v>
      </c>
    </row>
    <row r="3488" spans="1:12">
      <c r="A3488" s="12"/>
      <c r="E3488" s="14"/>
      <c r="F3488" s="14"/>
      <c r="G3488" s="13">
        <v>0</v>
      </c>
      <c r="H3488" s="13">
        <v>0</v>
      </c>
      <c r="I3488" s="13"/>
      <c r="J3488" s="13"/>
      <c r="K3488" s="13"/>
      <c r="L3488" s="15">
        <v>0</v>
      </c>
    </row>
    <row r="3489" spans="1:12">
      <c r="A3489" s="12"/>
      <c r="E3489" s="14"/>
      <c r="F3489" s="14"/>
      <c r="G3489" s="13">
        <v>0</v>
      </c>
      <c r="H3489" s="13">
        <v>0</v>
      </c>
      <c r="I3489" s="13"/>
      <c r="J3489" s="13"/>
      <c r="K3489" s="13"/>
      <c r="L3489" s="15">
        <v>0</v>
      </c>
    </row>
    <row r="3490" spans="1:12">
      <c r="A3490" s="12"/>
      <c r="E3490" s="14"/>
      <c r="F3490" s="14"/>
      <c r="G3490" s="13">
        <v>0</v>
      </c>
      <c r="H3490" s="13">
        <v>0</v>
      </c>
      <c r="I3490" s="13"/>
      <c r="J3490" s="13"/>
      <c r="K3490" s="13"/>
      <c r="L3490" s="15">
        <v>0</v>
      </c>
    </row>
    <row r="3491" spans="1:12">
      <c r="A3491" s="12"/>
      <c r="E3491" s="14"/>
      <c r="F3491" s="14"/>
      <c r="G3491" s="13">
        <v>0</v>
      </c>
      <c r="H3491" s="13">
        <v>0</v>
      </c>
      <c r="I3491" s="13"/>
      <c r="J3491" s="13"/>
      <c r="K3491" s="13"/>
      <c r="L3491" s="15">
        <v>0</v>
      </c>
    </row>
    <row r="3492" spans="1:12">
      <c r="A3492" s="12"/>
      <c r="E3492" s="14"/>
      <c r="F3492" s="14"/>
      <c r="G3492" s="13">
        <v>0</v>
      </c>
      <c r="H3492" s="13">
        <v>0</v>
      </c>
      <c r="I3492" s="13"/>
      <c r="J3492" s="13"/>
      <c r="K3492" s="13"/>
      <c r="L3492" s="15">
        <v>0</v>
      </c>
    </row>
    <row r="3493" spans="1:12">
      <c r="A3493" s="12"/>
      <c r="E3493" s="14"/>
      <c r="F3493" s="14"/>
      <c r="G3493" s="13">
        <v>0</v>
      </c>
      <c r="H3493" s="13">
        <v>0</v>
      </c>
      <c r="I3493" s="13"/>
      <c r="J3493" s="13"/>
      <c r="K3493" s="13"/>
      <c r="L3493" s="15">
        <v>0</v>
      </c>
    </row>
    <row r="3494" spans="1:12">
      <c r="A3494" s="12"/>
      <c r="E3494" s="14"/>
      <c r="F3494" s="14"/>
      <c r="G3494" s="13">
        <v>0</v>
      </c>
      <c r="H3494" s="13">
        <v>0</v>
      </c>
      <c r="I3494" s="13"/>
      <c r="J3494" s="13"/>
      <c r="K3494" s="13"/>
      <c r="L3494" s="15">
        <v>0</v>
      </c>
    </row>
    <row r="3495" spans="1:12">
      <c r="A3495" s="12"/>
      <c r="E3495" s="14"/>
      <c r="F3495" s="14"/>
      <c r="G3495" s="13">
        <v>0</v>
      </c>
      <c r="H3495" s="13">
        <v>0</v>
      </c>
      <c r="I3495" s="13"/>
      <c r="J3495" s="13"/>
      <c r="K3495" s="13"/>
      <c r="L3495" s="15">
        <v>0</v>
      </c>
    </row>
    <row r="3496" spans="1:12">
      <c r="A3496" s="12"/>
      <c r="E3496" s="14"/>
      <c r="F3496" s="14"/>
      <c r="G3496" s="13">
        <v>0</v>
      </c>
      <c r="H3496" s="13">
        <v>0</v>
      </c>
      <c r="I3496" s="13"/>
      <c r="J3496" s="13"/>
      <c r="K3496" s="13"/>
      <c r="L3496" s="15">
        <v>0</v>
      </c>
    </row>
    <row r="3497" spans="1:12">
      <c r="A3497" s="12"/>
      <c r="E3497" s="14"/>
      <c r="F3497" s="14"/>
      <c r="G3497" s="13">
        <v>0</v>
      </c>
      <c r="H3497" s="13">
        <v>0</v>
      </c>
      <c r="I3497" s="13"/>
      <c r="J3497" s="13"/>
      <c r="K3497" s="13"/>
      <c r="L3497" s="15">
        <v>0</v>
      </c>
    </row>
    <row r="3498" spans="1:12">
      <c r="A3498" s="12"/>
      <c r="E3498" s="14"/>
      <c r="F3498" s="14"/>
      <c r="G3498" s="13">
        <v>0</v>
      </c>
      <c r="H3498" s="13">
        <v>0</v>
      </c>
      <c r="I3498" s="13"/>
      <c r="J3498" s="13"/>
      <c r="K3498" s="13"/>
      <c r="L3498" s="15">
        <v>0</v>
      </c>
    </row>
    <row r="3499" spans="1:12">
      <c r="A3499" s="12"/>
      <c r="E3499" s="14"/>
      <c r="F3499" s="14"/>
      <c r="G3499" s="13">
        <v>0</v>
      </c>
      <c r="H3499" s="13">
        <v>0</v>
      </c>
      <c r="I3499" s="13"/>
      <c r="J3499" s="13"/>
      <c r="K3499" s="13"/>
      <c r="L3499" s="15">
        <v>0</v>
      </c>
    </row>
    <row r="3500" spans="1:12">
      <c r="A3500" s="12"/>
      <c r="E3500" s="14"/>
      <c r="F3500" s="14"/>
      <c r="G3500" s="13">
        <v>0</v>
      </c>
      <c r="H3500" s="13">
        <v>0</v>
      </c>
      <c r="I3500" s="13"/>
      <c r="J3500" s="13"/>
      <c r="K3500" s="13"/>
      <c r="L3500" s="15">
        <v>0</v>
      </c>
    </row>
    <row r="3501" spans="1:12">
      <c r="A3501" s="12"/>
      <c r="E3501" s="14"/>
      <c r="F3501" s="14"/>
      <c r="G3501" s="13">
        <v>0</v>
      </c>
      <c r="H3501" s="13">
        <v>0</v>
      </c>
      <c r="I3501" s="13"/>
      <c r="J3501" s="13"/>
      <c r="K3501" s="13"/>
      <c r="L3501" s="15">
        <v>0</v>
      </c>
    </row>
    <row r="3502" spans="1:12">
      <c r="A3502" s="12"/>
      <c r="E3502" s="14"/>
      <c r="F3502" s="14"/>
      <c r="G3502" s="13">
        <v>0</v>
      </c>
      <c r="H3502" s="13">
        <v>0</v>
      </c>
      <c r="I3502" s="13"/>
      <c r="J3502" s="13"/>
      <c r="K3502" s="13"/>
      <c r="L3502" s="15">
        <v>0</v>
      </c>
    </row>
    <row r="3503" spans="1:12">
      <c r="A3503" s="12"/>
      <c r="E3503" s="14"/>
      <c r="F3503" s="14"/>
      <c r="G3503" s="13">
        <v>0</v>
      </c>
      <c r="H3503" s="13">
        <v>0</v>
      </c>
      <c r="I3503" s="13"/>
      <c r="J3503" s="13"/>
      <c r="K3503" s="13"/>
      <c r="L3503" s="15">
        <v>0</v>
      </c>
    </row>
    <row r="3504" spans="1:12">
      <c r="A3504" s="12"/>
      <c r="E3504" s="14"/>
      <c r="F3504" s="14"/>
      <c r="G3504" s="13">
        <v>0</v>
      </c>
      <c r="H3504" s="13">
        <v>0</v>
      </c>
      <c r="I3504" s="13"/>
      <c r="J3504" s="13"/>
      <c r="K3504" s="13"/>
      <c r="L3504" s="15">
        <v>0</v>
      </c>
    </row>
    <row r="3505" spans="1:12">
      <c r="A3505" s="12"/>
      <c r="E3505" s="14"/>
      <c r="F3505" s="14"/>
      <c r="G3505" s="13">
        <v>0</v>
      </c>
      <c r="H3505" s="13">
        <v>0</v>
      </c>
      <c r="I3505" s="13"/>
      <c r="J3505" s="13"/>
      <c r="K3505" s="13"/>
      <c r="L3505" s="15">
        <v>0</v>
      </c>
    </row>
    <row r="3506" spans="1:12">
      <c r="A3506" s="12"/>
      <c r="E3506" s="14"/>
      <c r="F3506" s="14"/>
      <c r="G3506" s="13">
        <v>0</v>
      </c>
      <c r="H3506" s="13">
        <v>0</v>
      </c>
      <c r="I3506" s="13"/>
      <c r="J3506" s="13"/>
      <c r="K3506" s="13"/>
      <c r="L3506" s="15">
        <v>0</v>
      </c>
    </row>
    <row r="3507" spans="1:12">
      <c r="A3507" s="12"/>
      <c r="E3507" s="14"/>
      <c r="F3507" s="14"/>
      <c r="G3507" s="13">
        <v>0</v>
      </c>
      <c r="H3507" s="13">
        <v>0</v>
      </c>
      <c r="I3507" s="13"/>
      <c r="J3507" s="13"/>
      <c r="K3507" s="13"/>
      <c r="L3507" s="15">
        <v>0</v>
      </c>
    </row>
    <row r="3508" spans="1:12">
      <c r="A3508" s="12"/>
      <c r="E3508" s="14"/>
      <c r="F3508" s="14"/>
      <c r="G3508" s="13">
        <v>0</v>
      </c>
      <c r="H3508" s="13">
        <v>0</v>
      </c>
      <c r="I3508" s="13"/>
      <c r="J3508" s="13"/>
      <c r="K3508" s="13"/>
      <c r="L3508" s="15">
        <v>0</v>
      </c>
    </row>
    <row r="3509" spans="1:12">
      <c r="A3509" s="12"/>
      <c r="E3509" s="14"/>
      <c r="F3509" s="14"/>
      <c r="G3509" s="13">
        <v>0</v>
      </c>
      <c r="H3509" s="13">
        <v>0</v>
      </c>
      <c r="I3509" s="13"/>
      <c r="J3509" s="13"/>
      <c r="K3509" s="13"/>
      <c r="L3509" s="15">
        <v>0</v>
      </c>
    </row>
    <row r="3510" spans="1:12">
      <c r="A3510" s="12"/>
      <c r="E3510" s="14"/>
      <c r="F3510" s="14"/>
      <c r="G3510" s="13">
        <v>0</v>
      </c>
      <c r="H3510" s="13">
        <v>0</v>
      </c>
      <c r="I3510" s="13"/>
      <c r="J3510" s="13"/>
      <c r="K3510" s="13"/>
      <c r="L3510" s="15">
        <v>0</v>
      </c>
    </row>
    <row r="3511" spans="1:12">
      <c r="A3511" s="12"/>
      <c r="E3511" s="14"/>
      <c r="F3511" s="14"/>
      <c r="G3511" s="13">
        <v>0</v>
      </c>
      <c r="H3511" s="13">
        <v>0</v>
      </c>
      <c r="I3511" s="13"/>
      <c r="J3511" s="13"/>
      <c r="K3511" s="13"/>
      <c r="L3511" s="15">
        <v>0</v>
      </c>
    </row>
    <row r="3512" spans="1:12">
      <c r="A3512" s="12"/>
      <c r="E3512" s="14"/>
      <c r="F3512" s="14"/>
      <c r="G3512" s="13">
        <v>0</v>
      </c>
      <c r="H3512" s="13">
        <v>0</v>
      </c>
      <c r="I3512" s="13"/>
      <c r="J3512" s="13"/>
      <c r="K3512" s="13"/>
      <c r="L3512" s="15">
        <v>0</v>
      </c>
    </row>
    <row r="3513" spans="1:12">
      <c r="A3513" s="12"/>
      <c r="E3513" s="14"/>
      <c r="F3513" s="14"/>
      <c r="G3513" s="13">
        <v>0</v>
      </c>
      <c r="H3513" s="13">
        <v>0</v>
      </c>
      <c r="I3513" s="13"/>
      <c r="J3513" s="13"/>
      <c r="K3513" s="13"/>
      <c r="L3513" s="15">
        <v>0</v>
      </c>
    </row>
    <row r="3514" spans="1:12">
      <c r="A3514" s="12"/>
      <c r="E3514" s="14"/>
      <c r="F3514" s="14"/>
      <c r="G3514" s="13">
        <v>0</v>
      </c>
      <c r="H3514" s="13">
        <v>0</v>
      </c>
      <c r="I3514" s="13"/>
      <c r="J3514" s="13"/>
      <c r="K3514" s="13"/>
      <c r="L3514" s="15">
        <v>0</v>
      </c>
    </row>
    <row r="3515" spans="1:12">
      <c r="A3515" s="12"/>
      <c r="E3515" s="14"/>
      <c r="F3515" s="14"/>
      <c r="G3515" s="13">
        <v>0</v>
      </c>
      <c r="H3515" s="13">
        <v>0</v>
      </c>
      <c r="I3515" s="13"/>
      <c r="J3515" s="13"/>
      <c r="K3515" s="13"/>
      <c r="L3515" s="15">
        <v>0</v>
      </c>
    </row>
    <row r="3516" spans="1:12">
      <c r="A3516" s="12"/>
      <c r="E3516" s="14"/>
      <c r="F3516" s="14"/>
      <c r="G3516" s="13">
        <v>0</v>
      </c>
      <c r="H3516" s="13">
        <v>0</v>
      </c>
      <c r="I3516" s="13"/>
      <c r="J3516" s="13"/>
      <c r="K3516" s="13"/>
      <c r="L3516" s="15">
        <v>0</v>
      </c>
    </row>
    <row r="3517" spans="1:12">
      <c r="A3517" s="12"/>
      <c r="E3517" s="14"/>
      <c r="F3517" s="14"/>
      <c r="G3517" s="13">
        <v>0</v>
      </c>
      <c r="H3517" s="13">
        <v>0</v>
      </c>
      <c r="I3517" s="13"/>
      <c r="J3517" s="13"/>
      <c r="K3517" s="13"/>
      <c r="L3517" s="15">
        <v>0</v>
      </c>
    </row>
    <row r="3518" spans="1:12">
      <c r="A3518" s="12"/>
      <c r="E3518" s="14"/>
      <c r="F3518" s="14"/>
      <c r="G3518" s="13">
        <v>0</v>
      </c>
      <c r="H3518" s="13">
        <v>0</v>
      </c>
      <c r="I3518" s="13"/>
      <c r="J3518" s="13"/>
      <c r="K3518" s="13"/>
      <c r="L3518" s="15">
        <v>0</v>
      </c>
    </row>
    <row r="3519" spans="1:12">
      <c r="A3519" s="12"/>
      <c r="E3519" s="14"/>
      <c r="F3519" s="14"/>
      <c r="G3519" s="13">
        <v>0</v>
      </c>
      <c r="H3519" s="13">
        <v>0</v>
      </c>
      <c r="I3519" s="13"/>
      <c r="J3519" s="13"/>
      <c r="K3519" s="13"/>
      <c r="L3519" s="15">
        <v>0</v>
      </c>
    </row>
    <row r="3520" spans="1:12">
      <c r="A3520" s="12"/>
      <c r="E3520" s="14"/>
      <c r="F3520" s="14"/>
      <c r="G3520" s="13">
        <v>0</v>
      </c>
      <c r="H3520" s="13">
        <v>0</v>
      </c>
      <c r="I3520" s="13"/>
      <c r="J3520" s="13"/>
      <c r="K3520" s="13"/>
      <c r="L3520" s="15">
        <v>0</v>
      </c>
    </row>
    <row r="3521" spans="1:12">
      <c r="A3521" s="12"/>
      <c r="E3521" s="14"/>
      <c r="F3521" s="14"/>
      <c r="G3521" s="13">
        <v>0</v>
      </c>
      <c r="H3521" s="13">
        <v>0</v>
      </c>
      <c r="I3521" s="13"/>
      <c r="J3521" s="13"/>
      <c r="K3521" s="13"/>
      <c r="L3521" s="15">
        <v>0</v>
      </c>
    </row>
    <row r="3522" spans="1:12">
      <c r="A3522" s="12"/>
      <c r="E3522" s="14"/>
      <c r="F3522" s="14"/>
      <c r="G3522" s="13">
        <v>0</v>
      </c>
      <c r="H3522" s="13">
        <v>0</v>
      </c>
      <c r="I3522" s="13"/>
      <c r="J3522" s="13"/>
      <c r="K3522" s="13"/>
      <c r="L3522" s="15">
        <v>0</v>
      </c>
    </row>
    <row r="3523" spans="1:12">
      <c r="A3523" s="12"/>
      <c r="E3523" s="14"/>
      <c r="F3523" s="14"/>
      <c r="G3523" s="13">
        <v>0</v>
      </c>
      <c r="H3523" s="13">
        <v>0</v>
      </c>
      <c r="I3523" s="13"/>
      <c r="J3523" s="13"/>
      <c r="K3523" s="13"/>
      <c r="L3523" s="15">
        <v>0</v>
      </c>
    </row>
    <row r="3524" spans="1:12">
      <c r="A3524" s="12"/>
      <c r="E3524" s="14"/>
      <c r="F3524" s="14"/>
      <c r="G3524" s="13">
        <v>0</v>
      </c>
      <c r="H3524" s="13">
        <v>0</v>
      </c>
      <c r="I3524" s="13"/>
      <c r="J3524" s="13"/>
      <c r="K3524" s="13"/>
      <c r="L3524" s="15">
        <v>0</v>
      </c>
    </row>
    <row r="3525" spans="1:12">
      <c r="A3525" s="12"/>
      <c r="E3525" s="14"/>
      <c r="F3525" s="14"/>
      <c r="G3525" s="13">
        <v>0</v>
      </c>
      <c r="H3525" s="13">
        <v>0</v>
      </c>
      <c r="I3525" s="13"/>
      <c r="J3525" s="13"/>
      <c r="K3525" s="13"/>
      <c r="L3525" s="15">
        <v>0</v>
      </c>
    </row>
    <row r="3526" spans="1:12">
      <c r="A3526" s="12"/>
      <c r="E3526" s="14"/>
      <c r="F3526" s="14"/>
      <c r="G3526" s="13">
        <v>0</v>
      </c>
      <c r="H3526" s="13">
        <v>0</v>
      </c>
      <c r="I3526" s="13"/>
      <c r="J3526" s="13"/>
      <c r="K3526" s="13"/>
      <c r="L3526" s="15">
        <v>0</v>
      </c>
    </row>
    <row r="3527" spans="1:12">
      <c r="A3527" s="12"/>
      <c r="E3527" s="14"/>
      <c r="F3527" s="14"/>
      <c r="G3527" s="13">
        <v>0</v>
      </c>
      <c r="H3527" s="13">
        <v>0</v>
      </c>
      <c r="I3527" s="13"/>
      <c r="J3527" s="13"/>
      <c r="K3527" s="13"/>
      <c r="L3527" s="15">
        <v>0</v>
      </c>
    </row>
    <row r="3528" spans="1:12">
      <c r="A3528" s="12"/>
      <c r="E3528" s="14"/>
      <c r="F3528" s="14"/>
      <c r="G3528" s="13">
        <v>0</v>
      </c>
      <c r="H3528" s="13">
        <v>0</v>
      </c>
      <c r="I3528" s="13"/>
      <c r="J3528" s="13"/>
      <c r="K3528" s="13"/>
      <c r="L3528" s="15">
        <v>0</v>
      </c>
    </row>
    <row r="3529" spans="1:12">
      <c r="A3529" s="12"/>
      <c r="E3529" s="14"/>
      <c r="F3529" s="14"/>
      <c r="G3529" s="13">
        <v>0</v>
      </c>
      <c r="H3529" s="13">
        <v>0</v>
      </c>
      <c r="I3529" s="13"/>
      <c r="J3529" s="13"/>
      <c r="K3529" s="13"/>
      <c r="L3529" s="15">
        <v>0</v>
      </c>
    </row>
    <row r="3530" spans="1:12">
      <c r="A3530" s="12"/>
      <c r="E3530" s="14"/>
      <c r="F3530" s="14"/>
      <c r="G3530" s="13">
        <v>0</v>
      </c>
      <c r="H3530" s="13">
        <v>0</v>
      </c>
      <c r="I3530" s="13"/>
      <c r="J3530" s="13"/>
      <c r="K3530" s="13"/>
      <c r="L3530" s="15">
        <v>0</v>
      </c>
    </row>
    <row r="3531" spans="1:12">
      <c r="A3531" s="12"/>
      <c r="E3531" s="14"/>
      <c r="F3531" s="14"/>
      <c r="G3531" s="13">
        <v>0</v>
      </c>
      <c r="H3531" s="13">
        <v>0</v>
      </c>
      <c r="I3531" s="13"/>
      <c r="J3531" s="13"/>
      <c r="K3531" s="13"/>
      <c r="L3531" s="15">
        <v>0</v>
      </c>
    </row>
    <row r="3532" spans="1:12">
      <c r="A3532" s="12"/>
      <c r="E3532" s="14"/>
      <c r="F3532" s="14"/>
      <c r="G3532" s="13">
        <v>0</v>
      </c>
      <c r="H3532" s="13">
        <v>0</v>
      </c>
      <c r="I3532" s="13"/>
      <c r="J3532" s="13"/>
      <c r="K3532" s="13"/>
      <c r="L3532" s="15">
        <v>0</v>
      </c>
    </row>
    <row r="3533" spans="1:12">
      <c r="A3533" s="12"/>
      <c r="E3533" s="14"/>
      <c r="F3533" s="14"/>
      <c r="G3533" s="13">
        <v>0</v>
      </c>
      <c r="H3533" s="13">
        <v>0</v>
      </c>
      <c r="I3533" s="13"/>
      <c r="J3533" s="13"/>
      <c r="K3533" s="13"/>
      <c r="L3533" s="15">
        <v>0</v>
      </c>
    </row>
    <row r="3534" spans="1:12">
      <c r="A3534" s="12"/>
      <c r="E3534" s="14"/>
      <c r="F3534" s="14"/>
      <c r="G3534" s="13">
        <v>0</v>
      </c>
      <c r="H3534" s="13">
        <v>0</v>
      </c>
      <c r="I3534" s="13"/>
      <c r="J3534" s="13"/>
      <c r="K3534" s="13"/>
      <c r="L3534" s="15">
        <v>0</v>
      </c>
    </row>
    <row r="3535" spans="1:12">
      <c r="A3535" s="12"/>
      <c r="E3535" s="14"/>
      <c r="F3535" s="14"/>
      <c r="G3535" s="13">
        <v>0</v>
      </c>
      <c r="H3535" s="13">
        <v>0</v>
      </c>
      <c r="I3535" s="13"/>
      <c r="J3535" s="13"/>
      <c r="K3535" s="13"/>
      <c r="L3535" s="15">
        <v>0</v>
      </c>
    </row>
    <row r="3536" spans="1:12">
      <c r="A3536" s="12"/>
      <c r="E3536" s="14"/>
      <c r="F3536" s="14"/>
      <c r="G3536" s="13">
        <v>0</v>
      </c>
      <c r="H3536" s="13">
        <v>0</v>
      </c>
      <c r="I3536" s="13"/>
      <c r="J3536" s="13"/>
      <c r="K3536" s="13"/>
      <c r="L3536" s="15">
        <v>0</v>
      </c>
    </row>
    <row r="3537" spans="1:12">
      <c r="A3537" s="12"/>
      <c r="E3537" s="14"/>
      <c r="F3537" s="14"/>
      <c r="G3537" s="13">
        <v>0</v>
      </c>
      <c r="H3537" s="13">
        <v>0</v>
      </c>
      <c r="I3537" s="13"/>
      <c r="J3537" s="13"/>
      <c r="K3537" s="13"/>
      <c r="L3537" s="15">
        <v>0</v>
      </c>
    </row>
    <row r="3538" spans="1:12">
      <c r="A3538" s="12"/>
      <c r="E3538" s="14"/>
      <c r="F3538" s="14"/>
      <c r="G3538" s="13">
        <v>0</v>
      </c>
      <c r="H3538" s="13">
        <v>0</v>
      </c>
      <c r="I3538" s="13"/>
      <c r="J3538" s="13"/>
      <c r="K3538" s="13"/>
      <c r="L3538" s="15">
        <v>0</v>
      </c>
    </row>
    <row r="3539" spans="1:12">
      <c r="A3539" s="12"/>
      <c r="E3539" s="14"/>
      <c r="F3539" s="14"/>
      <c r="G3539" s="13">
        <v>0</v>
      </c>
      <c r="H3539" s="13">
        <v>0</v>
      </c>
      <c r="I3539" s="13"/>
      <c r="J3539" s="13"/>
      <c r="K3539" s="13"/>
      <c r="L3539" s="15">
        <v>0</v>
      </c>
    </row>
    <row r="3540" spans="1:12">
      <c r="A3540" s="12"/>
      <c r="E3540" s="14"/>
      <c r="F3540" s="14"/>
      <c r="G3540" s="13">
        <v>0</v>
      </c>
      <c r="H3540" s="13">
        <v>0</v>
      </c>
      <c r="I3540" s="13"/>
      <c r="J3540" s="13"/>
      <c r="K3540" s="13"/>
      <c r="L3540" s="15">
        <v>0</v>
      </c>
    </row>
    <row r="3541" spans="1:12">
      <c r="A3541" s="12"/>
      <c r="E3541" s="14"/>
      <c r="F3541" s="14"/>
      <c r="G3541" s="13">
        <v>0</v>
      </c>
      <c r="H3541" s="13">
        <v>0</v>
      </c>
      <c r="I3541" s="13"/>
      <c r="J3541" s="13"/>
      <c r="K3541" s="13"/>
      <c r="L3541" s="15">
        <v>0</v>
      </c>
    </row>
    <row r="3542" spans="1:12">
      <c r="A3542" s="12"/>
      <c r="E3542" s="14"/>
      <c r="F3542" s="14"/>
      <c r="G3542" s="13">
        <v>0</v>
      </c>
      <c r="H3542" s="13">
        <v>0</v>
      </c>
      <c r="I3542" s="13"/>
      <c r="J3542" s="13"/>
      <c r="K3542" s="13"/>
      <c r="L3542" s="15">
        <v>0</v>
      </c>
    </row>
    <row r="3543" spans="1:12">
      <c r="A3543" s="12"/>
      <c r="E3543" s="14"/>
      <c r="F3543" s="14"/>
      <c r="G3543" s="13">
        <v>0</v>
      </c>
      <c r="H3543" s="13">
        <v>0</v>
      </c>
      <c r="I3543" s="13"/>
      <c r="J3543" s="13"/>
      <c r="K3543" s="13"/>
      <c r="L3543" s="15">
        <v>0</v>
      </c>
    </row>
    <row r="3544" spans="1:12">
      <c r="A3544" s="12"/>
      <c r="E3544" s="14"/>
      <c r="F3544" s="14"/>
      <c r="G3544" s="13">
        <v>0</v>
      </c>
      <c r="H3544" s="13">
        <v>0</v>
      </c>
      <c r="I3544" s="13"/>
      <c r="J3544" s="13"/>
      <c r="K3544" s="13"/>
      <c r="L3544" s="15">
        <v>0</v>
      </c>
    </row>
    <row r="3545" spans="1:12">
      <c r="A3545" s="12"/>
      <c r="E3545" s="14"/>
      <c r="F3545" s="14"/>
      <c r="G3545" s="13">
        <v>0</v>
      </c>
      <c r="H3545" s="13">
        <v>0</v>
      </c>
      <c r="I3545" s="13"/>
      <c r="J3545" s="13"/>
      <c r="K3545" s="13"/>
      <c r="L3545" s="15">
        <v>0</v>
      </c>
    </row>
    <row r="3546" spans="1:12">
      <c r="A3546" s="12"/>
      <c r="E3546" s="14"/>
      <c r="F3546" s="14"/>
      <c r="G3546" s="13">
        <v>0</v>
      </c>
      <c r="H3546" s="13">
        <v>0</v>
      </c>
      <c r="I3546" s="13"/>
      <c r="J3546" s="13"/>
      <c r="K3546" s="13"/>
      <c r="L3546" s="15">
        <v>0</v>
      </c>
    </row>
    <row r="3547" spans="1:12">
      <c r="A3547" s="12"/>
      <c r="E3547" s="14"/>
      <c r="F3547" s="14"/>
      <c r="G3547" s="13">
        <v>0</v>
      </c>
      <c r="H3547" s="13">
        <v>0</v>
      </c>
      <c r="I3547" s="13"/>
      <c r="J3547" s="13"/>
      <c r="K3547" s="13"/>
      <c r="L3547" s="15">
        <v>0</v>
      </c>
    </row>
    <row r="3548" spans="1:12">
      <c r="A3548" s="12"/>
      <c r="E3548" s="14"/>
      <c r="F3548" s="14"/>
      <c r="G3548" s="13">
        <v>0</v>
      </c>
      <c r="H3548" s="13">
        <v>0</v>
      </c>
      <c r="I3548" s="13"/>
      <c r="J3548" s="13"/>
      <c r="K3548" s="13"/>
      <c r="L3548" s="15">
        <v>0</v>
      </c>
    </row>
    <row r="3549" spans="1:12">
      <c r="A3549" s="12"/>
      <c r="E3549" s="14"/>
      <c r="F3549" s="14"/>
      <c r="G3549" s="13">
        <v>0</v>
      </c>
      <c r="H3549" s="13">
        <v>0</v>
      </c>
      <c r="I3549" s="13"/>
      <c r="J3549" s="13"/>
      <c r="K3549" s="13"/>
      <c r="L3549" s="15">
        <v>0</v>
      </c>
    </row>
    <row r="3550" spans="1:12">
      <c r="A3550" s="12"/>
      <c r="E3550" s="14"/>
      <c r="F3550" s="14"/>
      <c r="G3550" s="13">
        <v>0</v>
      </c>
      <c r="H3550" s="13">
        <v>0</v>
      </c>
      <c r="I3550" s="13"/>
      <c r="J3550" s="13"/>
      <c r="K3550" s="13"/>
      <c r="L3550" s="15">
        <v>0</v>
      </c>
    </row>
    <row r="3551" spans="1:12">
      <c r="A3551" s="12"/>
      <c r="E3551" s="14"/>
      <c r="F3551" s="14"/>
      <c r="G3551" s="13">
        <v>0</v>
      </c>
      <c r="H3551" s="13">
        <v>0</v>
      </c>
      <c r="I3551" s="13"/>
      <c r="J3551" s="13"/>
      <c r="K3551" s="13"/>
      <c r="L3551" s="15">
        <v>0</v>
      </c>
    </row>
    <row r="3552" spans="1:12">
      <c r="A3552" s="12"/>
      <c r="E3552" s="14"/>
      <c r="F3552" s="14"/>
      <c r="G3552" s="13">
        <v>0</v>
      </c>
      <c r="H3552" s="13">
        <v>0</v>
      </c>
      <c r="I3552" s="13"/>
      <c r="J3552" s="13"/>
      <c r="K3552" s="13"/>
      <c r="L3552" s="15">
        <v>0</v>
      </c>
    </row>
    <row r="3553" spans="1:12">
      <c r="A3553" s="12"/>
      <c r="E3553" s="14"/>
      <c r="F3553" s="14"/>
      <c r="G3553" s="13">
        <v>0</v>
      </c>
      <c r="H3553" s="13">
        <v>0</v>
      </c>
      <c r="I3553" s="13"/>
      <c r="J3553" s="13"/>
      <c r="K3553" s="13"/>
      <c r="L3553" s="15">
        <v>0</v>
      </c>
    </row>
    <row r="3554" spans="1:12">
      <c r="A3554" s="12"/>
      <c r="E3554" s="14"/>
      <c r="F3554" s="14"/>
      <c r="G3554" s="13">
        <v>0</v>
      </c>
      <c r="H3554" s="13">
        <v>0</v>
      </c>
      <c r="I3554" s="13"/>
      <c r="J3554" s="13"/>
      <c r="K3554" s="13"/>
      <c r="L3554" s="15">
        <v>0</v>
      </c>
    </row>
    <row r="3555" spans="1:12">
      <c r="A3555" s="12"/>
      <c r="E3555" s="14"/>
      <c r="F3555" s="14"/>
      <c r="G3555" s="13">
        <v>0</v>
      </c>
      <c r="H3555" s="13">
        <v>0</v>
      </c>
      <c r="I3555" s="13"/>
      <c r="J3555" s="13"/>
      <c r="K3555" s="13"/>
      <c r="L3555" s="15">
        <v>0</v>
      </c>
    </row>
    <row r="3556" spans="1:12">
      <c r="A3556" s="12"/>
      <c r="E3556" s="14"/>
      <c r="F3556" s="14"/>
      <c r="G3556" s="13">
        <v>0</v>
      </c>
      <c r="H3556" s="13">
        <v>0</v>
      </c>
      <c r="I3556" s="13"/>
      <c r="J3556" s="13"/>
      <c r="K3556" s="13"/>
      <c r="L3556" s="15">
        <v>0</v>
      </c>
    </row>
    <row r="3557" spans="1:12">
      <c r="A3557" s="12"/>
      <c r="E3557" s="14"/>
      <c r="F3557" s="14"/>
      <c r="G3557" s="13">
        <v>0</v>
      </c>
      <c r="H3557" s="13">
        <v>0</v>
      </c>
      <c r="I3557" s="13"/>
      <c r="J3557" s="13"/>
      <c r="K3557" s="13"/>
      <c r="L3557" s="15">
        <v>0</v>
      </c>
    </row>
    <row r="3558" spans="1:12">
      <c r="A3558" s="12"/>
      <c r="E3558" s="14"/>
      <c r="F3558" s="14"/>
      <c r="G3558" s="13">
        <v>0</v>
      </c>
      <c r="H3558" s="13">
        <v>0</v>
      </c>
      <c r="I3558" s="13"/>
      <c r="J3558" s="13"/>
      <c r="K3558" s="13"/>
      <c r="L3558" s="15">
        <v>0</v>
      </c>
    </row>
    <row r="3559" spans="1:12">
      <c r="A3559" s="12"/>
      <c r="E3559" s="14"/>
      <c r="F3559" s="14"/>
      <c r="G3559" s="13">
        <v>0</v>
      </c>
      <c r="H3559" s="13">
        <v>0</v>
      </c>
      <c r="I3559" s="13"/>
      <c r="J3559" s="13"/>
      <c r="K3559" s="13"/>
      <c r="L3559" s="15">
        <v>0</v>
      </c>
    </row>
    <row r="3560" spans="1:12">
      <c r="A3560" s="12"/>
      <c r="E3560" s="14"/>
      <c r="F3560" s="14"/>
      <c r="G3560" s="13">
        <v>0</v>
      </c>
      <c r="H3560" s="13">
        <v>0</v>
      </c>
      <c r="I3560" s="13"/>
      <c r="J3560" s="13"/>
      <c r="K3560" s="13"/>
      <c r="L3560" s="15">
        <v>0</v>
      </c>
    </row>
    <row r="3561" spans="1:12">
      <c r="A3561" s="12"/>
      <c r="E3561" s="14"/>
      <c r="F3561" s="14"/>
      <c r="G3561" s="13">
        <v>0</v>
      </c>
      <c r="H3561" s="13">
        <v>0</v>
      </c>
      <c r="I3561" s="13"/>
      <c r="J3561" s="13"/>
      <c r="K3561" s="13"/>
      <c r="L3561" s="15">
        <v>0</v>
      </c>
    </row>
    <row r="3562" spans="1:12">
      <c r="A3562" s="12"/>
      <c r="E3562" s="14"/>
      <c r="F3562" s="14"/>
      <c r="G3562" s="13">
        <v>0</v>
      </c>
      <c r="H3562" s="13">
        <v>0</v>
      </c>
      <c r="I3562" s="13"/>
      <c r="J3562" s="13"/>
      <c r="K3562" s="13"/>
      <c r="L3562" s="15">
        <v>0</v>
      </c>
    </row>
    <row r="3563" spans="1:12">
      <c r="A3563" s="12"/>
      <c r="E3563" s="14"/>
      <c r="F3563" s="14"/>
      <c r="G3563" s="13">
        <v>0</v>
      </c>
      <c r="H3563" s="13">
        <v>0</v>
      </c>
      <c r="I3563" s="13"/>
      <c r="J3563" s="13"/>
      <c r="K3563" s="13"/>
      <c r="L3563" s="15">
        <v>0</v>
      </c>
    </row>
    <row r="3564" spans="1:12">
      <c r="A3564" s="12"/>
      <c r="E3564" s="14"/>
      <c r="F3564" s="14"/>
      <c r="G3564" s="13">
        <v>0</v>
      </c>
      <c r="H3564" s="13">
        <v>0</v>
      </c>
      <c r="I3564" s="13"/>
      <c r="J3564" s="13"/>
      <c r="K3564" s="13"/>
      <c r="L3564" s="15">
        <v>0</v>
      </c>
    </row>
    <row r="3565" spans="1:12">
      <c r="A3565" s="12"/>
      <c r="E3565" s="14"/>
      <c r="F3565" s="14"/>
      <c r="G3565" s="13">
        <v>0</v>
      </c>
      <c r="H3565" s="13">
        <v>0</v>
      </c>
      <c r="I3565" s="13"/>
      <c r="J3565" s="13"/>
      <c r="K3565" s="13"/>
      <c r="L3565" s="15">
        <v>0</v>
      </c>
    </row>
    <row r="3566" spans="1:12">
      <c r="A3566" s="12"/>
      <c r="E3566" s="14"/>
      <c r="F3566" s="14"/>
      <c r="G3566" s="13">
        <v>0</v>
      </c>
      <c r="H3566" s="13">
        <v>0</v>
      </c>
      <c r="I3566" s="13"/>
      <c r="J3566" s="13"/>
      <c r="K3566" s="13"/>
      <c r="L3566" s="15">
        <v>0</v>
      </c>
    </row>
    <row r="3567" spans="1:12">
      <c r="A3567" s="12"/>
      <c r="E3567" s="14"/>
      <c r="F3567" s="14"/>
      <c r="G3567" s="13">
        <v>0</v>
      </c>
      <c r="H3567" s="13">
        <v>0</v>
      </c>
      <c r="I3567" s="13"/>
      <c r="J3567" s="13"/>
      <c r="K3567" s="13"/>
      <c r="L3567" s="15">
        <v>0</v>
      </c>
    </row>
    <row r="3568" spans="1:12">
      <c r="A3568" s="12"/>
      <c r="E3568" s="14"/>
      <c r="F3568" s="14"/>
      <c r="G3568" s="13">
        <v>0</v>
      </c>
      <c r="H3568" s="13">
        <v>0</v>
      </c>
      <c r="I3568" s="13"/>
      <c r="J3568" s="13"/>
      <c r="K3568" s="13"/>
      <c r="L3568" s="15">
        <v>0</v>
      </c>
    </row>
    <row r="3569" spans="1:12">
      <c r="A3569" s="12"/>
      <c r="E3569" s="14"/>
      <c r="F3569" s="14"/>
      <c r="G3569" s="13">
        <v>0</v>
      </c>
      <c r="H3569" s="13">
        <v>0</v>
      </c>
      <c r="I3569" s="13"/>
      <c r="J3569" s="13"/>
      <c r="K3569" s="13"/>
      <c r="L3569" s="15">
        <v>0</v>
      </c>
    </row>
    <row r="3570" spans="1:12">
      <c r="A3570" s="12"/>
      <c r="E3570" s="14"/>
      <c r="F3570" s="14"/>
      <c r="G3570" s="13">
        <v>0</v>
      </c>
      <c r="H3570" s="13">
        <v>0</v>
      </c>
      <c r="I3570" s="13"/>
      <c r="J3570" s="13"/>
      <c r="K3570" s="13"/>
      <c r="L3570" s="15">
        <v>0</v>
      </c>
    </row>
    <row r="3571" spans="1:12">
      <c r="A3571" s="12"/>
      <c r="E3571" s="14"/>
      <c r="F3571" s="14"/>
      <c r="G3571" s="13">
        <v>0</v>
      </c>
      <c r="H3571" s="13">
        <v>0</v>
      </c>
      <c r="I3571" s="13"/>
      <c r="J3571" s="13"/>
      <c r="K3571" s="13"/>
      <c r="L3571" s="15">
        <v>0</v>
      </c>
    </row>
    <row r="3572" spans="1:12">
      <c r="A3572" s="12"/>
      <c r="E3572" s="14"/>
      <c r="F3572" s="14"/>
      <c r="G3572" s="13">
        <v>0</v>
      </c>
      <c r="H3572" s="13">
        <v>0</v>
      </c>
      <c r="I3572" s="13"/>
      <c r="J3572" s="13"/>
      <c r="K3572" s="13"/>
      <c r="L3572" s="15">
        <v>0</v>
      </c>
    </row>
    <row r="3573" spans="1:12">
      <c r="A3573" s="12"/>
      <c r="E3573" s="14"/>
      <c r="F3573" s="14"/>
      <c r="G3573" s="13">
        <v>0</v>
      </c>
      <c r="H3573" s="13">
        <v>0</v>
      </c>
      <c r="I3573" s="13"/>
      <c r="J3573" s="13"/>
      <c r="K3573" s="13"/>
      <c r="L3573" s="15">
        <v>0</v>
      </c>
    </row>
    <row r="3574" spans="1:12">
      <c r="A3574" s="12"/>
      <c r="E3574" s="14"/>
      <c r="F3574" s="14"/>
      <c r="G3574" s="13">
        <v>0</v>
      </c>
      <c r="H3574" s="13">
        <v>0</v>
      </c>
      <c r="I3574" s="13"/>
      <c r="J3574" s="13"/>
      <c r="K3574" s="13"/>
      <c r="L3574" s="15">
        <v>0</v>
      </c>
    </row>
    <row r="3575" spans="1:12">
      <c r="A3575" s="12"/>
      <c r="E3575" s="14"/>
      <c r="F3575" s="14"/>
      <c r="G3575" s="13">
        <v>0</v>
      </c>
      <c r="H3575" s="13">
        <v>0</v>
      </c>
      <c r="I3575" s="13"/>
      <c r="J3575" s="13"/>
      <c r="K3575" s="13"/>
      <c r="L3575" s="15">
        <v>0</v>
      </c>
    </row>
    <row r="3576" spans="1:12">
      <c r="A3576" s="12"/>
      <c r="E3576" s="14"/>
      <c r="F3576" s="14"/>
      <c r="G3576" s="13">
        <v>0</v>
      </c>
      <c r="H3576" s="13">
        <v>0</v>
      </c>
      <c r="I3576" s="13"/>
      <c r="J3576" s="13"/>
      <c r="K3576" s="13"/>
      <c r="L3576" s="15">
        <v>0</v>
      </c>
    </row>
    <row r="3577" spans="1:12">
      <c r="A3577" s="12"/>
      <c r="E3577" s="14"/>
      <c r="F3577" s="14"/>
      <c r="G3577" s="13">
        <v>0</v>
      </c>
      <c r="H3577" s="13">
        <v>0</v>
      </c>
      <c r="I3577" s="13"/>
      <c r="J3577" s="13"/>
      <c r="K3577" s="13"/>
      <c r="L3577" s="15">
        <v>0</v>
      </c>
    </row>
    <row r="3578" spans="1:12">
      <c r="A3578" s="12"/>
      <c r="E3578" s="14"/>
      <c r="F3578" s="14"/>
      <c r="G3578" s="13">
        <v>0</v>
      </c>
      <c r="H3578" s="13">
        <v>0</v>
      </c>
      <c r="I3578" s="13"/>
      <c r="J3578" s="13"/>
      <c r="K3578" s="13"/>
      <c r="L3578" s="15">
        <v>0</v>
      </c>
    </row>
    <row r="3579" spans="1:12">
      <c r="A3579" s="12"/>
      <c r="E3579" s="14"/>
      <c r="F3579" s="14"/>
      <c r="G3579" s="13">
        <v>0</v>
      </c>
      <c r="H3579" s="13">
        <v>0</v>
      </c>
      <c r="I3579" s="13"/>
      <c r="J3579" s="13"/>
      <c r="K3579" s="13"/>
      <c r="L3579" s="15">
        <v>0</v>
      </c>
    </row>
    <row r="3580" spans="1:12">
      <c r="A3580" s="12"/>
      <c r="E3580" s="14"/>
      <c r="F3580" s="14"/>
      <c r="G3580" s="13">
        <v>0</v>
      </c>
      <c r="H3580" s="13">
        <v>0</v>
      </c>
      <c r="I3580" s="13"/>
      <c r="J3580" s="13"/>
      <c r="K3580" s="13"/>
      <c r="L3580" s="15">
        <v>0</v>
      </c>
    </row>
    <row r="3581" spans="1:12">
      <c r="A3581" s="12"/>
      <c r="E3581" s="14"/>
      <c r="F3581" s="14"/>
      <c r="G3581" s="13">
        <v>0</v>
      </c>
      <c r="H3581" s="13">
        <v>0</v>
      </c>
      <c r="I3581" s="13"/>
      <c r="J3581" s="13"/>
      <c r="K3581" s="13"/>
      <c r="L3581" s="15">
        <v>0</v>
      </c>
    </row>
    <row r="3582" spans="1:12">
      <c r="A3582" s="12"/>
      <c r="E3582" s="14"/>
      <c r="F3582" s="14"/>
      <c r="G3582" s="13">
        <v>0</v>
      </c>
      <c r="H3582" s="13">
        <v>0</v>
      </c>
      <c r="I3582" s="13"/>
      <c r="J3582" s="13"/>
      <c r="K3582" s="13"/>
      <c r="L3582" s="15">
        <v>0</v>
      </c>
    </row>
    <row r="3583" spans="1:12">
      <c r="A3583" s="12"/>
      <c r="E3583" s="14"/>
      <c r="F3583" s="14"/>
      <c r="G3583" s="13">
        <v>0</v>
      </c>
      <c r="H3583" s="13">
        <v>0</v>
      </c>
      <c r="I3583" s="13"/>
      <c r="J3583" s="13"/>
      <c r="K3583" s="13"/>
      <c r="L3583" s="15">
        <v>0</v>
      </c>
    </row>
    <row r="3584" spans="1:12">
      <c r="A3584" s="12"/>
      <c r="E3584" s="14"/>
      <c r="F3584" s="14"/>
      <c r="G3584" s="13">
        <v>0</v>
      </c>
      <c r="H3584" s="13">
        <v>0</v>
      </c>
      <c r="I3584" s="13"/>
      <c r="J3584" s="13"/>
      <c r="K3584" s="13"/>
      <c r="L3584" s="15">
        <v>0</v>
      </c>
    </row>
    <row r="3585" spans="1:12">
      <c r="A3585" s="12"/>
      <c r="E3585" s="14"/>
      <c r="F3585" s="14"/>
      <c r="G3585" s="13">
        <v>0</v>
      </c>
      <c r="H3585" s="13">
        <v>0</v>
      </c>
      <c r="I3585" s="13"/>
      <c r="J3585" s="13"/>
      <c r="K3585" s="13"/>
      <c r="L3585" s="15">
        <v>0</v>
      </c>
    </row>
    <row r="3586" spans="1:12">
      <c r="A3586" s="12"/>
      <c r="E3586" s="14"/>
      <c r="F3586" s="14"/>
      <c r="G3586" s="13">
        <v>0</v>
      </c>
      <c r="H3586" s="13">
        <v>0</v>
      </c>
      <c r="I3586" s="13"/>
      <c r="J3586" s="13"/>
      <c r="K3586" s="13"/>
      <c r="L3586" s="15">
        <v>0</v>
      </c>
    </row>
    <row r="3587" spans="1:12">
      <c r="A3587" s="12"/>
      <c r="E3587" s="14"/>
      <c r="F3587" s="14"/>
      <c r="G3587" s="13">
        <v>0</v>
      </c>
      <c r="H3587" s="13">
        <v>0</v>
      </c>
      <c r="I3587" s="13"/>
      <c r="J3587" s="13"/>
      <c r="K3587" s="13"/>
      <c r="L3587" s="15">
        <v>0</v>
      </c>
    </row>
    <row r="3588" spans="1:12">
      <c r="A3588" s="12"/>
      <c r="E3588" s="14"/>
      <c r="F3588" s="14"/>
      <c r="G3588" s="13">
        <v>0</v>
      </c>
      <c r="H3588" s="13">
        <v>0</v>
      </c>
      <c r="I3588" s="13"/>
      <c r="J3588" s="13"/>
      <c r="K3588" s="13"/>
      <c r="L3588" s="15">
        <v>0</v>
      </c>
    </row>
    <row r="3589" spans="1:12">
      <c r="A3589" s="12"/>
      <c r="E3589" s="14"/>
      <c r="F3589" s="14"/>
      <c r="G3589" s="13">
        <v>0</v>
      </c>
      <c r="H3589" s="13">
        <v>0</v>
      </c>
      <c r="I3589" s="13"/>
      <c r="J3589" s="13"/>
      <c r="K3589" s="13"/>
      <c r="L3589" s="15">
        <v>0</v>
      </c>
    </row>
    <row r="3590" spans="1:12">
      <c r="A3590" s="12"/>
      <c r="E3590" s="14"/>
      <c r="F3590" s="14"/>
      <c r="G3590" s="13">
        <v>0</v>
      </c>
      <c r="H3590" s="13">
        <v>0</v>
      </c>
      <c r="I3590" s="13"/>
      <c r="J3590" s="13"/>
      <c r="K3590" s="13"/>
      <c r="L3590" s="15">
        <v>0</v>
      </c>
    </row>
    <row r="3591" spans="1:12">
      <c r="A3591" s="12"/>
      <c r="E3591" s="14"/>
      <c r="F3591" s="14"/>
      <c r="G3591" s="13">
        <v>0</v>
      </c>
      <c r="H3591" s="13">
        <v>0</v>
      </c>
      <c r="I3591" s="13"/>
      <c r="J3591" s="13"/>
      <c r="K3591" s="13"/>
      <c r="L3591" s="15">
        <v>0</v>
      </c>
    </row>
    <row r="3592" spans="1:12">
      <c r="A3592" s="12"/>
      <c r="E3592" s="14"/>
      <c r="F3592" s="14"/>
      <c r="G3592" s="13">
        <v>0</v>
      </c>
      <c r="H3592" s="13">
        <v>0</v>
      </c>
      <c r="I3592" s="13"/>
      <c r="J3592" s="13"/>
      <c r="K3592" s="13"/>
      <c r="L3592" s="15">
        <v>0</v>
      </c>
    </row>
    <row r="3593" spans="1:12">
      <c r="A3593" s="12"/>
      <c r="E3593" s="14"/>
      <c r="F3593" s="14"/>
      <c r="G3593" s="13">
        <v>0</v>
      </c>
      <c r="H3593" s="13">
        <v>0</v>
      </c>
      <c r="I3593" s="13"/>
      <c r="J3593" s="13"/>
      <c r="K3593" s="13"/>
      <c r="L3593" s="15">
        <v>0</v>
      </c>
    </row>
    <row r="3594" spans="1:12">
      <c r="A3594" s="12"/>
      <c r="E3594" s="14"/>
      <c r="F3594" s="14"/>
      <c r="G3594" s="13">
        <v>0</v>
      </c>
      <c r="H3594" s="13">
        <v>0</v>
      </c>
      <c r="I3594" s="13"/>
      <c r="J3594" s="13"/>
      <c r="K3594" s="13"/>
      <c r="L3594" s="15">
        <v>0</v>
      </c>
    </row>
    <row r="3595" spans="1:12">
      <c r="A3595" s="12"/>
      <c r="E3595" s="14"/>
      <c r="F3595" s="14"/>
      <c r="G3595" s="13">
        <v>0</v>
      </c>
      <c r="H3595" s="13">
        <v>0</v>
      </c>
      <c r="I3595" s="13"/>
      <c r="J3595" s="13"/>
      <c r="K3595" s="13"/>
      <c r="L3595" s="15">
        <v>0</v>
      </c>
    </row>
    <row r="3596" spans="1:12">
      <c r="A3596" s="12"/>
      <c r="E3596" s="14"/>
      <c r="F3596" s="14"/>
      <c r="G3596" s="13">
        <v>0</v>
      </c>
      <c r="H3596" s="13">
        <v>0</v>
      </c>
      <c r="I3596" s="13"/>
      <c r="J3596" s="13"/>
      <c r="K3596" s="13"/>
      <c r="L3596" s="15">
        <v>0</v>
      </c>
    </row>
    <row r="3597" spans="1:12">
      <c r="A3597" s="12"/>
      <c r="E3597" s="14"/>
      <c r="F3597" s="14"/>
      <c r="G3597" s="13">
        <v>0</v>
      </c>
      <c r="H3597" s="13">
        <v>0</v>
      </c>
      <c r="I3597" s="13"/>
      <c r="J3597" s="13"/>
      <c r="K3597" s="13"/>
      <c r="L3597" s="15">
        <v>0</v>
      </c>
    </row>
    <row r="3598" spans="1:12">
      <c r="A3598" s="12"/>
      <c r="E3598" s="14"/>
      <c r="F3598" s="14"/>
      <c r="G3598" s="13">
        <v>0</v>
      </c>
      <c r="H3598" s="13">
        <v>0</v>
      </c>
      <c r="I3598" s="13"/>
      <c r="J3598" s="13"/>
      <c r="K3598" s="13"/>
      <c r="L3598" s="15">
        <v>0</v>
      </c>
    </row>
    <row r="3599" spans="1:12">
      <c r="A3599" s="12"/>
      <c r="E3599" s="14"/>
      <c r="F3599" s="14"/>
      <c r="G3599" s="13">
        <v>0</v>
      </c>
      <c r="H3599" s="13">
        <v>0</v>
      </c>
      <c r="I3599" s="13"/>
      <c r="J3599" s="13"/>
      <c r="K3599" s="13"/>
      <c r="L3599" s="15">
        <v>0</v>
      </c>
    </row>
    <row r="3600" spans="1:12">
      <c r="A3600" s="12"/>
      <c r="E3600" s="14"/>
      <c r="F3600" s="14"/>
      <c r="G3600" s="13">
        <v>0</v>
      </c>
      <c r="H3600" s="13">
        <v>0</v>
      </c>
      <c r="I3600" s="13"/>
      <c r="J3600" s="13"/>
      <c r="K3600" s="13"/>
      <c r="L3600" s="15">
        <v>0</v>
      </c>
    </row>
    <row r="3601" spans="1:12">
      <c r="A3601" s="12"/>
      <c r="E3601" s="14"/>
      <c r="F3601" s="14"/>
      <c r="G3601" s="13">
        <v>0</v>
      </c>
      <c r="H3601" s="13">
        <v>0</v>
      </c>
      <c r="I3601" s="13"/>
      <c r="J3601" s="13"/>
      <c r="K3601" s="13"/>
      <c r="L3601" s="15">
        <v>0</v>
      </c>
    </row>
    <row r="3602" spans="1:12">
      <c r="A3602" s="12"/>
      <c r="E3602" s="14"/>
      <c r="F3602" s="14"/>
      <c r="G3602" s="13">
        <v>0</v>
      </c>
      <c r="H3602" s="13">
        <v>0</v>
      </c>
      <c r="I3602" s="13"/>
      <c r="J3602" s="13"/>
      <c r="K3602" s="13"/>
      <c r="L3602" s="15">
        <v>0</v>
      </c>
    </row>
    <row r="3603" spans="1:12">
      <c r="A3603" s="12"/>
      <c r="E3603" s="14"/>
      <c r="F3603" s="14"/>
      <c r="G3603" s="13">
        <v>0</v>
      </c>
      <c r="H3603" s="13">
        <v>0</v>
      </c>
      <c r="I3603" s="13"/>
      <c r="J3603" s="13"/>
      <c r="K3603" s="13"/>
      <c r="L3603" s="15">
        <v>0</v>
      </c>
    </row>
    <row r="3604" spans="1:12">
      <c r="A3604" s="12"/>
      <c r="E3604" s="14"/>
      <c r="F3604" s="14"/>
      <c r="G3604" s="13">
        <v>0</v>
      </c>
      <c r="H3604" s="13">
        <v>0</v>
      </c>
      <c r="I3604" s="13"/>
      <c r="J3604" s="13"/>
      <c r="K3604" s="13"/>
      <c r="L3604" s="15">
        <v>0</v>
      </c>
    </row>
    <row r="3605" spans="1:12">
      <c r="A3605" s="12"/>
      <c r="E3605" s="14"/>
      <c r="F3605" s="14"/>
      <c r="G3605" s="13">
        <v>0</v>
      </c>
      <c r="H3605" s="13">
        <v>0</v>
      </c>
      <c r="I3605" s="13"/>
      <c r="J3605" s="13"/>
      <c r="K3605" s="13"/>
      <c r="L3605" s="15">
        <v>0</v>
      </c>
    </row>
    <row r="3606" spans="1:12">
      <c r="A3606" s="12"/>
      <c r="E3606" s="14"/>
      <c r="F3606" s="14"/>
      <c r="G3606" s="13">
        <v>0</v>
      </c>
      <c r="H3606" s="13">
        <v>0</v>
      </c>
      <c r="I3606" s="13"/>
      <c r="J3606" s="13"/>
      <c r="K3606" s="13"/>
      <c r="L3606" s="15">
        <v>0</v>
      </c>
    </row>
    <row r="3607" spans="1:12">
      <c r="A3607" s="12"/>
      <c r="E3607" s="14"/>
      <c r="F3607" s="14"/>
      <c r="G3607" s="13">
        <v>0</v>
      </c>
      <c r="H3607" s="13">
        <v>0</v>
      </c>
      <c r="I3607" s="13"/>
      <c r="J3607" s="13"/>
      <c r="K3607" s="13"/>
      <c r="L3607" s="15">
        <v>0</v>
      </c>
    </row>
    <row r="3608" spans="1:12">
      <c r="A3608" s="12"/>
      <c r="E3608" s="14"/>
      <c r="F3608" s="14"/>
      <c r="G3608" s="13">
        <v>0</v>
      </c>
      <c r="H3608" s="13">
        <v>0</v>
      </c>
      <c r="I3608" s="13"/>
      <c r="J3608" s="13"/>
      <c r="K3608" s="13"/>
      <c r="L3608" s="15">
        <v>0</v>
      </c>
    </row>
    <row r="3609" spans="1:12">
      <c r="A3609" s="12"/>
      <c r="E3609" s="14"/>
      <c r="F3609" s="14"/>
      <c r="G3609" s="13">
        <v>0</v>
      </c>
      <c r="H3609" s="13">
        <v>0</v>
      </c>
      <c r="I3609" s="13"/>
      <c r="J3609" s="13"/>
      <c r="K3609" s="13"/>
      <c r="L3609" s="15">
        <v>0</v>
      </c>
    </row>
    <row r="3610" spans="1:12">
      <c r="A3610" s="12"/>
      <c r="E3610" s="14"/>
      <c r="F3610" s="14"/>
      <c r="G3610" s="13">
        <v>0</v>
      </c>
      <c r="H3610" s="13">
        <v>0</v>
      </c>
      <c r="I3610" s="13"/>
      <c r="J3610" s="13"/>
      <c r="K3610" s="13"/>
      <c r="L3610" s="15">
        <v>0</v>
      </c>
    </row>
    <row r="3611" spans="1:12">
      <c r="A3611" s="12"/>
      <c r="E3611" s="14"/>
      <c r="F3611" s="14"/>
      <c r="G3611" s="13">
        <v>0</v>
      </c>
      <c r="H3611" s="13">
        <v>0</v>
      </c>
      <c r="I3611" s="13"/>
      <c r="J3611" s="13"/>
      <c r="K3611" s="13"/>
      <c r="L3611" s="15">
        <v>0</v>
      </c>
    </row>
    <row r="3612" spans="1:12">
      <c r="A3612" s="12"/>
      <c r="E3612" s="14"/>
      <c r="F3612" s="14"/>
      <c r="G3612" s="13">
        <v>0</v>
      </c>
      <c r="H3612" s="13">
        <v>0</v>
      </c>
      <c r="I3612" s="13"/>
      <c r="J3612" s="13"/>
      <c r="K3612" s="13"/>
      <c r="L3612" s="15">
        <v>0</v>
      </c>
    </row>
    <row r="3613" spans="1:12">
      <c r="A3613" s="12"/>
      <c r="E3613" s="14"/>
      <c r="F3613" s="14"/>
      <c r="G3613" s="13">
        <v>0</v>
      </c>
      <c r="H3613" s="13">
        <v>0</v>
      </c>
      <c r="I3613" s="13"/>
      <c r="J3613" s="13"/>
      <c r="K3613" s="13"/>
      <c r="L3613" s="15">
        <v>0</v>
      </c>
    </row>
    <row r="3614" spans="1:12">
      <c r="A3614" s="12"/>
      <c r="E3614" s="14"/>
      <c r="F3614" s="14"/>
      <c r="G3614" s="13">
        <v>0</v>
      </c>
      <c r="H3614" s="13">
        <v>0</v>
      </c>
      <c r="I3614" s="13"/>
      <c r="J3614" s="13"/>
      <c r="K3614" s="13"/>
      <c r="L3614" s="15">
        <v>0</v>
      </c>
    </row>
    <row r="3615" spans="1:12">
      <c r="A3615" s="12"/>
      <c r="E3615" s="14"/>
      <c r="F3615" s="14"/>
      <c r="G3615" s="13">
        <v>0</v>
      </c>
      <c r="H3615" s="13">
        <v>0</v>
      </c>
      <c r="I3615" s="13"/>
      <c r="J3615" s="13"/>
      <c r="K3615" s="13"/>
      <c r="L3615" s="15">
        <v>0</v>
      </c>
    </row>
    <row r="3616" spans="1:12">
      <c r="A3616" s="12"/>
      <c r="E3616" s="14"/>
      <c r="F3616" s="14"/>
      <c r="G3616" s="13">
        <v>0</v>
      </c>
      <c r="H3616" s="13">
        <v>0</v>
      </c>
      <c r="I3616" s="13"/>
      <c r="J3616" s="13"/>
      <c r="K3616" s="13"/>
      <c r="L3616" s="15">
        <v>0</v>
      </c>
    </row>
    <row r="3617" spans="1:12">
      <c r="A3617" s="12"/>
      <c r="E3617" s="14"/>
      <c r="F3617" s="14"/>
      <c r="G3617" s="13">
        <v>0</v>
      </c>
      <c r="H3617" s="13">
        <v>0</v>
      </c>
      <c r="I3617" s="13"/>
      <c r="J3617" s="13"/>
      <c r="K3617" s="13"/>
      <c r="L3617" s="15">
        <v>0</v>
      </c>
    </row>
    <row r="3618" spans="1:12">
      <c r="A3618" s="12"/>
      <c r="E3618" s="14"/>
      <c r="F3618" s="14"/>
      <c r="G3618" s="13">
        <v>0</v>
      </c>
      <c r="H3618" s="13">
        <v>0</v>
      </c>
      <c r="I3618" s="13"/>
      <c r="J3618" s="13"/>
      <c r="K3618" s="13"/>
      <c r="L3618" s="15">
        <v>0</v>
      </c>
    </row>
    <row r="3619" spans="1:12">
      <c r="A3619" s="12"/>
      <c r="E3619" s="14"/>
      <c r="F3619" s="14"/>
      <c r="G3619" s="13">
        <v>0</v>
      </c>
      <c r="H3619" s="13">
        <v>0</v>
      </c>
      <c r="I3619" s="13"/>
      <c r="J3619" s="13"/>
      <c r="K3619" s="13"/>
      <c r="L3619" s="15">
        <v>0</v>
      </c>
    </row>
    <row r="3620" spans="1:12">
      <c r="A3620" s="12"/>
      <c r="E3620" s="14"/>
      <c r="F3620" s="14"/>
      <c r="G3620" s="13">
        <v>0</v>
      </c>
      <c r="H3620" s="13">
        <v>0</v>
      </c>
      <c r="I3620" s="13"/>
      <c r="J3620" s="13"/>
      <c r="K3620" s="13"/>
      <c r="L3620" s="15">
        <v>0</v>
      </c>
    </row>
    <row r="3621" spans="1:12">
      <c r="A3621" s="12"/>
      <c r="E3621" s="14"/>
      <c r="F3621" s="14"/>
      <c r="G3621" s="13">
        <v>0</v>
      </c>
      <c r="H3621" s="13">
        <v>0</v>
      </c>
      <c r="I3621" s="13"/>
      <c r="J3621" s="13"/>
      <c r="K3621" s="13"/>
      <c r="L3621" s="15">
        <v>0</v>
      </c>
    </row>
    <row r="3622" spans="1:12">
      <c r="A3622" s="12"/>
      <c r="E3622" s="14"/>
      <c r="F3622" s="14"/>
      <c r="G3622" s="13">
        <v>0</v>
      </c>
      <c r="H3622" s="13">
        <v>0</v>
      </c>
      <c r="I3622" s="13"/>
      <c r="J3622" s="13"/>
      <c r="K3622" s="13"/>
      <c r="L3622" s="15">
        <v>0</v>
      </c>
    </row>
    <row r="3623" spans="1:12">
      <c r="A3623" s="12"/>
      <c r="E3623" s="14"/>
      <c r="F3623" s="14"/>
      <c r="G3623" s="13">
        <v>0</v>
      </c>
      <c r="H3623" s="13">
        <v>0</v>
      </c>
      <c r="I3623" s="13"/>
      <c r="J3623" s="13"/>
      <c r="K3623" s="13"/>
      <c r="L3623" s="15">
        <v>0</v>
      </c>
    </row>
    <row r="3624" spans="1:12">
      <c r="A3624" s="12"/>
      <c r="E3624" s="14"/>
      <c r="F3624" s="14"/>
      <c r="G3624" s="13">
        <v>0</v>
      </c>
      <c r="H3624" s="13">
        <v>0</v>
      </c>
      <c r="I3624" s="13"/>
      <c r="J3624" s="13"/>
      <c r="K3624" s="13"/>
      <c r="L3624" s="15">
        <v>0</v>
      </c>
    </row>
    <row r="3625" spans="1:12">
      <c r="A3625" s="12"/>
      <c r="E3625" s="14"/>
      <c r="F3625" s="14"/>
      <c r="G3625" s="13">
        <v>0</v>
      </c>
      <c r="H3625" s="13">
        <v>0</v>
      </c>
      <c r="I3625" s="13"/>
      <c r="J3625" s="13"/>
      <c r="K3625" s="13"/>
      <c r="L3625" s="15">
        <v>0</v>
      </c>
    </row>
    <row r="3626" spans="1:12">
      <c r="A3626" s="12"/>
      <c r="E3626" s="14"/>
      <c r="F3626" s="14"/>
      <c r="G3626" s="13">
        <v>0</v>
      </c>
      <c r="H3626" s="13">
        <v>0</v>
      </c>
      <c r="I3626" s="13"/>
      <c r="J3626" s="13"/>
      <c r="K3626" s="13"/>
      <c r="L3626" s="15">
        <v>0</v>
      </c>
    </row>
    <row r="3627" spans="1:12">
      <c r="A3627" s="12"/>
      <c r="E3627" s="14"/>
      <c r="F3627" s="14"/>
      <c r="G3627" s="13">
        <v>0</v>
      </c>
      <c r="H3627" s="13">
        <v>0</v>
      </c>
      <c r="I3627" s="13"/>
      <c r="J3627" s="13"/>
      <c r="K3627" s="13"/>
      <c r="L3627" s="15">
        <v>0</v>
      </c>
    </row>
    <row r="3628" spans="1:12">
      <c r="A3628" s="12"/>
      <c r="E3628" s="14"/>
      <c r="F3628" s="14"/>
      <c r="G3628" s="13">
        <v>0</v>
      </c>
      <c r="H3628" s="13">
        <v>0</v>
      </c>
      <c r="I3628" s="13"/>
      <c r="J3628" s="13"/>
      <c r="K3628" s="13"/>
      <c r="L3628" s="15">
        <v>0</v>
      </c>
    </row>
    <row r="3629" spans="1:12">
      <c r="A3629" s="12"/>
      <c r="E3629" s="14"/>
      <c r="F3629" s="14"/>
      <c r="G3629" s="13">
        <v>0</v>
      </c>
      <c r="H3629" s="13">
        <v>0</v>
      </c>
      <c r="I3629" s="13"/>
      <c r="J3629" s="13"/>
      <c r="K3629" s="13"/>
      <c r="L3629" s="15">
        <v>0</v>
      </c>
    </row>
    <row r="3630" spans="1:12">
      <c r="A3630" s="12"/>
      <c r="E3630" s="14"/>
      <c r="F3630" s="14"/>
      <c r="G3630" s="13">
        <v>0</v>
      </c>
      <c r="H3630" s="13">
        <v>0</v>
      </c>
      <c r="I3630" s="13"/>
      <c r="J3630" s="13"/>
      <c r="K3630" s="13"/>
      <c r="L3630" s="15">
        <v>0</v>
      </c>
    </row>
    <row r="3631" spans="1:12">
      <c r="A3631" s="12"/>
      <c r="E3631" s="14"/>
      <c r="F3631" s="14"/>
      <c r="G3631" s="13">
        <v>0</v>
      </c>
      <c r="H3631" s="13">
        <v>0</v>
      </c>
      <c r="I3631" s="13"/>
      <c r="J3631" s="13"/>
      <c r="K3631" s="13"/>
      <c r="L3631" s="15">
        <v>0</v>
      </c>
    </row>
    <row r="3632" spans="1:12">
      <c r="A3632" s="12"/>
      <c r="E3632" s="14"/>
      <c r="F3632" s="14"/>
      <c r="G3632" s="13">
        <v>0</v>
      </c>
      <c r="H3632" s="13">
        <v>0</v>
      </c>
      <c r="I3632" s="13"/>
      <c r="J3632" s="13"/>
      <c r="K3632" s="13"/>
      <c r="L3632" s="15">
        <v>0</v>
      </c>
    </row>
    <row r="3633" spans="1:12">
      <c r="A3633" s="12"/>
      <c r="E3633" s="14"/>
      <c r="F3633" s="14"/>
      <c r="G3633" s="13">
        <v>0</v>
      </c>
      <c r="H3633" s="13">
        <v>0</v>
      </c>
      <c r="I3633" s="13"/>
      <c r="J3633" s="13"/>
      <c r="K3633" s="13"/>
      <c r="L3633" s="15">
        <v>0</v>
      </c>
    </row>
    <row r="3634" spans="1:12">
      <c r="A3634" s="12"/>
      <c r="E3634" s="14"/>
      <c r="F3634" s="14"/>
      <c r="G3634" s="13">
        <v>0</v>
      </c>
      <c r="H3634" s="13">
        <v>0</v>
      </c>
      <c r="I3634" s="13"/>
      <c r="J3634" s="13"/>
      <c r="K3634" s="13"/>
      <c r="L3634" s="15">
        <v>0</v>
      </c>
    </row>
    <row r="3635" spans="1:12">
      <c r="A3635" s="12"/>
      <c r="E3635" s="14"/>
      <c r="F3635" s="14"/>
      <c r="G3635" s="13">
        <v>0</v>
      </c>
      <c r="H3635" s="13">
        <v>0</v>
      </c>
      <c r="I3635" s="13"/>
      <c r="J3635" s="13"/>
      <c r="K3635" s="13"/>
      <c r="L3635" s="15">
        <v>0</v>
      </c>
    </row>
    <row r="3636" spans="1:12">
      <c r="A3636" s="12"/>
      <c r="E3636" s="14"/>
      <c r="F3636" s="14"/>
      <c r="G3636" s="13">
        <v>0</v>
      </c>
      <c r="H3636" s="13">
        <v>0</v>
      </c>
      <c r="I3636" s="13"/>
      <c r="J3636" s="13"/>
      <c r="K3636" s="13"/>
      <c r="L3636" s="15">
        <v>0</v>
      </c>
    </row>
    <row r="3637" spans="1:12">
      <c r="A3637" s="12"/>
      <c r="E3637" s="14"/>
      <c r="F3637" s="14"/>
      <c r="G3637" s="13">
        <v>0</v>
      </c>
      <c r="H3637" s="13">
        <v>0</v>
      </c>
      <c r="I3637" s="13"/>
      <c r="J3637" s="13"/>
      <c r="K3637" s="13"/>
      <c r="L3637" s="15">
        <v>0</v>
      </c>
    </row>
    <row r="3638" spans="1:12">
      <c r="A3638" s="12"/>
      <c r="E3638" s="14"/>
      <c r="F3638" s="14"/>
      <c r="G3638" s="13">
        <v>0</v>
      </c>
      <c r="H3638" s="13">
        <v>0</v>
      </c>
      <c r="I3638" s="13"/>
      <c r="J3638" s="13"/>
      <c r="K3638" s="13"/>
      <c r="L3638" s="15">
        <v>0</v>
      </c>
    </row>
    <row r="3639" spans="1:12">
      <c r="A3639" s="12"/>
      <c r="E3639" s="14"/>
      <c r="F3639" s="14"/>
      <c r="G3639" s="13">
        <v>0</v>
      </c>
      <c r="H3639" s="13">
        <v>0</v>
      </c>
      <c r="I3639" s="13"/>
      <c r="J3639" s="13"/>
      <c r="K3639" s="13"/>
      <c r="L3639" s="15">
        <v>0</v>
      </c>
    </row>
    <row r="3640" spans="1:12">
      <c r="A3640" s="12"/>
      <c r="E3640" s="14"/>
      <c r="F3640" s="14"/>
      <c r="G3640" s="13">
        <v>0</v>
      </c>
      <c r="H3640" s="13">
        <v>0</v>
      </c>
      <c r="I3640" s="13"/>
      <c r="J3640" s="13"/>
      <c r="K3640" s="13"/>
      <c r="L3640" s="15">
        <v>0</v>
      </c>
    </row>
    <row r="3641" spans="1:12">
      <c r="A3641" s="12"/>
      <c r="E3641" s="14"/>
      <c r="F3641" s="14"/>
      <c r="G3641" s="13">
        <v>0</v>
      </c>
      <c r="H3641" s="13">
        <v>0</v>
      </c>
      <c r="I3641" s="13"/>
      <c r="J3641" s="13"/>
      <c r="K3641" s="13"/>
      <c r="L3641" s="15">
        <v>0</v>
      </c>
    </row>
    <row r="3642" spans="1:12">
      <c r="A3642" s="12"/>
      <c r="E3642" s="14"/>
      <c r="F3642" s="14"/>
      <c r="G3642" s="13">
        <v>0</v>
      </c>
      <c r="H3642" s="13">
        <v>0</v>
      </c>
      <c r="I3642" s="13"/>
      <c r="J3642" s="13"/>
      <c r="K3642" s="13"/>
      <c r="L3642" s="15">
        <v>0</v>
      </c>
    </row>
    <row r="3643" spans="1:12">
      <c r="A3643" s="12"/>
      <c r="E3643" s="14"/>
      <c r="F3643" s="14"/>
      <c r="G3643" s="13">
        <v>0</v>
      </c>
      <c r="H3643" s="13">
        <v>0</v>
      </c>
      <c r="I3643" s="13"/>
      <c r="J3643" s="13"/>
      <c r="K3643" s="13"/>
      <c r="L3643" s="15">
        <v>0</v>
      </c>
    </row>
    <row r="3644" spans="1:12">
      <c r="A3644" s="12"/>
      <c r="E3644" s="14"/>
      <c r="F3644" s="14"/>
      <c r="G3644" s="13">
        <v>0</v>
      </c>
      <c r="H3644" s="13">
        <v>0</v>
      </c>
      <c r="I3644" s="13"/>
      <c r="J3644" s="13"/>
      <c r="K3644" s="13"/>
      <c r="L3644" s="15">
        <v>0</v>
      </c>
    </row>
    <row r="3645" spans="1:12">
      <c r="A3645" s="12"/>
      <c r="E3645" s="14"/>
      <c r="F3645" s="14"/>
      <c r="G3645" s="13">
        <v>0</v>
      </c>
      <c r="H3645" s="13">
        <v>0</v>
      </c>
      <c r="I3645" s="13"/>
      <c r="J3645" s="13"/>
      <c r="K3645" s="13"/>
      <c r="L3645" s="15">
        <v>0</v>
      </c>
    </row>
    <row r="3646" spans="1:12">
      <c r="A3646" s="12"/>
      <c r="E3646" s="14"/>
      <c r="F3646" s="14"/>
      <c r="G3646" s="13">
        <v>0</v>
      </c>
      <c r="H3646" s="13">
        <v>0</v>
      </c>
      <c r="I3646" s="13"/>
      <c r="J3646" s="13"/>
      <c r="K3646" s="13"/>
      <c r="L3646" s="15">
        <v>0</v>
      </c>
    </row>
    <row r="3647" spans="1:12">
      <c r="A3647" s="12"/>
      <c r="E3647" s="14"/>
      <c r="F3647" s="14"/>
      <c r="G3647" s="13">
        <v>0</v>
      </c>
      <c r="H3647" s="13">
        <v>0</v>
      </c>
      <c r="I3647" s="13"/>
      <c r="J3647" s="13"/>
      <c r="K3647" s="13"/>
      <c r="L3647" s="15">
        <v>0</v>
      </c>
    </row>
    <row r="3648" spans="1:12">
      <c r="A3648" s="12"/>
      <c r="E3648" s="14"/>
      <c r="F3648" s="14"/>
      <c r="G3648" s="13">
        <v>0</v>
      </c>
      <c r="H3648" s="13">
        <v>0</v>
      </c>
      <c r="I3648" s="13"/>
      <c r="J3648" s="13"/>
      <c r="K3648" s="13"/>
      <c r="L3648" s="15">
        <v>0</v>
      </c>
    </row>
    <row r="3649" spans="1:12">
      <c r="A3649" s="12"/>
      <c r="E3649" s="14"/>
      <c r="F3649" s="14"/>
      <c r="G3649" s="13">
        <v>0</v>
      </c>
      <c r="H3649" s="13">
        <v>0</v>
      </c>
      <c r="I3649" s="13"/>
      <c r="J3649" s="13"/>
      <c r="K3649" s="13"/>
      <c r="L3649" s="15">
        <v>0</v>
      </c>
    </row>
    <row r="3650" spans="1:12">
      <c r="A3650" s="12"/>
      <c r="E3650" s="14"/>
      <c r="F3650" s="14"/>
      <c r="G3650" s="13">
        <v>0</v>
      </c>
      <c r="H3650" s="13">
        <v>0</v>
      </c>
      <c r="I3650" s="13"/>
      <c r="J3650" s="13"/>
      <c r="K3650" s="13"/>
      <c r="L3650" s="15">
        <v>0</v>
      </c>
    </row>
    <row r="3651" spans="1:12">
      <c r="A3651" s="12"/>
      <c r="E3651" s="14"/>
      <c r="F3651" s="14"/>
      <c r="G3651" s="13">
        <v>0</v>
      </c>
      <c r="H3651" s="13">
        <v>0</v>
      </c>
      <c r="I3651" s="13"/>
      <c r="J3651" s="13"/>
      <c r="K3651" s="13"/>
      <c r="L3651" s="15">
        <v>0</v>
      </c>
    </row>
    <row r="3652" spans="1:12">
      <c r="A3652" s="12"/>
      <c r="E3652" s="14"/>
      <c r="F3652" s="14"/>
      <c r="G3652" s="13">
        <v>0</v>
      </c>
      <c r="H3652" s="13">
        <v>0</v>
      </c>
      <c r="I3652" s="13"/>
      <c r="J3652" s="13"/>
      <c r="K3652" s="13"/>
      <c r="L3652" s="15">
        <v>0</v>
      </c>
    </row>
    <row r="3653" spans="1:12">
      <c r="A3653" s="12"/>
      <c r="E3653" s="14"/>
      <c r="F3653" s="14"/>
      <c r="G3653" s="13">
        <v>0</v>
      </c>
      <c r="H3653" s="13">
        <v>0</v>
      </c>
      <c r="I3653" s="13"/>
      <c r="J3653" s="13"/>
      <c r="K3653" s="13"/>
      <c r="L3653" s="15">
        <v>0</v>
      </c>
    </row>
    <row r="3654" spans="1:12">
      <c r="A3654" s="12"/>
      <c r="E3654" s="14"/>
      <c r="F3654" s="14"/>
      <c r="G3654" s="13">
        <v>0</v>
      </c>
      <c r="H3654" s="13">
        <v>0</v>
      </c>
      <c r="I3654" s="13"/>
      <c r="J3654" s="13"/>
      <c r="K3654" s="13"/>
      <c r="L3654" s="15">
        <v>0</v>
      </c>
    </row>
    <row r="3655" spans="1:12">
      <c r="A3655" s="12"/>
      <c r="E3655" s="14"/>
      <c r="F3655" s="14"/>
      <c r="G3655" s="13">
        <v>0</v>
      </c>
      <c r="H3655" s="13">
        <v>0</v>
      </c>
      <c r="I3655" s="13"/>
      <c r="J3655" s="13"/>
      <c r="K3655" s="13"/>
      <c r="L3655" s="15">
        <v>0</v>
      </c>
    </row>
    <row r="3656" spans="1:12">
      <c r="A3656" s="12"/>
      <c r="E3656" s="14"/>
      <c r="F3656" s="14"/>
      <c r="G3656" s="13">
        <v>0</v>
      </c>
      <c r="H3656" s="13">
        <v>0</v>
      </c>
      <c r="I3656" s="13"/>
      <c r="J3656" s="13"/>
      <c r="K3656" s="13"/>
      <c r="L3656" s="15">
        <v>0</v>
      </c>
    </row>
    <row r="3657" spans="1:12">
      <c r="A3657" s="12"/>
      <c r="E3657" s="14"/>
      <c r="F3657" s="14"/>
      <c r="G3657" s="13">
        <v>0</v>
      </c>
      <c r="H3657" s="13">
        <v>0</v>
      </c>
      <c r="I3657" s="13"/>
      <c r="J3657" s="13"/>
      <c r="K3657" s="13"/>
      <c r="L3657" s="15">
        <v>0</v>
      </c>
    </row>
    <row r="3658" spans="1:12">
      <c r="A3658" s="12"/>
      <c r="E3658" s="14"/>
      <c r="F3658" s="14"/>
      <c r="G3658" s="13">
        <v>0</v>
      </c>
      <c r="H3658" s="13">
        <v>0</v>
      </c>
      <c r="I3658" s="13"/>
      <c r="J3658" s="13"/>
      <c r="K3658" s="13"/>
      <c r="L3658" s="15">
        <v>0</v>
      </c>
    </row>
    <row r="3659" spans="1:12">
      <c r="A3659" s="12"/>
      <c r="E3659" s="14"/>
      <c r="F3659" s="14"/>
      <c r="G3659" s="13">
        <v>0</v>
      </c>
      <c r="H3659" s="13">
        <v>0</v>
      </c>
      <c r="I3659" s="13"/>
      <c r="J3659" s="13"/>
      <c r="K3659" s="13"/>
      <c r="L3659" s="15">
        <v>0</v>
      </c>
    </row>
    <row r="3660" spans="1:12">
      <c r="A3660" s="12"/>
      <c r="E3660" s="14"/>
      <c r="F3660" s="14"/>
      <c r="G3660" s="13">
        <v>0</v>
      </c>
      <c r="H3660" s="13">
        <v>0</v>
      </c>
      <c r="I3660" s="13"/>
      <c r="J3660" s="13"/>
      <c r="K3660" s="13"/>
      <c r="L3660" s="15">
        <v>0</v>
      </c>
    </row>
    <row r="3661" spans="1:12">
      <c r="A3661" s="12"/>
      <c r="E3661" s="14"/>
      <c r="F3661" s="14"/>
      <c r="G3661" s="13">
        <v>0</v>
      </c>
      <c r="H3661" s="13">
        <v>0</v>
      </c>
      <c r="I3661" s="13"/>
      <c r="J3661" s="13"/>
      <c r="K3661" s="13"/>
      <c r="L3661" s="15">
        <v>0</v>
      </c>
    </row>
    <row r="3662" spans="1:12">
      <c r="A3662" s="12"/>
      <c r="E3662" s="14"/>
      <c r="F3662" s="14"/>
      <c r="G3662" s="13">
        <v>0</v>
      </c>
      <c r="H3662" s="13">
        <v>0</v>
      </c>
      <c r="I3662" s="13"/>
      <c r="J3662" s="13"/>
      <c r="K3662" s="13"/>
      <c r="L3662" s="15">
        <v>0</v>
      </c>
    </row>
    <row r="3663" spans="1:12">
      <c r="A3663" s="12"/>
      <c r="E3663" s="14"/>
      <c r="F3663" s="14"/>
      <c r="G3663" s="13">
        <v>0</v>
      </c>
      <c r="H3663" s="13">
        <v>0</v>
      </c>
      <c r="I3663" s="13"/>
      <c r="J3663" s="13"/>
      <c r="K3663" s="13"/>
      <c r="L3663" s="15">
        <v>0</v>
      </c>
    </row>
    <row r="3664" spans="1:12">
      <c r="A3664" s="12"/>
      <c r="E3664" s="14"/>
      <c r="F3664" s="14"/>
      <c r="G3664" s="13">
        <v>0</v>
      </c>
      <c r="H3664" s="13">
        <v>0</v>
      </c>
      <c r="I3664" s="13"/>
      <c r="J3664" s="13"/>
      <c r="K3664" s="13"/>
      <c r="L3664" s="15">
        <v>0</v>
      </c>
    </row>
    <row r="3665" spans="1:12">
      <c r="A3665" s="12"/>
      <c r="E3665" s="14"/>
      <c r="F3665" s="14"/>
      <c r="G3665" s="13">
        <v>0</v>
      </c>
      <c r="H3665" s="13">
        <v>0</v>
      </c>
      <c r="I3665" s="13"/>
      <c r="J3665" s="13"/>
      <c r="K3665" s="13"/>
      <c r="L3665" s="15">
        <v>0</v>
      </c>
    </row>
    <row r="3666" spans="1:12">
      <c r="A3666" s="12"/>
      <c r="E3666" s="14"/>
      <c r="F3666" s="14"/>
      <c r="G3666" s="13">
        <v>0</v>
      </c>
      <c r="H3666" s="13">
        <v>0</v>
      </c>
      <c r="I3666" s="13"/>
      <c r="J3666" s="13"/>
      <c r="K3666" s="13"/>
      <c r="L3666" s="15">
        <v>0</v>
      </c>
    </row>
    <row r="3667" spans="1:12">
      <c r="A3667" s="12"/>
      <c r="E3667" s="14"/>
      <c r="F3667" s="14"/>
      <c r="G3667" s="13">
        <v>0</v>
      </c>
      <c r="H3667" s="13">
        <v>0</v>
      </c>
      <c r="I3667" s="13"/>
      <c r="J3667" s="13"/>
      <c r="K3667" s="13"/>
      <c r="L3667" s="15">
        <v>0</v>
      </c>
    </row>
    <row r="3668" spans="1:12">
      <c r="A3668" s="12"/>
      <c r="E3668" s="14"/>
      <c r="F3668" s="14"/>
      <c r="G3668" s="13">
        <v>0</v>
      </c>
      <c r="H3668" s="13">
        <v>0</v>
      </c>
      <c r="I3668" s="13"/>
      <c r="J3668" s="13"/>
      <c r="K3668" s="13"/>
      <c r="L3668" s="15">
        <v>0</v>
      </c>
    </row>
    <row r="3669" spans="1:12">
      <c r="A3669" s="12"/>
      <c r="E3669" s="14"/>
      <c r="F3669" s="14"/>
      <c r="G3669" s="13">
        <v>0</v>
      </c>
      <c r="H3669" s="13">
        <v>0</v>
      </c>
      <c r="I3669" s="13"/>
      <c r="J3669" s="13"/>
      <c r="K3669" s="13"/>
      <c r="L3669" s="15">
        <v>0</v>
      </c>
    </row>
    <row r="3670" spans="1:12">
      <c r="A3670" s="12"/>
      <c r="E3670" s="14"/>
      <c r="F3670" s="14"/>
      <c r="G3670" s="13">
        <v>0</v>
      </c>
      <c r="H3670" s="13">
        <v>0</v>
      </c>
      <c r="I3670" s="13"/>
      <c r="J3670" s="13"/>
      <c r="K3670" s="13"/>
      <c r="L3670" s="15">
        <v>0</v>
      </c>
    </row>
    <row r="3671" spans="1:12">
      <c r="A3671" s="12"/>
      <c r="E3671" s="14"/>
      <c r="F3671" s="14"/>
      <c r="G3671" s="13">
        <v>0</v>
      </c>
      <c r="H3671" s="13">
        <v>0</v>
      </c>
      <c r="I3671" s="13"/>
      <c r="J3671" s="13"/>
      <c r="K3671" s="13"/>
      <c r="L3671" s="15">
        <v>0</v>
      </c>
    </row>
    <row r="3672" spans="1:12">
      <c r="A3672" s="12"/>
      <c r="E3672" s="14"/>
      <c r="F3672" s="14"/>
      <c r="G3672" s="13">
        <v>0</v>
      </c>
      <c r="H3672" s="13">
        <v>0</v>
      </c>
      <c r="I3672" s="13"/>
      <c r="J3672" s="13"/>
      <c r="K3672" s="13"/>
      <c r="L3672" s="15">
        <v>0</v>
      </c>
    </row>
    <row r="3673" spans="1:12">
      <c r="A3673" s="12"/>
      <c r="E3673" s="14"/>
      <c r="F3673" s="14"/>
      <c r="G3673" s="13">
        <v>0</v>
      </c>
      <c r="H3673" s="13">
        <v>0</v>
      </c>
      <c r="I3673" s="13"/>
      <c r="J3673" s="13"/>
      <c r="K3673" s="13"/>
      <c r="L3673" s="15">
        <v>0</v>
      </c>
    </row>
    <row r="3674" spans="1:12">
      <c r="A3674" s="12"/>
      <c r="E3674" s="14"/>
      <c r="F3674" s="14"/>
      <c r="G3674" s="13">
        <v>0</v>
      </c>
      <c r="H3674" s="13">
        <v>0</v>
      </c>
      <c r="I3674" s="13"/>
      <c r="J3674" s="13"/>
      <c r="K3674" s="13"/>
      <c r="L3674" s="15">
        <v>0</v>
      </c>
    </row>
    <row r="3675" spans="1:12">
      <c r="A3675" s="12"/>
      <c r="E3675" s="14"/>
      <c r="F3675" s="14"/>
      <c r="G3675" s="13">
        <v>0</v>
      </c>
      <c r="H3675" s="13">
        <v>0</v>
      </c>
      <c r="I3675" s="13"/>
      <c r="J3675" s="13"/>
      <c r="K3675" s="13"/>
      <c r="L3675" s="15">
        <v>0</v>
      </c>
    </row>
    <row r="3676" spans="1:12">
      <c r="A3676" s="12"/>
      <c r="E3676" s="14"/>
      <c r="F3676" s="14"/>
      <c r="G3676" s="13">
        <v>0</v>
      </c>
      <c r="H3676" s="13">
        <v>0</v>
      </c>
      <c r="I3676" s="13"/>
      <c r="J3676" s="13"/>
      <c r="K3676" s="13"/>
      <c r="L3676" s="15">
        <v>0</v>
      </c>
    </row>
    <row r="3677" spans="1:12">
      <c r="A3677" s="12"/>
      <c r="E3677" s="14"/>
      <c r="F3677" s="14"/>
      <c r="G3677" s="13">
        <v>0</v>
      </c>
      <c r="H3677" s="13">
        <v>0</v>
      </c>
      <c r="I3677" s="13"/>
      <c r="J3677" s="13"/>
      <c r="K3677" s="13"/>
      <c r="L3677" s="15">
        <v>0</v>
      </c>
    </row>
    <row r="3678" spans="1:12">
      <c r="A3678" s="12"/>
      <c r="E3678" s="14"/>
      <c r="F3678" s="14"/>
      <c r="G3678" s="13">
        <v>0</v>
      </c>
      <c r="H3678" s="13">
        <v>0</v>
      </c>
      <c r="I3678" s="13"/>
      <c r="J3678" s="13"/>
      <c r="K3678" s="13"/>
      <c r="L3678" s="15">
        <v>0</v>
      </c>
    </row>
    <row r="3679" spans="1:12">
      <c r="A3679" s="12"/>
      <c r="E3679" s="14"/>
      <c r="F3679" s="14"/>
      <c r="G3679" s="13">
        <v>0</v>
      </c>
      <c r="H3679" s="13">
        <v>0</v>
      </c>
      <c r="I3679" s="13"/>
      <c r="J3679" s="13"/>
      <c r="K3679" s="13"/>
      <c r="L3679" s="15">
        <v>0</v>
      </c>
    </row>
    <row r="3680" spans="1:12">
      <c r="A3680" s="12"/>
      <c r="E3680" s="14"/>
      <c r="F3680" s="14"/>
      <c r="G3680" s="13">
        <v>0</v>
      </c>
      <c r="H3680" s="13">
        <v>0</v>
      </c>
      <c r="I3680" s="13"/>
      <c r="J3680" s="13"/>
      <c r="K3680" s="13"/>
      <c r="L3680" s="15">
        <v>0</v>
      </c>
    </row>
    <row r="3681" spans="1:12">
      <c r="A3681" s="12"/>
      <c r="E3681" s="14"/>
      <c r="F3681" s="14"/>
      <c r="G3681" s="13">
        <v>0</v>
      </c>
      <c r="H3681" s="13">
        <v>0</v>
      </c>
      <c r="I3681" s="13"/>
      <c r="J3681" s="13"/>
      <c r="K3681" s="13"/>
      <c r="L3681" s="15">
        <v>0</v>
      </c>
    </row>
    <row r="3682" spans="1:12">
      <c r="A3682" s="12"/>
      <c r="E3682" s="14"/>
      <c r="F3682" s="14"/>
      <c r="G3682" s="13">
        <v>0</v>
      </c>
      <c r="H3682" s="13">
        <v>0</v>
      </c>
      <c r="I3682" s="13"/>
      <c r="J3682" s="13"/>
      <c r="K3682" s="13"/>
      <c r="L3682" s="15">
        <v>0</v>
      </c>
    </row>
    <row r="3683" spans="1:12">
      <c r="A3683" s="12"/>
      <c r="E3683" s="14"/>
      <c r="F3683" s="14"/>
      <c r="G3683" s="13">
        <v>0</v>
      </c>
      <c r="H3683" s="13">
        <v>0</v>
      </c>
      <c r="I3683" s="13"/>
      <c r="J3683" s="13"/>
      <c r="K3683" s="13"/>
      <c r="L3683" s="15">
        <v>0</v>
      </c>
    </row>
    <row r="3684" spans="1:12">
      <c r="A3684" s="12"/>
      <c r="E3684" s="14"/>
      <c r="F3684" s="14"/>
      <c r="G3684" s="13">
        <v>0</v>
      </c>
      <c r="H3684" s="13">
        <v>0</v>
      </c>
      <c r="I3684" s="13"/>
      <c r="J3684" s="13"/>
      <c r="K3684" s="13"/>
      <c r="L3684" s="15">
        <v>0</v>
      </c>
    </row>
    <row r="3685" spans="1:12">
      <c r="A3685" s="12"/>
      <c r="E3685" s="14"/>
      <c r="F3685" s="14"/>
      <c r="G3685" s="13">
        <v>0</v>
      </c>
      <c r="H3685" s="13">
        <v>0</v>
      </c>
      <c r="I3685" s="13"/>
      <c r="J3685" s="13"/>
      <c r="K3685" s="13"/>
      <c r="L3685" s="15">
        <v>0</v>
      </c>
    </row>
    <row r="3686" spans="1:12">
      <c r="A3686" s="12"/>
      <c r="E3686" s="14"/>
      <c r="F3686" s="14"/>
      <c r="G3686" s="13">
        <v>0</v>
      </c>
      <c r="H3686" s="13">
        <v>0</v>
      </c>
      <c r="I3686" s="13"/>
      <c r="J3686" s="13"/>
      <c r="K3686" s="13"/>
      <c r="L3686" s="15">
        <v>0</v>
      </c>
    </row>
    <row r="3687" spans="1:12">
      <c r="A3687" s="12"/>
      <c r="E3687" s="14"/>
      <c r="F3687" s="14"/>
      <c r="G3687" s="13">
        <v>0</v>
      </c>
      <c r="H3687" s="13">
        <v>0</v>
      </c>
      <c r="I3687" s="13"/>
      <c r="J3687" s="13"/>
      <c r="K3687" s="13"/>
      <c r="L3687" s="15">
        <v>0</v>
      </c>
    </row>
    <row r="3688" spans="1:12">
      <c r="A3688" s="12"/>
      <c r="E3688" s="14"/>
      <c r="F3688" s="14"/>
      <c r="G3688" s="13">
        <v>0</v>
      </c>
      <c r="H3688" s="13">
        <v>0</v>
      </c>
      <c r="I3688" s="13"/>
      <c r="J3688" s="13"/>
      <c r="K3688" s="13"/>
      <c r="L3688" s="15">
        <v>0</v>
      </c>
    </row>
    <row r="3689" spans="1:12">
      <c r="A3689" s="12"/>
      <c r="E3689" s="14"/>
      <c r="F3689" s="14"/>
      <c r="G3689" s="13">
        <v>0</v>
      </c>
      <c r="H3689" s="13">
        <v>0</v>
      </c>
      <c r="I3689" s="13"/>
      <c r="J3689" s="13"/>
      <c r="K3689" s="13"/>
      <c r="L3689" s="15">
        <v>0</v>
      </c>
    </row>
    <row r="3690" spans="1:12">
      <c r="A3690" s="12"/>
      <c r="E3690" s="14"/>
      <c r="F3690" s="14"/>
      <c r="G3690" s="13">
        <v>0</v>
      </c>
      <c r="H3690" s="13">
        <v>0</v>
      </c>
      <c r="I3690" s="13"/>
      <c r="J3690" s="13"/>
      <c r="K3690" s="13"/>
      <c r="L3690" s="15">
        <v>0</v>
      </c>
    </row>
    <row r="3691" spans="1:12">
      <c r="A3691" s="12"/>
      <c r="E3691" s="14"/>
      <c r="F3691" s="14"/>
      <c r="G3691" s="13">
        <v>0</v>
      </c>
      <c r="H3691" s="13">
        <v>0</v>
      </c>
      <c r="I3691" s="13"/>
      <c r="J3691" s="13"/>
      <c r="K3691" s="13"/>
      <c r="L3691" s="15">
        <v>0</v>
      </c>
    </row>
    <row r="3692" spans="1:12">
      <c r="A3692" s="12"/>
      <c r="E3692" s="14"/>
      <c r="F3692" s="14"/>
      <c r="G3692" s="13">
        <v>0</v>
      </c>
      <c r="H3692" s="13">
        <v>0</v>
      </c>
      <c r="I3692" s="13"/>
      <c r="J3692" s="13"/>
      <c r="K3692" s="13"/>
      <c r="L3692" s="15">
        <v>0</v>
      </c>
    </row>
    <row r="3693" spans="1:12">
      <c r="A3693" s="12"/>
      <c r="E3693" s="14"/>
      <c r="F3693" s="14"/>
      <c r="G3693" s="13">
        <v>0</v>
      </c>
      <c r="H3693" s="13">
        <v>0</v>
      </c>
      <c r="I3693" s="13"/>
      <c r="J3693" s="13"/>
      <c r="K3693" s="13"/>
      <c r="L3693" s="15">
        <v>0</v>
      </c>
    </row>
    <row r="3694" spans="1:12">
      <c r="A3694" s="12"/>
      <c r="E3694" s="14"/>
      <c r="F3694" s="14"/>
      <c r="G3694" s="13">
        <v>0</v>
      </c>
      <c r="H3694" s="13">
        <v>0</v>
      </c>
      <c r="I3694" s="13"/>
      <c r="J3694" s="13"/>
      <c r="K3694" s="13"/>
      <c r="L3694" s="15">
        <v>0</v>
      </c>
    </row>
    <row r="3695" spans="1:12">
      <c r="A3695" s="12"/>
      <c r="E3695" s="14"/>
      <c r="F3695" s="14"/>
      <c r="G3695" s="13">
        <v>0</v>
      </c>
      <c r="H3695" s="13">
        <v>0</v>
      </c>
      <c r="I3695" s="13"/>
      <c r="J3695" s="13"/>
      <c r="K3695" s="13"/>
      <c r="L3695" s="15">
        <v>0</v>
      </c>
    </row>
    <row r="3696" spans="1:12">
      <c r="A3696" s="12"/>
      <c r="E3696" s="14"/>
      <c r="F3696" s="14"/>
      <c r="G3696" s="13">
        <v>0</v>
      </c>
      <c r="H3696" s="13">
        <v>0</v>
      </c>
      <c r="I3696" s="13"/>
      <c r="J3696" s="13"/>
      <c r="K3696" s="13"/>
      <c r="L3696" s="15">
        <v>0</v>
      </c>
    </row>
    <row r="3697" spans="1:12">
      <c r="A3697" s="12"/>
      <c r="E3697" s="14"/>
      <c r="F3697" s="14"/>
      <c r="G3697" s="13">
        <v>0</v>
      </c>
      <c r="H3697" s="13">
        <v>0</v>
      </c>
      <c r="I3697" s="13"/>
      <c r="J3697" s="13"/>
      <c r="K3697" s="13"/>
      <c r="L3697" s="15">
        <v>0</v>
      </c>
    </row>
    <row r="3698" spans="1:12">
      <c r="A3698" s="12"/>
      <c r="E3698" s="14"/>
      <c r="F3698" s="14"/>
      <c r="G3698" s="13">
        <v>0</v>
      </c>
      <c r="H3698" s="13">
        <v>0</v>
      </c>
      <c r="I3698" s="13"/>
      <c r="J3698" s="13"/>
      <c r="K3698" s="13"/>
      <c r="L3698" s="15">
        <v>0</v>
      </c>
    </row>
    <row r="3699" spans="1:12">
      <c r="A3699" s="12"/>
      <c r="E3699" s="14"/>
      <c r="F3699" s="14"/>
      <c r="G3699" s="13">
        <v>0</v>
      </c>
      <c r="H3699" s="13">
        <v>0</v>
      </c>
      <c r="I3699" s="13"/>
      <c r="J3699" s="13"/>
      <c r="K3699" s="13"/>
      <c r="L3699" s="15">
        <v>0</v>
      </c>
    </row>
    <row r="3700" spans="1:12">
      <c r="A3700" s="12"/>
      <c r="E3700" s="14"/>
      <c r="F3700" s="14"/>
      <c r="G3700" s="13">
        <v>0</v>
      </c>
      <c r="H3700" s="13">
        <v>0</v>
      </c>
      <c r="I3700" s="13"/>
      <c r="J3700" s="13"/>
      <c r="K3700" s="13"/>
      <c r="L3700" s="15">
        <v>0</v>
      </c>
    </row>
    <row r="3701" spans="1:12">
      <c r="A3701" s="12"/>
      <c r="E3701" s="14"/>
      <c r="F3701" s="14"/>
      <c r="G3701" s="13">
        <v>0</v>
      </c>
      <c r="H3701" s="13">
        <v>0</v>
      </c>
      <c r="I3701" s="13"/>
      <c r="J3701" s="13"/>
      <c r="K3701" s="13"/>
      <c r="L3701" s="15">
        <v>0</v>
      </c>
    </row>
    <row r="3702" spans="1:12">
      <c r="A3702" s="12"/>
      <c r="E3702" s="14"/>
      <c r="F3702" s="14"/>
      <c r="G3702" s="13">
        <v>0</v>
      </c>
      <c r="H3702" s="13">
        <v>0</v>
      </c>
      <c r="I3702" s="13"/>
      <c r="J3702" s="13"/>
      <c r="K3702" s="13"/>
      <c r="L3702" s="15">
        <v>0</v>
      </c>
    </row>
    <row r="3703" spans="1:12">
      <c r="A3703" s="12"/>
      <c r="E3703" s="14"/>
      <c r="F3703" s="14"/>
      <c r="G3703" s="13">
        <v>0</v>
      </c>
      <c r="H3703" s="13">
        <v>0</v>
      </c>
      <c r="I3703" s="13"/>
      <c r="J3703" s="13"/>
      <c r="K3703" s="13"/>
      <c r="L3703" s="15">
        <v>0</v>
      </c>
    </row>
    <row r="3704" spans="1:12">
      <c r="A3704" s="12"/>
      <c r="E3704" s="14"/>
      <c r="F3704" s="14"/>
      <c r="G3704" s="13">
        <v>0</v>
      </c>
      <c r="H3704" s="13">
        <v>0</v>
      </c>
      <c r="I3704" s="13"/>
      <c r="J3704" s="13"/>
      <c r="K3704" s="13"/>
      <c r="L3704" s="15">
        <v>0</v>
      </c>
    </row>
    <row r="3705" spans="1:12">
      <c r="A3705" s="12"/>
      <c r="E3705" s="14"/>
      <c r="F3705" s="14"/>
      <c r="G3705" s="13">
        <v>0</v>
      </c>
      <c r="H3705" s="13">
        <v>0</v>
      </c>
      <c r="I3705" s="13"/>
      <c r="J3705" s="13"/>
      <c r="K3705" s="13"/>
      <c r="L3705" s="15">
        <v>0</v>
      </c>
    </row>
    <row r="3706" spans="1:12">
      <c r="A3706" s="12"/>
      <c r="E3706" s="14"/>
      <c r="F3706" s="14"/>
      <c r="G3706" s="13">
        <v>0</v>
      </c>
      <c r="H3706" s="13">
        <v>0</v>
      </c>
      <c r="I3706" s="13"/>
      <c r="J3706" s="13"/>
      <c r="K3706" s="13"/>
      <c r="L3706" s="15">
        <v>0</v>
      </c>
    </row>
    <row r="3707" spans="1:12">
      <c r="A3707" s="12"/>
      <c r="E3707" s="14"/>
      <c r="F3707" s="14"/>
      <c r="G3707" s="13">
        <v>0</v>
      </c>
      <c r="H3707" s="13">
        <v>0</v>
      </c>
      <c r="I3707" s="13"/>
      <c r="J3707" s="13"/>
      <c r="K3707" s="13"/>
      <c r="L3707" s="15">
        <v>0</v>
      </c>
    </row>
    <row r="3708" spans="1:12">
      <c r="A3708" s="12"/>
      <c r="E3708" s="14"/>
      <c r="F3708" s="14"/>
      <c r="G3708" s="13">
        <v>0</v>
      </c>
      <c r="H3708" s="13">
        <v>0</v>
      </c>
      <c r="I3708" s="13"/>
      <c r="J3708" s="13"/>
      <c r="K3708" s="13"/>
      <c r="L3708" s="15">
        <v>0</v>
      </c>
    </row>
    <row r="3709" spans="1:12">
      <c r="A3709" s="12"/>
      <c r="E3709" s="14"/>
      <c r="F3709" s="14"/>
      <c r="G3709" s="13">
        <v>0</v>
      </c>
      <c r="H3709" s="13">
        <v>0</v>
      </c>
      <c r="I3709" s="13"/>
      <c r="J3709" s="13"/>
      <c r="K3709" s="13"/>
      <c r="L3709" s="15">
        <v>0</v>
      </c>
    </row>
    <row r="3710" spans="1:12">
      <c r="A3710" s="12"/>
      <c r="E3710" s="14"/>
      <c r="F3710" s="14"/>
      <c r="G3710" s="13">
        <v>0</v>
      </c>
      <c r="H3710" s="13">
        <v>0</v>
      </c>
      <c r="I3710" s="13"/>
      <c r="J3710" s="13"/>
      <c r="K3710" s="13"/>
      <c r="L3710" s="15">
        <v>0</v>
      </c>
    </row>
    <row r="3711" spans="1:12">
      <c r="A3711" s="12"/>
      <c r="E3711" s="14"/>
      <c r="F3711" s="14"/>
      <c r="G3711" s="13">
        <v>0</v>
      </c>
      <c r="H3711" s="13">
        <v>0</v>
      </c>
      <c r="I3711" s="13"/>
      <c r="J3711" s="13"/>
      <c r="K3711" s="13"/>
      <c r="L3711" s="15">
        <v>0</v>
      </c>
    </row>
    <row r="3712" spans="1:12">
      <c r="A3712" s="12"/>
      <c r="E3712" s="14"/>
      <c r="F3712" s="14"/>
      <c r="G3712" s="13">
        <v>0</v>
      </c>
      <c r="H3712" s="13">
        <v>0</v>
      </c>
      <c r="I3712" s="13"/>
      <c r="J3712" s="13"/>
      <c r="K3712" s="13"/>
      <c r="L3712" s="15">
        <v>0</v>
      </c>
    </row>
    <row r="3713" spans="1:12">
      <c r="A3713" s="12"/>
      <c r="E3713" s="14"/>
      <c r="F3713" s="14"/>
      <c r="G3713" s="13">
        <v>0</v>
      </c>
      <c r="H3713" s="13">
        <v>0</v>
      </c>
      <c r="I3713" s="13"/>
      <c r="J3713" s="13"/>
      <c r="K3713" s="13"/>
      <c r="L3713" s="15">
        <v>0</v>
      </c>
    </row>
    <row r="3714" spans="1:12">
      <c r="A3714" s="12"/>
      <c r="E3714" s="14"/>
      <c r="F3714" s="14"/>
      <c r="G3714" s="13">
        <v>0</v>
      </c>
      <c r="H3714" s="13">
        <v>0</v>
      </c>
      <c r="I3714" s="13"/>
      <c r="J3714" s="13"/>
      <c r="K3714" s="13"/>
      <c r="L3714" s="15">
        <v>0</v>
      </c>
    </row>
    <row r="3715" spans="1:12">
      <c r="A3715" s="12"/>
      <c r="E3715" s="14"/>
      <c r="F3715" s="14"/>
      <c r="G3715" s="13">
        <v>0</v>
      </c>
      <c r="H3715" s="13">
        <v>0</v>
      </c>
      <c r="I3715" s="13"/>
      <c r="J3715" s="13"/>
      <c r="K3715" s="13"/>
      <c r="L3715" s="15">
        <v>0</v>
      </c>
    </row>
    <row r="3716" spans="1:12">
      <c r="A3716" s="12"/>
      <c r="E3716" s="14"/>
      <c r="F3716" s="14"/>
      <c r="G3716" s="13">
        <v>0</v>
      </c>
      <c r="H3716" s="13">
        <v>0</v>
      </c>
      <c r="I3716" s="13"/>
      <c r="J3716" s="13"/>
      <c r="K3716" s="13"/>
      <c r="L3716" s="15">
        <v>0</v>
      </c>
    </row>
    <row r="3717" spans="1:12">
      <c r="A3717" s="12"/>
      <c r="E3717" s="14"/>
      <c r="F3717" s="14"/>
      <c r="G3717" s="13">
        <v>0</v>
      </c>
      <c r="H3717" s="13">
        <v>0</v>
      </c>
      <c r="I3717" s="13"/>
      <c r="J3717" s="13"/>
      <c r="K3717" s="13"/>
      <c r="L3717" s="15">
        <v>0</v>
      </c>
    </row>
    <row r="3718" spans="1:12">
      <c r="A3718" s="12"/>
      <c r="E3718" s="14"/>
      <c r="F3718" s="14"/>
      <c r="G3718" s="13">
        <v>0</v>
      </c>
      <c r="H3718" s="13">
        <v>0</v>
      </c>
      <c r="I3718" s="13"/>
      <c r="J3718" s="13"/>
      <c r="K3718" s="13"/>
      <c r="L3718" s="15">
        <v>0</v>
      </c>
    </row>
    <row r="3719" spans="1:12">
      <c r="A3719" s="12"/>
      <c r="E3719" s="14"/>
      <c r="F3719" s="14"/>
      <c r="G3719" s="13">
        <v>0</v>
      </c>
      <c r="H3719" s="13">
        <v>0</v>
      </c>
      <c r="I3719" s="13"/>
      <c r="J3719" s="13"/>
      <c r="K3719" s="13"/>
      <c r="L3719" s="15">
        <v>0</v>
      </c>
    </row>
    <row r="3720" spans="1:12">
      <c r="A3720" s="12"/>
      <c r="E3720" s="14"/>
      <c r="F3720" s="14"/>
      <c r="G3720" s="13">
        <v>0</v>
      </c>
      <c r="H3720" s="13">
        <v>0</v>
      </c>
      <c r="I3720" s="13"/>
      <c r="J3720" s="13"/>
      <c r="K3720" s="13"/>
      <c r="L3720" s="15">
        <v>0</v>
      </c>
    </row>
    <row r="3721" spans="1:12">
      <c r="A3721" s="12"/>
      <c r="E3721" s="14"/>
      <c r="F3721" s="14"/>
      <c r="G3721" s="13">
        <v>0</v>
      </c>
      <c r="H3721" s="13">
        <v>0</v>
      </c>
      <c r="I3721" s="13"/>
      <c r="J3721" s="13"/>
      <c r="K3721" s="13"/>
      <c r="L3721" s="15">
        <v>0</v>
      </c>
    </row>
    <row r="3722" spans="1:12">
      <c r="A3722" s="12"/>
      <c r="E3722" s="14"/>
      <c r="F3722" s="14"/>
      <c r="G3722" s="13">
        <v>0</v>
      </c>
      <c r="H3722" s="13">
        <v>0</v>
      </c>
      <c r="I3722" s="13"/>
      <c r="J3722" s="13"/>
      <c r="K3722" s="13"/>
      <c r="L3722" s="15">
        <v>0</v>
      </c>
    </row>
    <row r="3723" spans="1:12">
      <c r="A3723" s="12"/>
      <c r="E3723" s="14"/>
      <c r="F3723" s="14"/>
      <c r="G3723" s="13">
        <v>0</v>
      </c>
      <c r="H3723" s="13">
        <v>0</v>
      </c>
      <c r="I3723" s="13"/>
      <c r="J3723" s="13"/>
      <c r="K3723" s="13"/>
      <c r="L3723" s="15">
        <v>0</v>
      </c>
    </row>
    <row r="3724" spans="1:12">
      <c r="A3724" s="12"/>
      <c r="E3724" s="14"/>
      <c r="F3724" s="14"/>
      <c r="G3724" s="13">
        <v>0</v>
      </c>
      <c r="H3724" s="13">
        <v>0</v>
      </c>
      <c r="I3724" s="13"/>
      <c r="J3724" s="13"/>
      <c r="K3724" s="13"/>
      <c r="L3724" s="15">
        <v>0</v>
      </c>
    </row>
    <row r="3725" spans="1:12">
      <c r="A3725" s="12"/>
      <c r="E3725" s="14"/>
      <c r="F3725" s="14"/>
      <c r="G3725" s="13">
        <v>0</v>
      </c>
      <c r="H3725" s="13">
        <v>0</v>
      </c>
      <c r="I3725" s="13"/>
      <c r="J3725" s="13"/>
      <c r="K3725" s="13"/>
      <c r="L3725" s="15">
        <v>0</v>
      </c>
    </row>
    <row r="3726" spans="1:12">
      <c r="A3726" s="12"/>
      <c r="E3726" s="14"/>
      <c r="F3726" s="14"/>
      <c r="G3726" s="13">
        <v>0</v>
      </c>
      <c r="H3726" s="13">
        <v>0</v>
      </c>
      <c r="I3726" s="13"/>
      <c r="J3726" s="13"/>
      <c r="K3726" s="13"/>
      <c r="L3726" s="15">
        <v>0</v>
      </c>
    </row>
    <row r="3727" spans="1:12">
      <c r="A3727" s="12"/>
      <c r="E3727" s="14"/>
      <c r="F3727" s="14"/>
      <c r="G3727" s="13">
        <v>0</v>
      </c>
      <c r="H3727" s="13">
        <v>0</v>
      </c>
      <c r="I3727" s="13"/>
      <c r="J3727" s="13"/>
      <c r="K3727" s="13"/>
      <c r="L3727" s="15">
        <v>0</v>
      </c>
    </row>
    <row r="3728" spans="1:12">
      <c r="A3728" s="12"/>
      <c r="E3728" s="14"/>
      <c r="F3728" s="14"/>
      <c r="G3728" s="13">
        <v>0</v>
      </c>
      <c r="H3728" s="13">
        <v>0</v>
      </c>
      <c r="I3728" s="13"/>
      <c r="J3728" s="13"/>
      <c r="K3728" s="13"/>
      <c r="L3728" s="15">
        <v>0</v>
      </c>
    </row>
    <row r="3729" spans="1:12">
      <c r="A3729" s="12"/>
      <c r="E3729" s="14"/>
      <c r="F3729" s="14"/>
      <c r="G3729" s="13">
        <v>0</v>
      </c>
      <c r="H3729" s="13">
        <v>0</v>
      </c>
      <c r="I3729" s="13"/>
      <c r="J3729" s="13"/>
      <c r="K3729" s="13"/>
      <c r="L3729" s="15">
        <v>0</v>
      </c>
    </row>
    <row r="3730" spans="1:12">
      <c r="A3730" s="12"/>
      <c r="E3730" s="14"/>
      <c r="F3730" s="14"/>
      <c r="G3730" s="13">
        <v>0</v>
      </c>
      <c r="H3730" s="13">
        <v>0</v>
      </c>
      <c r="I3730" s="13"/>
      <c r="J3730" s="13"/>
      <c r="K3730" s="13"/>
      <c r="L3730" s="15">
        <v>0</v>
      </c>
    </row>
    <row r="3731" spans="1:12">
      <c r="A3731" s="12"/>
      <c r="E3731" s="14"/>
      <c r="F3731" s="14"/>
      <c r="G3731" s="13">
        <v>0</v>
      </c>
      <c r="H3731" s="13">
        <v>0</v>
      </c>
      <c r="I3731" s="13"/>
      <c r="J3731" s="13"/>
      <c r="K3731" s="13"/>
      <c r="L3731" s="15">
        <v>0</v>
      </c>
    </row>
    <row r="3732" spans="1:12">
      <c r="A3732" s="12"/>
      <c r="E3732" s="14"/>
      <c r="F3732" s="14"/>
      <c r="G3732" s="13">
        <v>0</v>
      </c>
      <c r="H3732" s="13">
        <v>0</v>
      </c>
      <c r="I3732" s="13"/>
      <c r="J3732" s="13"/>
      <c r="K3732" s="13"/>
      <c r="L3732" s="15">
        <v>0</v>
      </c>
    </row>
    <row r="3733" spans="1:12">
      <c r="A3733" s="12"/>
      <c r="E3733" s="14"/>
      <c r="F3733" s="14"/>
      <c r="G3733" s="13">
        <v>0</v>
      </c>
      <c r="H3733" s="13">
        <v>0</v>
      </c>
      <c r="I3733" s="13"/>
      <c r="J3733" s="13"/>
      <c r="K3733" s="13"/>
      <c r="L3733" s="15">
        <v>0</v>
      </c>
    </row>
    <row r="3734" spans="1:12">
      <c r="A3734" s="12"/>
      <c r="E3734" s="14"/>
      <c r="F3734" s="14"/>
      <c r="G3734" s="13">
        <v>0</v>
      </c>
      <c r="H3734" s="13">
        <v>0</v>
      </c>
      <c r="I3734" s="13"/>
      <c r="J3734" s="13"/>
      <c r="K3734" s="13"/>
      <c r="L3734" s="15">
        <v>0</v>
      </c>
    </row>
    <row r="3735" spans="1:12">
      <c r="A3735" s="12"/>
      <c r="E3735" s="14"/>
      <c r="F3735" s="14"/>
      <c r="G3735" s="13">
        <v>0</v>
      </c>
      <c r="H3735" s="13">
        <v>0</v>
      </c>
      <c r="I3735" s="13"/>
      <c r="J3735" s="13"/>
      <c r="K3735" s="13"/>
      <c r="L3735" s="15">
        <v>0</v>
      </c>
    </row>
    <row r="3736" spans="1:12">
      <c r="A3736" s="12"/>
      <c r="E3736" s="14"/>
      <c r="F3736" s="14"/>
      <c r="G3736" s="13">
        <v>0</v>
      </c>
      <c r="H3736" s="13">
        <v>0</v>
      </c>
      <c r="I3736" s="13"/>
      <c r="J3736" s="13"/>
      <c r="K3736" s="13"/>
      <c r="L3736" s="15">
        <v>0</v>
      </c>
    </row>
    <row r="3737" spans="1:12">
      <c r="A3737" s="12"/>
      <c r="E3737" s="14"/>
      <c r="F3737" s="14"/>
      <c r="G3737" s="13">
        <v>0</v>
      </c>
      <c r="H3737" s="13">
        <v>0</v>
      </c>
      <c r="I3737" s="13"/>
      <c r="J3737" s="13"/>
      <c r="K3737" s="13"/>
      <c r="L3737" s="15">
        <v>0</v>
      </c>
    </row>
    <row r="3738" spans="1:12">
      <c r="A3738" s="12"/>
      <c r="E3738" s="14"/>
      <c r="F3738" s="14"/>
      <c r="G3738" s="13">
        <v>0</v>
      </c>
      <c r="H3738" s="13">
        <v>0</v>
      </c>
      <c r="I3738" s="13"/>
      <c r="J3738" s="13"/>
      <c r="K3738" s="13"/>
      <c r="L3738" s="15">
        <v>0</v>
      </c>
    </row>
    <row r="3739" spans="1:12">
      <c r="A3739" s="12"/>
      <c r="E3739" s="14"/>
      <c r="F3739" s="14"/>
      <c r="G3739" s="13">
        <v>0</v>
      </c>
      <c r="H3739" s="13">
        <v>0</v>
      </c>
      <c r="I3739" s="13"/>
      <c r="J3739" s="13"/>
      <c r="K3739" s="13"/>
      <c r="L3739" s="15">
        <v>0</v>
      </c>
    </row>
    <row r="3740" spans="1:12">
      <c r="A3740" s="12"/>
      <c r="E3740" s="14"/>
      <c r="F3740" s="14"/>
      <c r="G3740" s="13">
        <v>0</v>
      </c>
      <c r="H3740" s="13">
        <v>0</v>
      </c>
      <c r="I3740" s="13"/>
      <c r="J3740" s="13"/>
      <c r="K3740" s="13"/>
      <c r="L3740" s="15">
        <v>0</v>
      </c>
    </row>
    <row r="3741" spans="1:12">
      <c r="A3741" s="12"/>
      <c r="E3741" s="14"/>
      <c r="F3741" s="14"/>
      <c r="G3741" s="13">
        <v>0</v>
      </c>
      <c r="H3741" s="13">
        <v>0</v>
      </c>
      <c r="I3741" s="13"/>
      <c r="J3741" s="13"/>
      <c r="K3741" s="13"/>
      <c r="L3741" s="15">
        <v>0</v>
      </c>
    </row>
    <row r="3742" spans="1:12">
      <c r="A3742" s="12"/>
      <c r="E3742" s="14"/>
      <c r="F3742" s="14"/>
      <c r="G3742" s="13">
        <v>0</v>
      </c>
      <c r="H3742" s="13">
        <v>0</v>
      </c>
      <c r="I3742" s="13"/>
      <c r="J3742" s="13"/>
      <c r="K3742" s="13"/>
      <c r="L3742" s="15">
        <v>0</v>
      </c>
    </row>
    <row r="3743" spans="1:12">
      <c r="A3743" s="12"/>
      <c r="E3743" s="14"/>
      <c r="F3743" s="14"/>
      <c r="G3743" s="13">
        <v>0</v>
      </c>
      <c r="H3743" s="13">
        <v>0</v>
      </c>
      <c r="I3743" s="13"/>
      <c r="J3743" s="13"/>
      <c r="K3743" s="13"/>
      <c r="L3743" s="15">
        <v>0</v>
      </c>
    </row>
    <row r="3744" spans="1:12">
      <c r="A3744" s="12"/>
      <c r="E3744" s="14"/>
      <c r="F3744" s="14"/>
      <c r="G3744" s="13">
        <v>0</v>
      </c>
      <c r="H3744" s="13">
        <v>0</v>
      </c>
      <c r="I3744" s="13"/>
      <c r="J3744" s="13"/>
      <c r="K3744" s="13"/>
      <c r="L3744" s="15">
        <v>0</v>
      </c>
    </row>
    <row r="3745" spans="1:12">
      <c r="A3745" s="12"/>
      <c r="E3745" s="14"/>
      <c r="F3745" s="14"/>
      <c r="G3745" s="13">
        <v>0</v>
      </c>
      <c r="H3745" s="13">
        <v>0</v>
      </c>
      <c r="I3745" s="13"/>
      <c r="J3745" s="13"/>
      <c r="K3745" s="13"/>
      <c r="L3745" s="15">
        <v>0</v>
      </c>
    </row>
    <row r="3746" spans="1:12">
      <c r="A3746" s="12"/>
      <c r="E3746" s="14"/>
      <c r="F3746" s="14"/>
      <c r="G3746" s="13">
        <v>0</v>
      </c>
      <c r="H3746" s="13">
        <v>0</v>
      </c>
      <c r="I3746" s="13"/>
      <c r="J3746" s="13"/>
      <c r="K3746" s="13"/>
      <c r="L3746" s="15">
        <v>0</v>
      </c>
    </row>
    <row r="3747" spans="1:12">
      <c r="A3747" s="12"/>
      <c r="E3747" s="14"/>
      <c r="F3747" s="14"/>
      <c r="G3747" s="13">
        <v>0</v>
      </c>
      <c r="H3747" s="13">
        <v>0</v>
      </c>
      <c r="I3747" s="13"/>
      <c r="J3747" s="13"/>
      <c r="K3747" s="13"/>
      <c r="L3747" s="15">
        <v>0</v>
      </c>
    </row>
    <row r="3748" spans="1:12">
      <c r="A3748" s="12"/>
      <c r="E3748" s="14"/>
      <c r="F3748" s="14"/>
      <c r="G3748" s="13">
        <v>0</v>
      </c>
      <c r="H3748" s="13">
        <v>0</v>
      </c>
      <c r="I3748" s="13"/>
      <c r="J3748" s="13"/>
      <c r="K3748" s="13"/>
      <c r="L3748" s="15">
        <v>0</v>
      </c>
    </row>
    <row r="3749" spans="1:12">
      <c r="A3749" s="12"/>
      <c r="E3749" s="14"/>
      <c r="F3749" s="14"/>
      <c r="G3749" s="13">
        <v>0</v>
      </c>
      <c r="H3749" s="13">
        <v>0</v>
      </c>
      <c r="I3749" s="13"/>
      <c r="J3749" s="13"/>
      <c r="K3749" s="13"/>
      <c r="L3749" s="15">
        <v>0</v>
      </c>
    </row>
    <row r="3750" spans="1:12">
      <c r="A3750" s="12"/>
      <c r="E3750" s="14"/>
      <c r="F3750" s="14"/>
      <c r="G3750" s="13">
        <v>0</v>
      </c>
      <c r="H3750" s="13">
        <v>0</v>
      </c>
      <c r="I3750" s="13"/>
      <c r="J3750" s="13"/>
      <c r="K3750" s="13"/>
      <c r="L3750" s="15">
        <v>0</v>
      </c>
    </row>
    <row r="3751" spans="1:12">
      <c r="A3751" s="12"/>
      <c r="E3751" s="14"/>
      <c r="F3751" s="14"/>
      <c r="G3751" s="13">
        <v>0</v>
      </c>
      <c r="H3751" s="13">
        <v>0</v>
      </c>
      <c r="I3751" s="13"/>
      <c r="J3751" s="13"/>
      <c r="K3751" s="13"/>
      <c r="L3751" s="15">
        <v>0</v>
      </c>
    </row>
    <row r="3752" spans="1:12">
      <c r="A3752" s="12"/>
      <c r="E3752" s="14"/>
      <c r="F3752" s="14"/>
      <c r="G3752" s="13">
        <v>0</v>
      </c>
      <c r="H3752" s="13">
        <v>0</v>
      </c>
      <c r="I3752" s="13"/>
      <c r="J3752" s="13"/>
      <c r="K3752" s="13"/>
      <c r="L3752" s="15">
        <v>0</v>
      </c>
    </row>
    <row r="3753" spans="1:12">
      <c r="A3753" s="12"/>
      <c r="E3753" s="14"/>
      <c r="F3753" s="14"/>
      <c r="G3753" s="13">
        <v>0</v>
      </c>
      <c r="H3753" s="13">
        <v>0</v>
      </c>
      <c r="I3753" s="13"/>
      <c r="J3753" s="13"/>
      <c r="K3753" s="13"/>
      <c r="L3753" s="15">
        <v>0</v>
      </c>
    </row>
    <row r="3754" spans="1:12">
      <c r="A3754" s="12"/>
      <c r="E3754" s="14"/>
      <c r="F3754" s="14"/>
      <c r="G3754" s="13">
        <v>0</v>
      </c>
      <c r="H3754" s="13">
        <v>0</v>
      </c>
      <c r="I3754" s="13"/>
      <c r="J3754" s="13"/>
      <c r="K3754" s="13"/>
      <c r="L3754" s="15">
        <v>0</v>
      </c>
    </row>
    <row r="3755" spans="1:12">
      <c r="A3755" s="12"/>
      <c r="E3755" s="14"/>
      <c r="F3755" s="14"/>
      <c r="G3755" s="13">
        <v>0</v>
      </c>
      <c r="H3755" s="13">
        <v>0</v>
      </c>
      <c r="I3755" s="13"/>
      <c r="J3755" s="13"/>
      <c r="K3755" s="13"/>
      <c r="L3755" s="15">
        <v>0</v>
      </c>
    </row>
    <row r="3756" spans="1:12">
      <c r="A3756" s="12"/>
      <c r="E3756" s="14"/>
      <c r="F3756" s="14"/>
      <c r="G3756" s="13">
        <v>0</v>
      </c>
      <c r="H3756" s="13">
        <v>0</v>
      </c>
      <c r="I3756" s="13"/>
      <c r="J3756" s="13"/>
      <c r="K3756" s="13"/>
      <c r="L3756" s="15">
        <v>0</v>
      </c>
    </row>
    <row r="3757" spans="1:12">
      <c r="A3757" s="12"/>
      <c r="E3757" s="14"/>
      <c r="F3757" s="14"/>
      <c r="G3757" s="13">
        <v>0</v>
      </c>
      <c r="H3757" s="13">
        <v>0</v>
      </c>
      <c r="I3757" s="13"/>
      <c r="J3757" s="13"/>
      <c r="K3757" s="13"/>
      <c r="L3757" s="15">
        <v>0</v>
      </c>
    </row>
    <row r="3758" spans="1:12">
      <c r="A3758" s="12"/>
      <c r="E3758" s="14"/>
      <c r="F3758" s="14"/>
      <c r="G3758" s="13">
        <v>0</v>
      </c>
      <c r="H3758" s="13">
        <v>0</v>
      </c>
      <c r="I3758" s="13"/>
      <c r="J3758" s="13"/>
      <c r="K3758" s="13"/>
      <c r="L3758" s="15">
        <v>0</v>
      </c>
    </row>
    <row r="3759" spans="1:12">
      <c r="A3759" s="12"/>
      <c r="E3759" s="14"/>
      <c r="F3759" s="14"/>
      <c r="G3759" s="13">
        <v>0</v>
      </c>
      <c r="H3759" s="13">
        <v>0</v>
      </c>
      <c r="I3759" s="13"/>
      <c r="J3759" s="13"/>
      <c r="K3759" s="13"/>
      <c r="L3759" s="15">
        <v>0</v>
      </c>
    </row>
    <row r="3760" spans="1:12">
      <c r="A3760" s="12"/>
      <c r="E3760" s="14"/>
      <c r="F3760" s="14"/>
      <c r="G3760" s="13">
        <v>0</v>
      </c>
      <c r="H3760" s="13">
        <v>0</v>
      </c>
      <c r="I3760" s="13"/>
      <c r="J3760" s="13"/>
      <c r="K3760" s="13"/>
      <c r="L3760" s="15">
        <v>0</v>
      </c>
    </row>
    <row r="3761" spans="1:12">
      <c r="A3761" s="12"/>
      <c r="E3761" s="14"/>
      <c r="F3761" s="14"/>
      <c r="G3761" s="13">
        <v>0</v>
      </c>
      <c r="H3761" s="13">
        <v>0</v>
      </c>
      <c r="I3761" s="13"/>
      <c r="J3761" s="13"/>
      <c r="K3761" s="13"/>
      <c r="L3761" s="15">
        <v>0</v>
      </c>
    </row>
    <row r="3762" spans="1:12">
      <c r="A3762" s="12"/>
      <c r="E3762" s="14"/>
      <c r="F3762" s="14"/>
      <c r="G3762" s="13">
        <v>0</v>
      </c>
      <c r="H3762" s="13">
        <v>0</v>
      </c>
      <c r="I3762" s="13"/>
      <c r="J3762" s="13"/>
      <c r="K3762" s="13"/>
      <c r="L3762" s="15">
        <v>0</v>
      </c>
    </row>
    <row r="3763" spans="1:12">
      <c r="A3763" s="12"/>
      <c r="E3763" s="14"/>
      <c r="F3763" s="14"/>
      <c r="G3763" s="13">
        <v>0</v>
      </c>
      <c r="H3763" s="13">
        <v>0</v>
      </c>
      <c r="I3763" s="13"/>
      <c r="J3763" s="13"/>
      <c r="K3763" s="13"/>
      <c r="L3763" s="15">
        <v>0</v>
      </c>
    </row>
    <row r="3764" spans="1:12">
      <c r="A3764" s="12"/>
      <c r="E3764" s="14"/>
      <c r="F3764" s="14"/>
      <c r="G3764" s="13">
        <v>0</v>
      </c>
      <c r="H3764" s="13">
        <v>0</v>
      </c>
      <c r="I3764" s="13"/>
      <c r="J3764" s="13"/>
      <c r="K3764" s="13"/>
      <c r="L3764" s="15">
        <v>0</v>
      </c>
    </row>
    <row r="3765" spans="1:12">
      <c r="A3765" s="12"/>
      <c r="E3765" s="14"/>
      <c r="F3765" s="14"/>
      <c r="G3765" s="13">
        <v>0</v>
      </c>
      <c r="H3765" s="13">
        <v>0</v>
      </c>
      <c r="I3765" s="13"/>
      <c r="J3765" s="13"/>
      <c r="K3765" s="13"/>
      <c r="L3765" s="15">
        <v>0</v>
      </c>
    </row>
    <row r="3766" spans="1:12">
      <c r="A3766" s="12"/>
      <c r="E3766" s="14"/>
      <c r="F3766" s="14"/>
      <c r="G3766" s="13">
        <v>0</v>
      </c>
      <c r="H3766" s="13">
        <v>0</v>
      </c>
      <c r="I3766" s="13"/>
      <c r="J3766" s="13"/>
      <c r="K3766" s="13"/>
      <c r="L3766" s="15">
        <v>0</v>
      </c>
    </row>
    <row r="3767" spans="1:12">
      <c r="A3767" s="12"/>
      <c r="E3767" s="14"/>
      <c r="F3767" s="14"/>
      <c r="G3767" s="13">
        <v>0</v>
      </c>
      <c r="H3767" s="13">
        <v>0</v>
      </c>
      <c r="I3767" s="13"/>
      <c r="J3767" s="13"/>
      <c r="K3767" s="13"/>
      <c r="L3767" s="15">
        <v>0</v>
      </c>
    </row>
    <row r="3768" spans="1:12">
      <c r="A3768" s="12"/>
      <c r="E3768" s="14"/>
      <c r="F3768" s="14"/>
      <c r="G3768" s="13">
        <v>0</v>
      </c>
      <c r="H3768" s="13">
        <v>0</v>
      </c>
      <c r="I3768" s="13"/>
      <c r="J3768" s="13"/>
      <c r="K3768" s="13"/>
      <c r="L3768" s="15">
        <v>0</v>
      </c>
    </row>
    <row r="3769" spans="1:12">
      <c r="A3769" s="12"/>
      <c r="E3769" s="14"/>
      <c r="F3769" s="14"/>
      <c r="G3769" s="13">
        <v>0</v>
      </c>
      <c r="H3769" s="13">
        <v>0</v>
      </c>
      <c r="I3769" s="13"/>
      <c r="J3769" s="13"/>
      <c r="K3769" s="13"/>
      <c r="L3769" s="15">
        <v>0</v>
      </c>
    </row>
    <row r="3770" spans="1:12">
      <c r="A3770" s="12"/>
      <c r="E3770" s="14"/>
      <c r="F3770" s="14"/>
      <c r="G3770" s="13">
        <v>0</v>
      </c>
      <c r="H3770" s="13">
        <v>0</v>
      </c>
      <c r="I3770" s="13"/>
      <c r="J3770" s="13"/>
      <c r="K3770" s="13"/>
      <c r="L3770" s="15">
        <v>0</v>
      </c>
    </row>
    <row r="3771" spans="1:12">
      <c r="A3771" s="12"/>
      <c r="E3771" s="14"/>
      <c r="F3771" s="14"/>
      <c r="G3771" s="13">
        <v>0</v>
      </c>
      <c r="H3771" s="13">
        <v>0</v>
      </c>
      <c r="I3771" s="13"/>
      <c r="J3771" s="13"/>
      <c r="K3771" s="13"/>
      <c r="L3771" s="15">
        <v>0</v>
      </c>
    </row>
    <row r="3772" spans="1:12">
      <c r="A3772" s="12"/>
      <c r="E3772" s="14"/>
      <c r="F3772" s="14"/>
      <c r="G3772" s="13">
        <v>0</v>
      </c>
      <c r="H3772" s="13">
        <v>0</v>
      </c>
      <c r="I3772" s="13"/>
      <c r="J3772" s="13"/>
      <c r="K3772" s="13"/>
      <c r="L3772" s="15">
        <v>0</v>
      </c>
    </row>
    <row r="3773" spans="1:12">
      <c r="A3773" s="12"/>
      <c r="E3773" s="14"/>
      <c r="F3773" s="14"/>
      <c r="G3773" s="13">
        <v>0</v>
      </c>
      <c r="H3773" s="13">
        <v>0</v>
      </c>
      <c r="I3773" s="13"/>
      <c r="J3773" s="13"/>
      <c r="K3773" s="13"/>
      <c r="L3773" s="15">
        <v>0</v>
      </c>
    </row>
    <row r="3774" spans="1:12">
      <c r="A3774" s="12"/>
      <c r="E3774" s="14"/>
      <c r="F3774" s="14"/>
      <c r="G3774" s="13">
        <v>0</v>
      </c>
      <c r="H3774" s="13">
        <v>0</v>
      </c>
      <c r="I3774" s="13"/>
      <c r="J3774" s="13"/>
      <c r="K3774" s="13"/>
      <c r="L3774" s="15">
        <v>0</v>
      </c>
    </row>
    <row r="3775" spans="1:12">
      <c r="A3775" s="12"/>
      <c r="E3775" s="14"/>
      <c r="F3775" s="14"/>
      <c r="G3775" s="13">
        <v>0</v>
      </c>
      <c r="H3775" s="13">
        <v>0</v>
      </c>
      <c r="I3775" s="13"/>
      <c r="J3775" s="13"/>
      <c r="K3775" s="13"/>
      <c r="L3775" s="15">
        <v>0</v>
      </c>
    </row>
    <row r="3776" spans="1:12">
      <c r="A3776" s="12"/>
      <c r="E3776" s="14"/>
      <c r="F3776" s="14"/>
      <c r="G3776" s="13">
        <v>0</v>
      </c>
      <c r="H3776" s="13">
        <v>0</v>
      </c>
      <c r="I3776" s="13"/>
      <c r="J3776" s="13"/>
      <c r="K3776" s="13"/>
      <c r="L3776" s="15">
        <v>0</v>
      </c>
    </row>
    <row r="3777" spans="1:12">
      <c r="A3777" s="12"/>
      <c r="E3777" s="14"/>
      <c r="F3777" s="14"/>
      <c r="G3777" s="13">
        <v>0</v>
      </c>
      <c r="H3777" s="13">
        <v>0</v>
      </c>
      <c r="I3777" s="13"/>
      <c r="J3777" s="13"/>
      <c r="K3777" s="13"/>
      <c r="L3777" s="15">
        <v>0</v>
      </c>
    </row>
    <row r="3778" spans="1:12">
      <c r="A3778" s="12"/>
      <c r="E3778" s="14"/>
      <c r="F3778" s="14"/>
      <c r="G3778" s="13">
        <v>0</v>
      </c>
      <c r="H3778" s="13">
        <v>0</v>
      </c>
      <c r="I3778" s="13"/>
      <c r="J3778" s="13"/>
      <c r="K3778" s="13"/>
      <c r="L3778" s="15">
        <v>0</v>
      </c>
    </row>
    <row r="3779" spans="1:12">
      <c r="A3779" s="12"/>
      <c r="E3779" s="14"/>
      <c r="F3779" s="14"/>
      <c r="G3779" s="13">
        <v>0</v>
      </c>
      <c r="H3779" s="13">
        <v>0</v>
      </c>
      <c r="I3779" s="13"/>
      <c r="J3779" s="13"/>
      <c r="K3779" s="13"/>
      <c r="L3779" s="15">
        <v>0</v>
      </c>
    </row>
    <row r="3780" spans="1:12">
      <c r="A3780" s="12"/>
      <c r="E3780" s="14"/>
      <c r="F3780" s="14"/>
      <c r="G3780" s="13">
        <v>0</v>
      </c>
      <c r="H3780" s="13">
        <v>0</v>
      </c>
      <c r="I3780" s="13"/>
      <c r="J3780" s="13"/>
      <c r="K3780" s="13"/>
      <c r="L3780" s="15">
        <v>0</v>
      </c>
    </row>
    <row r="3781" spans="1:12">
      <c r="A3781" s="12"/>
      <c r="E3781" s="14"/>
      <c r="F3781" s="14"/>
      <c r="G3781" s="13">
        <v>0</v>
      </c>
      <c r="H3781" s="13">
        <v>0</v>
      </c>
      <c r="I3781" s="13"/>
      <c r="J3781" s="13"/>
      <c r="K3781" s="13"/>
      <c r="L3781" s="15">
        <v>0</v>
      </c>
    </row>
    <row r="3782" spans="1:12">
      <c r="A3782" s="12"/>
      <c r="E3782" s="14"/>
      <c r="F3782" s="14"/>
      <c r="G3782" s="13">
        <v>0</v>
      </c>
      <c r="H3782" s="13">
        <v>0</v>
      </c>
      <c r="I3782" s="13"/>
      <c r="J3782" s="13"/>
      <c r="K3782" s="13"/>
      <c r="L3782" s="15">
        <v>0</v>
      </c>
    </row>
    <row r="3783" spans="1:12">
      <c r="A3783" s="12"/>
      <c r="E3783" s="14"/>
      <c r="F3783" s="14"/>
      <c r="G3783" s="13">
        <v>0</v>
      </c>
      <c r="H3783" s="13">
        <v>0</v>
      </c>
      <c r="I3783" s="13"/>
      <c r="J3783" s="13"/>
      <c r="K3783" s="13"/>
      <c r="L3783" s="15">
        <v>0</v>
      </c>
    </row>
    <row r="3784" spans="1:12">
      <c r="A3784" s="12"/>
      <c r="E3784" s="14"/>
      <c r="F3784" s="14"/>
      <c r="G3784" s="13">
        <v>0</v>
      </c>
      <c r="H3784" s="13">
        <v>0</v>
      </c>
      <c r="I3784" s="13"/>
      <c r="J3784" s="13"/>
      <c r="K3784" s="13"/>
      <c r="L3784" s="15">
        <v>0</v>
      </c>
    </row>
    <row r="3785" spans="1:12">
      <c r="A3785" s="12"/>
      <c r="E3785" s="14"/>
      <c r="F3785" s="14"/>
      <c r="G3785" s="13">
        <v>0</v>
      </c>
      <c r="H3785" s="13">
        <v>0</v>
      </c>
      <c r="I3785" s="13"/>
      <c r="J3785" s="13"/>
      <c r="K3785" s="13"/>
      <c r="L3785" s="15">
        <v>0</v>
      </c>
    </row>
    <row r="3786" spans="1:12">
      <c r="A3786" s="12"/>
      <c r="E3786" s="14"/>
      <c r="F3786" s="14"/>
      <c r="G3786" s="13">
        <v>0</v>
      </c>
      <c r="H3786" s="13">
        <v>0</v>
      </c>
      <c r="I3786" s="13"/>
      <c r="J3786" s="13"/>
      <c r="K3786" s="13"/>
      <c r="L3786" s="15">
        <v>0</v>
      </c>
    </row>
    <row r="3787" spans="1:12">
      <c r="A3787" s="12"/>
      <c r="E3787" s="14"/>
      <c r="F3787" s="14"/>
      <c r="G3787" s="13">
        <v>0</v>
      </c>
      <c r="H3787" s="13">
        <v>0</v>
      </c>
      <c r="I3787" s="13"/>
      <c r="J3787" s="13"/>
      <c r="K3787" s="13"/>
      <c r="L3787" s="15">
        <v>0</v>
      </c>
    </row>
    <row r="3788" spans="1:12">
      <c r="A3788" s="12"/>
      <c r="E3788" s="14"/>
      <c r="F3788" s="14"/>
      <c r="G3788" s="13">
        <v>0</v>
      </c>
      <c r="H3788" s="13">
        <v>0</v>
      </c>
      <c r="I3788" s="13"/>
      <c r="J3788" s="13"/>
      <c r="K3788" s="13"/>
      <c r="L3788" s="15">
        <v>0</v>
      </c>
    </row>
    <row r="3789" spans="1:12">
      <c r="A3789" s="12"/>
      <c r="E3789" s="14"/>
      <c r="F3789" s="14"/>
      <c r="G3789" s="13">
        <v>0</v>
      </c>
      <c r="H3789" s="13">
        <v>0</v>
      </c>
      <c r="I3789" s="13"/>
      <c r="J3789" s="13"/>
      <c r="K3789" s="13"/>
      <c r="L3789" s="15">
        <v>0</v>
      </c>
    </row>
    <row r="3790" spans="1:12">
      <c r="A3790" s="12"/>
      <c r="E3790" s="14"/>
      <c r="F3790" s="14"/>
      <c r="G3790" s="13">
        <v>0</v>
      </c>
      <c r="H3790" s="13">
        <v>0</v>
      </c>
      <c r="I3790" s="13"/>
      <c r="J3790" s="13"/>
      <c r="K3790" s="13"/>
      <c r="L3790" s="15">
        <v>0</v>
      </c>
    </row>
    <row r="3791" spans="1:12">
      <c r="A3791" s="12"/>
      <c r="E3791" s="14"/>
      <c r="F3791" s="14"/>
      <c r="G3791" s="13">
        <v>0</v>
      </c>
      <c r="H3791" s="13">
        <v>0</v>
      </c>
      <c r="I3791" s="13"/>
      <c r="J3791" s="13"/>
      <c r="K3791" s="13"/>
      <c r="L3791" s="15">
        <v>0</v>
      </c>
    </row>
    <row r="3792" spans="1:12">
      <c r="A3792" s="12"/>
      <c r="E3792" s="14"/>
      <c r="F3792" s="14"/>
      <c r="G3792" s="13">
        <v>0</v>
      </c>
      <c r="H3792" s="13">
        <v>0</v>
      </c>
      <c r="I3792" s="13"/>
      <c r="J3792" s="13"/>
      <c r="K3792" s="13"/>
      <c r="L3792" s="15">
        <v>0</v>
      </c>
    </row>
    <row r="3793" spans="1:12">
      <c r="A3793" s="12"/>
      <c r="E3793" s="14"/>
      <c r="F3793" s="14"/>
      <c r="G3793" s="13">
        <v>0</v>
      </c>
      <c r="H3793" s="13">
        <v>0</v>
      </c>
      <c r="I3793" s="13"/>
      <c r="J3793" s="13"/>
      <c r="K3793" s="13"/>
      <c r="L3793" s="15">
        <v>0</v>
      </c>
    </row>
    <row r="3794" spans="1:12">
      <c r="A3794" s="12"/>
      <c r="E3794" s="14"/>
      <c r="F3794" s="14"/>
      <c r="G3794" s="13">
        <v>0</v>
      </c>
      <c r="H3794" s="13">
        <v>0</v>
      </c>
      <c r="I3794" s="13"/>
      <c r="J3794" s="13"/>
      <c r="K3794" s="13"/>
      <c r="L3794" s="15">
        <v>0</v>
      </c>
    </row>
    <row r="3795" spans="1:12">
      <c r="A3795" s="12"/>
      <c r="E3795" s="14"/>
      <c r="F3795" s="14"/>
      <c r="G3795" s="13">
        <v>0</v>
      </c>
      <c r="H3795" s="13">
        <v>0</v>
      </c>
      <c r="I3795" s="13"/>
      <c r="J3795" s="13"/>
      <c r="K3795" s="13"/>
      <c r="L3795" s="15">
        <v>0</v>
      </c>
    </row>
    <row r="3796" spans="1:12">
      <c r="A3796" s="12"/>
      <c r="E3796" s="14"/>
      <c r="F3796" s="14"/>
      <c r="G3796" s="13">
        <v>0</v>
      </c>
      <c r="H3796" s="13">
        <v>0</v>
      </c>
      <c r="I3796" s="13"/>
      <c r="J3796" s="13"/>
      <c r="K3796" s="13"/>
      <c r="L3796" s="15">
        <v>0</v>
      </c>
    </row>
    <row r="3797" spans="1:12">
      <c r="A3797" s="12"/>
      <c r="E3797" s="14"/>
      <c r="F3797" s="14"/>
      <c r="G3797" s="13">
        <v>0</v>
      </c>
      <c r="H3797" s="13">
        <v>0</v>
      </c>
      <c r="I3797" s="13"/>
      <c r="J3797" s="13"/>
      <c r="K3797" s="13"/>
      <c r="L3797" s="15">
        <v>0</v>
      </c>
    </row>
    <row r="3798" spans="1:12">
      <c r="A3798" s="12"/>
      <c r="E3798" s="14"/>
      <c r="F3798" s="14"/>
      <c r="G3798" s="13">
        <v>0</v>
      </c>
      <c r="H3798" s="13">
        <v>0</v>
      </c>
      <c r="I3798" s="13"/>
      <c r="J3798" s="13"/>
      <c r="K3798" s="13"/>
      <c r="L3798" s="15">
        <v>0</v>
      </c>
    </row>
    <row r="3799" spans="1:12">
      <c r="A3799" s="12"/>
      <c r="E3799" s="14"/>
      <c r="F3799" s="14"/>
      <c r="G3799" s="13">
        <v>0</v>
      </c>
      <c r="H3799" s="13">
        <v>0</v>
      </c>
      <c r="I3799" s="13"/>
      <c r="J3799" s="13"/>
      <c r="K3799" s="13"/>
      <c r="L3799" s="15">
        <v>0</v>
      </c>
    </row>
    <row r="3800" spans="1:12">
      <c r="A3800" s="12"/>
      <c r="E3800" s="14"/>
      <c r="F3800" s="14"/>
      <c r="G3800" s="13">
        <v>0</v>
      </c>
      <c r="H3800" s="13">
        <v>0</v>
      </c>
      <c r="I3800" s="13"/>
      <c r="J3800" s="13"/>
      <c r="K3800" s="13"/>
      <c r="L3800" s="15">
        <v>0</v>
      </c>
    </row>
    <row r="3801" spans="1:12">
      <c r="A3801" s="12"/>
      <c r="E3801" s="14"/>
      <c r="F3801" s="14"/>
      <c r="G3801" s="13">
        <v>0</v>
      </c>
      <c r="H3801" s="13">
        <v>0</v>
      </c>
      <c r="I3801" s="13"/>
      <c r="J3801" s="13"/>
      <c r="K3801" s="13"/>
      <c r="L3801" s="15">
        <v>0</v>
      </c>
    </row>
    <row r="3802" spans="1:12">
      <c r="A3802" s="12"/>
      <c r="E3802" s="14"/>
      <c r="F3802" s="14"/>
      <c r="G3802" s="13">
        <v>0</v>
      </c>
      <c r="H3802" s="13">
        <v>0</v>
      </c>
      <c r="I3802" s="13"/>
      <c r="J3802" s="13"/>
      <c r="K3802" s="13"/>
      <c r="L3802" s="15">
        <v>0</v>
      </c>
    </row>
    <row r="3803" spans="1:12">
      <c r="A3803" s="12"/>
      <c r="E3803" s="14"/>
      <c r="F3803" s="14"/>
      <c r="G3803" s="13">
        <v>0</v>
      </c>
      <c r="H3803" s="13">
        <v>0</v>
      </c>
      <c r="I3803" s="13"/>
      <c r="J3803" s="13"/>
      <c r="K3803" s="13"/>
      <c r="L3803" s="15">
        <v>0</v>
      </c>
    </row>
    <row r="3804" spans="1:12">
      <c r="A3804" s="12"/>
      <c r="E3804" s="14"/>
      <c r="F3804" s="14"/>
      <c r="G3804" s="13">
        <v>0</v>
      </c>
      <c r="H3804" s="13">
        <v>0</v>
      </c>
      <c r="I3804" s="13"/>
      <c r="J3804" s="13"/>
      <c r="K3804" s="13"/>
      <c r="L3804" s="15">
        <v>0</v>
      </c>
    </row>
    <row r="3805" spans="1:12">
      <c r="A3805" s="12"/>
      <c r="E3805" s="14"/>
      <c r="F3805" s="14"/>
      <c r="G3805" s="13">
        <v>0</v>
      </c>
      <c r="H3805" s="13">
        <v>0</v>
      </c>
      <c r="I3805" s="13"/>
      <c r="J3805" s="13"/>
      <c r="K3805" s="13"/>
      <c r="L3805" s="15">
        <v>0</v>
      </c>
    </row>
    <row r="3806" spans="1:12">
      <c r="A3806" s="12"/>
      <c r="E3806" s="14"/>
      <c r="F3806" s="14"/>
      <c r="G3806" s="13">
        <v>0</v>
      </c>
      <c r="H3806" s="13">
        <v>0</v>
      </c>
      <c r="I3806" s="13"/>
      <c r="J3806" s="13"/>
      <c r="K3806" s="13"/>
      <c r="L3806" s="15">
        <v>0</v>
      </c>
    </row>
    <row r="3807" spans="1:12">
      <c r="A3807" s="12"/>
      <c r="E3807" s="14"/>
      <c r="F3807" s="14"/>
      <c r="G3807" s="13">
        <v>0</v>
      </c>
      <c r="H3807" s="13">
        <v>0</v>
      </c>
      <c r="I3807" s="13"/>
      <c r="J3807" s="13"/>
      <c r="K3807" s="13"/>
      <c r="L3807" s="15">
        <v>0</v>
      </c>
    </row>
    <row r="3808" spans="1:12">
      <c r="A3808" s="12"/>
      <c r="E3808" s="14"/>
      <c r="F3808" s="14"/>
      <c r="G3808" s="13">
        <v>0</v>
      </c>
      <c r="H3808" s="13">
        <v>0</v>
      </c>
      <c r="I3808" s="13"/>
      <c r="J3808" s="13"/>
      <c r="K3808" s="13"/>
      <c r="L3808" s="15">
        <v>0</v>
      </c>
    </row>
    <row r="3809" spans="1:12">
      <c r="A3809" s="12"/>
      <c r="E3809" s="14"/>
      <c r="F3809" s="14"/>
      <c r="G3809" s="13">
        <v>0</v>
      </c>
      <c r="H3809" s="13">
        <v>0</v>
      </c>
      <c r="I3809" s="13"/>
      <c r="J3809" s="13"/>
      <c r="K3809" s="13"/>
      <c r="L3809" s="15">
        <v>0</v>
      </c>
    </row>
    <row r="3810" spans="1:12">
      <c r="A3810" s="12"/>
      <c r="E3810" s="14"/>
      <c r="F3810" s="14"/>
      <c r="G3810" s="13">
        <v>0</v>
      </c>
      <c r="H3810" s="13">
        <v>0</v>
      </c>
      <c r="I3810" s="13"/>
      <c r="J3810" s="13"/>
      <c r="K3810" s="13"/>
      <c r="L3810" s="15">
        <v>0</v>
      </c>
    </row>
    <row r="3811" spans="1:12">
      <c r="A3811" s="12"/>
      <c r="E3811" s="14"/>
      <c r="F3811" s="14"/>
      <c r="G3811" s="13">
        <v>0</v>
      </c>
      <c r="H3811" s="13">
        <v>0</v>
      </c>
      <c r="I3811" s="13"/>
      <c r="J3811" s="13"/>
      <c r="K3811" s="13"/>
      <c r="L3811" s="15">
        <v>0</v>
      </c>
    </row>
    <row r="3812" spans="1:12">
      <c r="A3812" s="12"/>
      <c r="E3812" s="14"/>
      <c r="F3812" s="14"/>
      <c r="G3812" s="13">
        <v>0</v>
      </c>
      <c r="H3812" s="13">
        <v>0</v>
      </c>
      <c r="I3812" s="13"/>
      <c r="J3812" s="13"/>
      <c r="K3812" s="13"/>
      <c r="L3812" s="15">
        <v>0</v>
      </c>
    </row>
    <row r="3813" spans="1:12">
      <c r="A3813" s="12"/>
      <c r="E3813" s="14"/>
      <c r="F3813" s="14"/>
      <c r="G3813" s="13">
        <v>0</v>
      </c>
      <c r="H3813" s="13">
        <v>0</v>
      </c>
      <c r="I3813" s="13"/>
      <c r="J3813" s="13"/>
      <c r="K3813" s="13"/>
      <c r="L3813" s="15">
        <v>0</v>
      </c>
    </row>
    <row r="3814" spans="1:12">
      <c r="A3814" s="12"/>
      <c r="E3814" s="14"/>
      <c r="F3814" s="14"/>
      <c r="G3814" s="13">
        <v>0</v>
      </c>
      <c r="H3814" s="13">
        <v>0</v>
      </c>
      <c r="I3814" s="13"/>
      <c r="J3814" s="13"/>
      <c r="K3814" s="13"/>
      <c r="L3814" s="15">
        <v>0</v>
      </c>
    </row>
    <row r="3815" spans="1:12">
      <c r="A3815" s="12"/>
      <c r="E3815" s="14"/>
      <c r="F3815" s="14"/>
      <c r="G3815" s="13">
        <v>0</v>
      </c>
      <c r="H3815" s="13">
        <v>0</v>
      </c>
      <c r="I3815" s="13"/>
      <c r="J3815" s="13"/>
      <c r="K3815" s="13"/>
      <c r="L3815" s="15">
        <v>0</v>
      </c>
    </row>
    <row r="3816" spans="1:12">
      <c r="A3816" s="12"/>
      <c r="E3816" s="14"/>
      <c r="F3816" s="14"/>
      <c r="G3816" s="13">
        <v>0</v>
      </c>
      <c r="H3816" s="13">
        <v>0</v>
      </c>
      <c r="I3816" s="13"/>
      <c r="J3816" s="13"/>
      <c r="K3816" s="13"/>
      <c r="L3816" s="15">
        <v>0</v>
      </c>
    </row>
    <row r="3817" spans="1:12">
      <c r="A3817" s="12"/>
      <c r="E3817" s="14"/>
      <c r="F3817" s="14"/>
      <c r="G3817" s="13">
        <v>0</v>
      </c>
      <c r="H3817" s="13">
        <v>0</v>
      </c>
      <c r="I3817" s="13"/>
      <c r="J3817" s="13"/>
      <c r="K3817" s="13"/>
      <c r="L3817" s="15">
        <v>0</v>
      </c>
    </row>
    <row r="3818" spans="1:12">
      <c r="A3818" s="12"/>
      <c r="E3818" s="14"/>
      <c r="F3818" s="14"/>
      <c r="G3818" s="13">
        <v>0</v>
      </c>
      <c r="H3818" s="13">
        <v>0</v>
      </c>
      <c r="I3818" s="13"/>
      <c r="J3818" s="13"/>
      <c r="K3818" s="13"/>
      <c r="L3818" s="15">
        <v>0</v>
      </c>
    </row>
    <row r="3819" spans="1:12">
      <c r="A3819" s="12"/>
      <c r="E3819" s="14"/>
      <c r="F3819" s="14"/>
      <c r="G3819" s="13">
        <v>0</v>
      </c>
      <c r="H3819" s="13">
        <v>0</v>
      </c>
      <c r="I3819" s="13"/>
      <c r="J3819" s="13"/>
      <c r="K3819" s="13"/>
      <c r="L3819" s="15">
        <v>0</v>
      </c>
    </row>
    <row r="3820" spans="1:12">
      <c r="A3820" s="12"/>
      <c r="E3820" s="14"/>
      <c r="F3820" s="14"/>
      <c r="G3820" s="13">
        <v>0</v>
      </c>
      <c r="H3820" s="13">
        <v>0</v>
      </c>
      <c r="I3820" s="13"/>
      <c r="J3820" s="13"/>
      <c r="K3820" s="13"/>
      <c r="L3820" s="15">
        <v>0</v>
      </c>
    </row>
    <row r="3821" spans="1:12">
      <c r="A3821" s="12"/>
      <c r="E3821" s="14"/>
      <c r="F3821" s="14"/>
      <c r="G3821" s="13">
        <v>0</v>
      </c>
      <c r="H3821" s="13">
        <v>0</v>
      </c>
      <c r="I3821" s="13"/>
      <c r="J3821" s="13"/>
      <c r="K3821" s="13"/>
      <c r="L3821" s="15">
        <v>0</v>
      </c>
    </row>
    <row r="3822" spans="1:12">
      <c r="A3822" s="12"/>
      <c r="E3822" s="14"/>
      <c r="F3822" s="14"/>
      <c r="G3822" s="13">
        <v>0</v>
      </c>
      <c r="H3822" s="13">
        <v>0</v>
      </c>
      <c r="I3822" s="13"/>
      <c r="J3822" s="13"/>
      <c r="K3822" s="13"/>
      <c r="L3822" s="15">
        <v>0</v>
      </c>
    </row>
    <row r="3823" spans="1:12">
      <c r="A3823" s="12"/>
      <c r="E3823" s="14"/>
      <c r="F3823" s="14"/>
      <c r="G3823" s="13">
        <v>0</v>
      </c>
      <c r="H3823" s="13">
        <v>0</v>
      </c>
      <c r="I3823" s="13"/>
      <c r="J3823" s="13"/>
      <c r="K3823" s="13"/>
      <c r="L3823" s="15">
        <v>0</v>
      </c>
    </row>
    <row r="3824" spans="1:12">
      <c r="A3824" s="12"/>
      <c r="E3824" s="14"/>
      <c r="F3824" s="14"/>
      <c r="G3824" s="13">
        <v>0</v>
      </c>
      <c r="H3824" s="13">
        <v>0</v>
      </c>
      <c r="I3824" s="13"/>
      <c r="J3824" s="13"/>
      <c r="K3824" s="13"/>
      <c r="L3824" s="15">
        <v>0</v>
      </c>
    </row>
    <row r="3825" spans="1:12">
      <c r="A3825" s="12"/>
      <c r="E3825" s="14"/>
      <c r="F3825" s="14"/>
      <c r="G3825" s="13">
        <v>0</v>
      </c>
      <c r="H3825" s="13">
        <v>0</v>
      </c>
      <c r="I3825" s="13"/>
      <c r="J3825" s="13"/>
      <c r="K3825" s="13"/>
      <c r="L3825" s="15">
        <v>0</v>
      </c>
    </row>
    <row r="3826" spans="1:12">
      <c r="A3826" s="12"/>
      <c r="E3826" s="14"/>
      <c r="F3826" s="14"/>
      <c r="G3826" s="13">
        <v>0</v>
      </c>
      <c r="H3826" s="13">
        <v>0</v>
      </c>
      <c r="I3826" s="13"/>
      <c r="J3826" s="13"/>
      <c r="K3826" s="13"/>
      <c r="L3826" s="15">
        <v>0</v>
      </c>
    </row>
    <row r="3827" spans="1:12">
      <c r="A3827" s="12"/>
      <c r="E3827" s="14"/>
      <c r="F3827" s="14"/>
      <c r="G3827" s="13">
        <v>0</v>
      </c>
      <c r="H3827" s="13">
        <v>0</v>
      </c>
      <c r="I3827" s="13"/>
      <c r="J3827" s="13"/>
      <c r="K3827" s="13"/>
      <c r="L3827" s="15">
        <v>0</v>
      </c>
    </row>
    <row r="3828" spans="1:12">
      <c r="A3828" s="12"/>
      <c r="E3828" s="14"/>
      <c r="F3828" s="14"/>
      <c r="G3828" s="13">
        <v>0</v>
      </c>
      <c r="H3828" s="13">
        <v>0</v>
      </c>
      <c r="I3828" s="13"/>
      <c r="J3828" s="13"/>
      <c r="K3828" s="13"/>
      <c r="L3828" s="15">
        <v>0</v>
      </c>
    </row>
    <row r="3829" spans="1:12">
      <c r="A3829" s="12"/>
      <c r="E3829" s="14"/>
      <c r="F3829" s="14"/>
      <c r="G3829" s="13">
        <v>0</v>
      </c>
      <c r="H3829" s="13">
        <v>0</v>
      </c>
      <c r="I3829" s="13"/>
      <c r="J3829" s="13"/>
      <c r="K3829" s="13"/>
      <c r="L3829" s="15">
        <v>0</v>
      </c>
    </row>
    <row r="3830" spans="1:12">
      <c r="A3830" s="12"/>
      <c r="E3830" s="14"/>
      <c r="F3830" s="14"/>
      <c r="G3830" s="13">
        <v>0</v>
      </c>
      <c r="H3830" s="13">
        <v>0</v>
      </c>
      <c r="I3830" s="13"/>
      <c r="J3830" s="13"/>
      <c r="K3830" s="13"/>
      <c r="L3830" s="15">
        <v>0</v>
      </c>
    </row>
    <row r="3831" spans="1:12">
      <c r="A3831" s="12"/>
      <c r="E3831" s="14"/>
      <c r="F3831" s="14"/>
      <c r="G3831" s="13">
        <v>0</v>
      </c>
      <c r="H3831" s="13">
        <v>0</v>
      </c>
      <c r="I3831" s="13"/>
      <c r="J3831" s="13"/>
      <c r="K3831" s="13"/>
      <c r="L3831" s="15">
        <v>0</v>
      </c>
    </row>
    <row r="3832" spans="1:12">
      <c r="A3832" s="12"/>
      <c r="E3832" s="14"/>
      <c r="F3832" s="14"/>
      <c r="G3832" s="13">
        <v>0</v>
      </c>
      <c r="H3832" s="13">
        <v>0</v>
      </c>
      <c r="I3832" s="13"/>
      <c r="J3832" s="13"/>
      <c r="K3832" s="13"/>
      <c r="L3832" s="15">
        <v>0</v>
      </c>
    </row>
    <row r="3833" spans="1:12">
      <c r="A3833" s="12"/>
      <c r="E3833" s="14"/>
      <c r="F3833" s="14"/>
      <c r="G3833" s="13">
        <v>0</v>
      </c>
      <c r="H3833" s="13">
        <v>0</v>
      </c>
      <c r="I3833" s="13"/>
      <c r="J3833" s="13"/>
      <c r="K3833" s="13"/>
      <c r="L3833" s="15">
        <v>0</v>
      </c>
    </row>
    <row r="3834" spans="1:12">
      <c r="A3834" s="12"/>
      <c r="E3834" s="14"/>
      <c r="F3834" s="14"/>
      <c r="G3834" s="13">
        <v>0</v>
      </c>
      <c r="H3834" s="13">
        <v>0</v>
      </c>
      <c r="I3834" s="13"/>
      <c r="J3834" s="13"/>
      <c r="K3834" s="13"/>
      <c r="L3834" s="15">
        <v>0</v>
      </c>
    </row>
    <row r="3835" spans="1:12">
      <c r="A3835" s="12"/>
      <c r="E3835" s="14"/>
      <c r="F3835" s="14"/>
      <c r="G3835" s="13">
        <v>0</v>
      </c>
      <c r="H3835" s="13">
        <v>0</v>
      </c>
      <c r="I3835" s="13"/>
      <c r="J3835" s="13"/>
      <c r="K3835" s="13"/>
      <c r="L3835" s="15">
        <v>0</v>
      </c>
    </row>
    <row r="3836" spans="1:12">
      <c r="A3836" s="12"/>
      <c r="E3836" s="14"/>
      <c r="F3836" s="14"/>
      <c r="G3836" s="13">
        <v>0</v>
      </c>
      <c r="H3836" s="13">
        <v>0</v>
      </c>
      <c r="I3836" s="13"/>
      <c r="J3836" s="13"/>
      <c r="K3836" s="13"/>
      <c r="L3836" s="15">
        <v>0</v>
      </c>
    </row>
    <row r="3837" spans="1:12">
      <c r="A3837" s="12"/>
      <c r="E3837" s="14"/>
      <c r="F3837" s="14"/>
      <c r="G3837" s="13">
        <v>0</v>
      </c>
      <c r="H3837" s="13">
        <v>0</v>
      </c>
      <c r="I3837" s="13"/>
      <c r="J3837" s="13"/>
      <c r="K3837" s="13"/>
      <c r="L3837" s="15">
        <v>0</v>
      </c>
    </row>
    <row r="3838" spans="1:12">
      <c r="A3838" s="12"/>
      <c r="E3838" s="14"/>
      <c r="F3838" s="14"/>
      <c r="G3838" s="13">
        <v>0</v>
      </c>
      <c r="H3838" s="13">
        <v>0</v>
      </c>
      <c r="I3838" s="13"/>
      <c r="J3838" s="13"/>
      <c r="K3838" s="13"/>
      <c r="L3838" s="15">
        <v>0</v>
      </c>
    </row>
    <row r="3839" spans="1:12">
      <c r="A3839" s="12"/>
      <c r="E3839" s="14"/>
      <c r="F3839" s="14"/>
      <c r="G3839" s="13">
        <v>0</v>
      </c>
      <c r="H3839" s="13">
        <v>0</v>
      </c>
      <c r="I3839" s="13"/>
      <c r="J3839" s="13"/>
      <c r="K3839" s="13"/>
      <c r="L3839" s="15">
        <v>0</v>
      </c>
    </row>
    <row r="3840" spans="1:12">
      <c r="A3840" s="12"/>
      <c r="E3840" s="14"/>
      <c r="F3840" s="14"/>
      <c r="G3840" s="13">
        <v>0</v>
      </c>
      <c r="H3840" s="13">
        <v>0</v>
      </c>
      <c r="I3840" s="13"/>
      <c r="J3840" s="13"/>
      <c r="K3840" s="13"/>
      <c r="L3840" s="15">
        <v>0</v>
      </c>
    </row>
    <row r="3841" spans="1:12">
      <c r="A3841" s="12"/>
      <c r="E3841" s="14"/>
      <c r="F3841" s="14"/>
      <c r="G3841" s="13">
        <v>0</v>
      </c>
      <c r="H3841" s="13">
        <v>0</v>
      </c>
      <c r="I3841" s="13"/>
      <c r="J3841" s="13"/>
      <c r="K3841" s="13"/>
      <c r="L3841" s="15">
        <v>0</v>
      </c>
    </row>
    <row r="3842" spans="1:12">
      <c r="A3842" s="12"/>
      <c r="E3842" s="14"/>
      <c r="F3842" s="14"/>
      <c r="G3842" s="13">
        <v>0</v>
      </c>
      <c r="H3842" s="13">
        <v>0</v>
      </c>
      <c r="I3842" s="13"/>
      <c r="J3842" s="13"/>
      <c r="K3842" s="13"/>
      <c r="L3842" s="15">
        <v>0</v>
      </c>
    </row>
    <row r="3843" spans="1:12">
      <c r="A3843" s="12"/>
      <c r="E3843" s="14"/>
      <c r="F3843" s="14"/>
      <c r="G3843" s="13">
        <v>0</v>
      </c>
      <c r="H3843" s="13">
        <v>0</v>
      </c>
      <c r="I3843" s="13"/>
      <c r="J3843" s="13"/>
      <c r="K3843" s="13"/>
      <c r="L3843" s="15">
        <v>0</v>
      </c>
    </row>
    <row r="3844" spans="1:12">
      <c r="A3844" s="12"/>
      <c r="E3844" s="14"/>
      <c r="F3844" s="14"/>
      <c r="G3844" s="13">
        <v>0</v>
      </c>
      <c r="H3844" s="13">
        <v>0</v>
      </c>
      <c r="I3844" s="13"/>
      <c r="J3844" s="13"/>
      <c r="K3844" s="13"/>
      <c r="L3844" s="15">
        <v>0</v>
      </c>
    </row>
    <row r="3845" spans="1:12">
      <c r="A3845" s="12"/>
      <c r="E3845" s="14"/>
      <c r="F3845" s="14"/>
      <c r="G3845" s="13">
        <v>0</v>
      </c>
      <c r="H3845" s="13">
        <v>0</v>
      </c>
      <c r="I3845" s="13"/>
      <c r="J3845" s="13"/>
      <c r="K3845" s="13"/>
      <c r="L3845" s="15">
        <v>0</v>
      </c>
    </row>
    <row r="3846" spans="1:12">
      <c r="A3846" s="12"/>
      <c r="E3846" s="14"/>
      <c r="F3846" s="14"/>
      <c r="G3846" s="13">
        <v>0</v>
      </c>
      <c r="H3846" s="13">
        <v>0</v>
      </c>
      <c r="I3846" s="13"/>
      <c r="J3846" s="13"/>
      <c r="K3846" s="13"/>
      <c r="L3846" s="15">
        <v>0</v>
      </c>
    </row>
    <row r="3847" spans="1:12">
      <c r="A3847" s="12"/>
      <c r="E3847" s="14"/>
      <c r="F3847" s="14"/>
      <c r="G3847" s="13">
        <v>0</v>
      </c>
      <c r="H3847" s="13">
        <v>0</v>
      </c>
      <c r="I3847" s="13"/>
      <c r="J3847" s="13"/>
      <c r="K3847" s="13"/>
      <c r="L3847" s="15">
        <v>0</v>
      </c>
    </row>
    <row r="3848" spans="1:12">
      <c r="A3848" s="12"/>
      <c r="E3848" s="14"/>
      <c r="F3848" s="14"/>
      <c r="G3848" s="13">
        <v>0</v>
      </c>
      <c r="H3848" s="13">
        <v>0</v>
      </c>
      <c r="I3848" s="13"/>
      <c r="J3848" s="13"/>
      <c r="K3848" s="13"/>
      <c r="L3848" s="15">
        <v>0</v>
      </c>
    </row>
    <row r="3849" spans="1:12">
      <c r="A3849" s="12"/>
      <c r="E3849" s="14"/>
      <c r="F3849" s="14"/>
      <c r="G3849" s="13">
        <v>0</v>
      </c>
      <c r="H3849" s="13">
        <v>0</v>
      </c>
      <c r="I3849" s="13"/>
      <c r="J3849" s="13"/>
      <c r="K3849" s="13"/>
      <c r="L3849" s="15">
        <v>0</v>
      </c>
    </row>
    <row r="3850" spans="1:12">
      <c r="A3850" s="12"/>
      <c r="E3850" s="14"/>
      <c r="F3850" s="14"/>
      <c r="G3850" s="13">
        <v>0</v>
      </c>
      <c r="H3850" s="13">
        <v>0</v>
      </c>
      <c r="I3850" s="13"/>
      <c r="J3850" s="13"/>
      <c r="K3850" s="13"/>
      <c r="L3850" s="15">
        <v>0</v>
      </c>
    </row>
    <row r="3851" spans="1:12">
      <c r="A3851" s="12"/>
      <c r="E3851" s="14"/>
      <c r="F3851" s="14"/>
      <c r="G3851" s="13">
        <v>0</v>
      </c>
      <c r="H3851" s="13">
        <v>0</v>
      </c>
      <c r="I3851" s="13"/>
      <c r="J3851" s="13"/>
      <c r="K3851" s="13"/>
      <c r="L3851" s="15">
        <v>0</v>
      </c>
    </row>
    <row r="3852" spans="1:12">
      <c r="A3852" s="12"/>
      <c r="E3852" s="14"/>
      <c r="F3852" s="14"/>
      <c r="G3852" s="13">
        <v>0</v>
      </c>
      <c r="H3852" s="13">
        <v>0</v>
      </c>
      <c r="I3852" s="13"/>
      <c r="J3852" s="13"/>
      <c r="K3852" s="13"/>
      <c r="L3852" s="15">
        <v>0</v>
      </c>
    </row>
    <row r="3853" spans="1:12">
      <c r="A3853" s="12"/>
      <c r="E3853" s="14"/>
      <c r="F3853" s="14"/>
      <c r="G3853" s="13">
        <v>0</v>
      </c>
      <c r="H3853" s="13">
        <v>0</v>
      </c>
      <c r="I3853" s="13"/>
      <c r="J3853" s="13"/>
      <c r="K3853" s="13"/>
      <c r="L3853" s="15">
        <v>0</v>
      </c>
    </row>
    <row r="3854" spans="1:12">
      <c r="A3854" s="12"/>
      <c r="E3854" s="14"/>
      <c r="F3854" s="14"/>
      <c r="G3854" s="13">
        <v>0</v>
      </c>
      <c r="H3854" s="13">
        <v>0</v>
      </c>
      <c r="I3854" s="13"/>
      <c r="J3854" s="13"/>
      <c r="K3854" s="13"/>
      <c r="L3854" s="15">
        <v>0</v>
      </c>
    </row>
    <row r="3855" spans="1:12">
      <c r="A3855" s="12"/>
      <c r="E3855" s="14"/>
      <c r="F3855" s="14"/>
      <c r="G3855" s="13">
        <v>0</v>
      </c>
      <c r="H3855" s="13">
        <v>0</v>
      </c>
      <c r="I3855" s="13"/>
      <c r="J3855" s="13"/>
      <c r="K3855" s="13"/>
      <c r="L3855" s="15">
        <v>0</v>
      </c>
    </row>
    <row r="3856" spans="1:12">
      <c r="A3856" s="12"/>
      <c r="E3856" s="14"/>
      <c r="F3856" s="14"/>
      <c r="G3856" s="13">
        <v>0</v>
      </c>
      <c r="H3856" s="13">
        <v>0</v>
      </c>
      <c r="I3856" s="13"/>
      <c r="J3856" s="13"/>
      <c r="K3856" s="13"/>
      <c r="L3856" s="15">
        <v>0</v>
      </c>
    </row>
    <row r="3857" spans="1:12">
      <c r="A3857" s="12"/>
      <c r="E3857" s="14"/>
      <c r="F3857" s="14"/>
      <c r="G3857" s="13">
        <v>0</v>
      </c>
      <c r="H3857" s="13">
        <v>0</v>
      </c>
      <c r="I3857" s="13"/>
      <c r="J3857" s="13"/>
      <c r="K3857" s="13"/>
      <c r="L3857" s="15">
        <v>0</v>
      </c>
    </row>
    <row r="3858" spans="1:12">
      <c r="A3858" s="12"/>
      <c r="E3858" s="14"/>
      <c r="F3858" s="14"/>
      <c r="G3858" s="13">
        <v>0</v>
      </c>
      <c r="H3858" s="13">
        <v>0</v>
      </c>
      <c r="I3858" s="13"/>
      <c r="J3858" s="13"/>
      <c r="K3858" s="13"/>
      <c r="L3858" s="15">
        <v>0</v>
      </c>
    </row>
    <row r="3859" spans="1:12">
      <c r="A3859" s="12"/>
      <c r="E3859" s="14"/>
      <c r="F3859" s="14"/>
      <c r="G3859" s="13">
        <v>0</v>
      </c>
      <c r="H3859" s="13">
        <v>0</v>
      </c>
      <c r="I3859" s="13"/>
      <c r="J3859" s="13"/>
      <c r="K3859" s="13"/>
      <c r="L3859" s="15">
        <v>0</v>
      </c>
    </row>
    <row r="3860" spans="1:12">
      <c r="A3860" s="12"/>
      <c r="E3860" s="14"/>
      <c r="F3860" s="14"/>
      <c r="G3860" s="13">
        <v>0</v>
      </c>
      <c r="H3860" s="13">
        <v>0</v>
      </c>
      <c r="I3860" s="13"/>
      <c r="J3860" s="13"/>
      <c r="K3860" s="13"/>
      <c r="L3860" s="15">
        <v>0</v>
      </c>
    </row>
    <row r="3861" spans="1:12">
      <c r="A3861" s="12"/>
      <c r="E3861" s="14"/>
      <c r="F3861" s="14"/>
      <c r="G3861" s="13">
        <v>0</v>
      </c>
      <c r="H3861" s="13">
        <v>0</v>
      </c>
      <c r="I3861" s="13"/>
      <c r="J3861" s="13"/>
      <c r="K3861" s="13"/>
      <c r="L3861" s="15">
        <v>0</v>
      </c>
    </row>
    <row r="3862" spans="1:12">
      <c r="A3862" s="12"/>
      <c r="E3862" s="14"/>
      <c r="F3862" s="14"/>
      <c r="G3862" s="13">
        <v>0</v>
      </c>
      <c r="H3862" s="13">
        <v>0</v>
      </c>
      <c r="I3862" s="13"/>
      <c r="J3862" s="13"/>
      <c r="K3862" s="13"/>
      <c r="L3862" s="15">
        <v>0</v>
      </c>
    </row>
    <row r="3863" spans="1:12">
      <c r="A3863" s="12"/>
      <c r="E3863" s="14"/>
      <c r="F3863" s="14"/>
      <c r="G3863" s="13">
        <v>0</v>
      </c>
      <c r="H3863" s="13">
        <v>0</v>
      </c>
      <c r="I3863" s="13"/>
      <c r="J3863" s="13"/>
      <c r="K3863" s="13"/>
      <c r="L3863" s="15">
        <v>0</v>
      </c>
    </row>
    <row r="3864" spans="1:12">
      <c r="A3864" s="12"/>
      <c r="E3864" s="14"/>
      <c r="F3864" s="14"/>
      <c r="G3864" s="13">
        <v>0</v>
      </c>
      <c r="H3864" s="13">
        <v>0</v>
      </c>
      <c r="I3864" s="13"/>
      <c r="J3864" s="13"/>
      <c r="K3864" s="13"/>
      <c r="L3864" s="15">
        <v>0</v>
      </c>
    </row>
    <row r="3865" spans="1:12">
      <c r="A3865" s="12"/>
      <c r="E3865" s="14"/>
      <c r="F3865" s="14"/>
      <c r="G3865" s="13">
        <v>0</v>
      </c>
      <c r="H3865" s="13">
        <v>0</v>
      </c>
      <c r="I3865" s="13"/>
      <c r="J3865" s="13"/>
      <c r="K3865" s="13"/>
      <c r="L3865" s="15">
        <v>0</v>
      </c>
    </row>
    <row r="3866" spans="1:12">
      <c r="A3866" s="12"/>
      <c r="E3866" s="14"/>
      <c r="F3866" s="14"/>
      <c r="G3866" s="13">
        <v>0</v>
      </c>
      <c r="H3866" s="13">
        <v>0</v>
      </c>
      <c r="I3866" s="13"/>
      <c r="J3866" s="13"/>
      <c r="K3866" s="13"/>
      <c r="L3866" s="15">
        <v>0</v>
      </c>
    </row>
    <row r="3867" spans="1:12">
      <c r="A3867" s="12"/>
      <c r="E3867" s="14"/>
      <c r="F3867" s="14"/>
      <c r="G3867" s="13">
        <v>0</v>
      </c>
      <c r="H3867" s="13">
        <v>0</v>
      </c>
      <c r="I3867" s="13"/>
      <c r="J3867" s="13"/>
      <c r="K3867" s="13"/>
      <c r="L3867" s="15">
        <v>0</v>
      </c>
    </row>
    <row r="3868" spans="1:12">
      <c r="A3868" s="12"/>
      <c r="E3868" s="14"/>
      <c r="F3868" s="14"/>
      <c r="G3868" s="13">
        <v>0</v>
      </c>
      <c r="H3868" s="13">
        <v>0</v>
      </c>
      <c r="I3868" s="13"/>
      <c r="J3868" s="13"/>
      <c r="K3868" s="13"/>
      <c r="L3868" s="15">
        <v>0</v>
      </c>
    </row>
    <row r="3869" spans="1:12">
      <c r="A3869" s="12"/>
      <c r="E3869" s="14"/>
      <c r="F3869" s="14"/>
      <c r="G3869" s="13">
        <v>0</v>
      </c>
      <c r="H3869" s="13">
        <v>0</v>
      </c>
      <c r="I3869" s="13"/>
      <c r="J3869" s="13"/>
      <c r="K3869" s="13"/>
      <c r="L3869" s="15">
        <v>0</v>
      </c>
    </row>
    <row r="3870" spans="1:12">
      <c r="A3870" s="12"/>
      <c r="E3870" s="14"/>
      <c r="F3870" s="14"/>
      <c r="G3870" s="13">
        <v>0</v>
      </c>
      <c r="H3870" s="13">
        <v>0</v>
      </c>
      <c r="I3870" s="13"/>
      <c r="J3870" s="13"/>
      <c r="K3870" s="13"/>
      <c r="L3870" s="15">
        <v>0</v>
      </c>
    </row>
    <row r="3871" spans="1:12">
      <c r="A3871" s="12"/>
      <c r="E3871" s="14"/>
      <c r="F3871" s="14"/>
      <c r="G3871" s="13">
        <v>0</v>
      </c>
      <c r="H3871" s="13">
        <v>0</v>
      </c>
      <c r="I3871" s="13"/>
      <c r="J3871" s="13"/>
      <c r="K3871" s="13"/>
      <c r="L3871" s="15">
        <v>0</v>
      </c>
    </row>
    <row r="3872" spans="1:12">
      <c r="A3872" s="12"/>
      <c r="E3872" s="14"/>
      <c r="F3872" s="14"/>
      <c r="G3872" s="13">
        <v>0</v>
      </c>
      <c r="H3872" s="13">
        <v>0</v>
      </c>
      <c r="I3872" s="13"/>
      <c r="J3872" s="13"/>
      <c r="K3872" s="13"/>
      <c r="L3872" s="15">
        <v>0</v>
      </c>
    </row>
    <row r="3873" spans="1:12">
      <c r="A3873" s="12"/>
      <c r="E3873" s="14"/>
      <c r="F3873" s="14"/>
      <c r="G3873" s="13">
        <v>0</v>
      </c>
      <c r="H3873" s="13">
        <v>0</v>
      </c>
      <c r="I3873" s="13"/>
      <c r="J3873" s="13"/>
      <c r="K3873" s="13"/>
      <c r="L3873" s="15">
        <v>0</v>
      </c>
    </row>
    <row r="3874" spans="1:12">
      <c r="A3874" s="12"/>
      <c r="E3874" s="14"/>
      <c r="F3874" s="14"/>
      <c r="G3874" s="13">
        <v>0</v>
      </c>
      <c r="H3874" s="13">
        <v>0</v>
      </c>
      <c r="I3874" s="13"/>
      <c r="J3874" s="13"/>
      <c r="K3874" s="13"/>
      <c r="L3874" s="15">
        <v>0</v>
      </c>
    </row>
    <row r="3875" spans="1:12">
      <c r="A3875" s="12"/>
      <c r="E3875" s="14"/>
      <c r="F3875" s="14"/>
      <c r="G3875" s="13">
        <v>0</v>
      </c>
      <c r="H3875" s="13">
        <v>0</v>
      </c>
      <c r="I3875" s="13"/>
      <c r="J3875" s="13"/>
      <c r="K3875" s="13"/>
      <c r="L3875" s="15">
        <v>0</v>
      </c>
    </row>
    <row r="3876" spans="1:12">
      <c r="A3876" s="12"/>
      <c r="E3876" s="14"/>
      <c r="F3876" s="14"/>
      <c r="G3876" s="13">
        <v>0</v>
      </c>
      <c r="H3876" s="13">
        <v>0</v>
      </c>
      <c r="I3876" s="13"/>
      <c r="J3876" s="13"/>
      <c r="K3876" s="13"/>
      <c r="L3876" s="15">
        <v>0</v>
      </c>
    </row>
    <row r="3877" spans="1:12">
      <c r="A3877" s="12"/>
      <c r="E3877" s="14"/>
      <c r="F3877" s="14"/>
      <c r="G3877" s="13">
        <v>0</v>
      </c>
      <c r="H3877" s="13">
        <v>0</v>
      </c>
      <c r="I3877" s="13"/>
      <c r="J3877" s="13"/>
      <c r="K3877" s="13"/>
      <c r="L3877" s="15">
        <v>0</v>
      </c>
    </row>
    <row r="3878" spans="1:12">
      <c r="A3878" s="12"/>
      <c r="E3878" s="14"/>
      <c r="F3878" s="14"/>
      <c r="G3878" s="13">
        <v>0</v>
      </c>
      <c r="H3878" s="13">
        <v>0</v>
      </c>
      <c r="I3878" s="13"/>
      <c r="J3878" s="13"/>
      <c r="K3878" s="13"/>
      <c r="L3878" s="15">
        <v>0</v>
      </c>
    </row>
    <row r="3879" spans="1:12">
      <c r="A3879" s="12"/>
      <c r="E3879" s="14"/>
      <c r="F3879" s="14"/>
      <c r="G3879" s="13">
        <v>0</v>
      </c>
      <c r="H3879" s="13">
        <v>0</v>
      </c>
      <c r="I3879" s="13"/>
      <c r="J3879" s="13"/>
      <c r="K3879" s="13"/>
      <c r="L3879" s="15">
        <v>0</v>
      </c>
    </row>
    <row r="3880" spans="1:12">
      <c r="A3880" s="12"/>
      <c r="E3880" s="14"/>
      <c r="F3880" s="14"/>
      <c r="G3880" s="13">
        <v>0</v>
      </c>
      <c r="H3880" s="13">
        <v>0</v>
      </c>
      <c r="I3880" s="13"/>
      <c r="J3880" s="13"/>
      <c r="K3880" s="13"/>
      <c r="L3880" s="15">
        <v>0</v>
      </c>
    </row>
    <row r="3881" spans="1:12">
      <c r="A3881" s="12"/>
      <c r="E3881" s="14"/>
      <c r="F3881" s="14"/>
      <c r="G3881" s="13">
        <v>0</v>
      </c>
      <c r="H3881" s="13">
        <v>0</v>
      </c>
      <c r="I3881" s="13"/>
      <c r="J3881" s="13"/>
      <c r="K3881" s="13"/>
      <c r="L3881" s="15">
        <v>0</v>
      </c>
    </row>
    <row r="3882" spans="1:12">
      <c r="A3882" s="12"/>
      <c r="E3882" s="14"/>
      <c r="F3882" s="14"/>
      <c r="G3882" s="13">
        <v>0</v>
      </c>
      <c r="H3882" s="13">
        <v>0</v>
      </c>
      <c r="I3882" s="13"/>
      <c r="J3882" s="13"/>
      <c r="K3882" s="13"/>
      <c r="L3882" s="15">
        <v>0</v>
      </c>
    </row>
    <row r="3883" spans="1:12">
      <c r="A3883" s="12"/>
      <c r="E3883" s="14"/>
      <c r="F3883" s="14"/>
      <c r="G3883" s="13">
        <v>0</v>
      </c>
      <c r="H3883" s="13">
        <v>0</v>
      </c>
      <c r="I3883" s="13"/>
      <c r="J3883" s="13"/>
      <c r="K3883" s="13"/>
      <c r="L3883" s="15">
        <v>0</v>
      </c>
    </row>
    <row r="3884" spans="1:12">
      <c r="A3884" s="12"/>
      <c r="E3884" s="14"/>
      <c r="F3884" s="14"/>
      <c r="G3884" s="13">
        <v>0</v>
      </c>
      <c r="H3884" s="13">
        <v>0</v>
      </c>
      <c r="I3884" s="13"/>
      <c r="J3884" s="13"/>
      <c r="K3884" s="13"/>
      <c r="L3884" s="15">
        <v>0</v>
      </c>
    </row>
    <row r="3885" spans="1:12">
      <c r="A3885" s="12"/>
      <c r="E3885" s="14"/>
      <c r="F3885" s="14"/>
      <c r="G3885" s="13">
        <v>0</v>
      </c>
      <c r="H3885" s="13">
        <v>0</v>
      </c>
      <c r="I3885" s="13"/>
      <c r="J3885" s="13"/>
      <c r="K3885" s="13"/>
      <c r="L3885" s="15">
        <v>0</v>
      </c>
    </row>
    <row r="3886" spans="1:12">
      <c r="A3886" s="12"/>
      <c r="E3886" s="14"/>
      <c r="F3886" s="14"/>
      <c r="G3886" s="13">
        <v>0</v>
      </c>
      <c r="H3886" s="13">
        <v>0</v>
      </c>
      <c r="I3886" s="13"/>
      <c r="J3886" s="13"/>
      <c r="K3886" s="13"/>
      <c r="L3886" s="15">
        <v>0</v>
      </c>
    </row>
    <row r="3887" spans="1:12">
      <c r="A3887" s="12"/>
      <c r="E3887" s="14"/>
      <c r="F3887" s="14"/>
      <c r="G3887" s="13">
        <v>0</v>
      </c>
      <c r="H3887" s="13">
        <v>0</v>
      </c>
      <c r="I3887" s="13"/>
      <c r="J3887" s="13"/>
      <c r="K3887" s="13"/>
      <c r="L3887" s="15">
        <v>0</v>
      </c>
    </row>
    <row r="3888" spans="1:12">
      <c r="A3888" s="12"/>
      <c r="E3888" s="14"/>
      <c r="F3888" s="14"/>
      <c r="G3888" s="13">
        <v>0</v>
      </c>
      <c r="H3888" s="13">
        <v>0</v>
      </c>
      <c r="I3888" s="13"/>
      <c r="J3888" s="13"/>
      <c r="K3888" s="13"/>
      <c r="L3888" s="15">
        <v>0</v>
      </c>
    </row>
    <row r="3889" spans="1:12">
      <c r="A3889" s="12"/>
      <c r="E3889" s="14"/>
      <c r="F3889" s="14"/>
      <c r="G3889" s="13">
        <v>0</v>
      </c>
      <c r="H3889" s="13">
        <v>0</v>
      </c>
      <c r="I3889" s="13"/>
      <c r="J3889" s="13"/>
      <c r="K3889" s="13"/>
      <c r="L3889" s="15">
        <v>0</v>
      </c>
    </row>
    <row r="3890" spans="1:12">
      <c r="A3890" s="12"/>
      <c r="E3890" s="14"/>
      <c r="F3890" s="14"/>
      <c r="G3890" s="13">
        <v>0</v>
      </c>
      <c r="H3890" s="13">
        <v>0</v>
      </c>
      <c r="I3890" s="13"/>
      <c r="J3890" s="13"/>
      <c r="K3890" s="13"/>
      <c r="L3890" s="15">
        <v>0</v>
      </c>
    </row>
    <row r="3891" spans="1:12">
      <c r="A3891" s="12"/>
      <c r="E3891" s="14"/>
      <c r="F3891" s="14"/>
      <c r="G3891" s="13">
        <v>0</v>
      </c>
      <c r="H3891" s="13">
        <v>0</v>
      </c>
      <c r="I3891" s="13"/>
      <c r="J3891" s="13"/>
      <c r="K3891" s="13"/>
      <c r="L3891" s="15">
        <v>0</v>
      </c>
    </row>
    <row r="3892" spans="1:12">
      <c r="A3892" s="12"/>
      <c r="E3892" s="14"/>
      <c r="F3892" s="14"/>
      <c r="G3892" s="13">
        <v>0</v>
      </c>
      <c r="H3892" s="13">
        <v>0</v>
      </c>
      <c r="I3892" s="13"/>
      <c r="J3892" s="13"/>
      <c r="K3892" s="13"/>
      <c r="L3892" s="15">
        <v>0</v>
      </c>
    </row>
    <row r="3893" spans="1:12">
      <c r="A3893" s="12"/>
      <c r="E3893" s="14"/>
      <c r="F3893" s="14"/>
      <c r="G3893" s="13">
        <v>0</v>
      </c>
      <c r="H3893" s="13">
        <v>0</v>
      </c>
      <c r="I3893" s="13"/>
      <c r="J3893" s="13"/>
      <c r="K3893" s="13"/>
      <c r="L3893" s="15">
        <v>0</v>
      </c>
    </row>
    <row r="3894" spans="1:12">
      <c r="A3894" s="12"/>
      <c r="E3894" s="14"/>
      <c r="F3894" s="14"/>
      <c r="G3894" s="13">
        <v>0</v>
      </c>
      <c r="H3894" s="13">
        <v>0</v>
      </c>
      <c r="I3894" s="13"/>
      <c r="J3894" s="13"/>
      <c r="K3894" s="13"/>
      <c r="L3894" s="15">
        <v>0</v>
      </c>
    </row>
    <row r="3895" spans="1:12">
      <c r="A3895" s="12"/>
      <c r="E3895" s="14"/>
      <c r="F3895" s="14"/>
      <c r="G3895" s="13">
        <v>0</v>
      </c>
      <c r="H3895" s="13">
        <v>0</v>
      </c>
      <c r="I3895" s="13"/>
      <c r="J3895" s="13"/>
      <c r="K3895" s="13"/>
      <c r="L3895" s="15">
        <v>0</v>
      </c>
    </row>
    <row r="3896" spans="1:12">
      <c r="A3896" s="12"/>
      <c r="E3896" s="14"/>
      <c r="F3896" s="14"/>
      <c r="G3896" s="13">
        <v>0</v>
      </c>
      <c r="H3896" s="13">
        <v>0</v>
      </c>
      <c r="I3896" s="13"/>
      <c r="J3896" s="13"/>
      <c r="K3896" s="13"/>
      <c r="L3896" s="15">
        <v>0</v>
      </c>
    </row>
    <row r="3897" spans="1:12">
      <c r="A3897" s="12"/>
      <c r="E3897" s="14"/>
      <c r="F3897" s="14"/>
      <c r="G3897" s="13">
        <v>0</v>
      </c>
      <c r="H3897" s="13">
        <v>0</v>
      </c>
      <c r="I3897" s="13"/>
      <c r="J3897" s="13"/>
      <c r="K3897" s="13"/>
      <c r="L3897" s="15">
        <v>0</v>
      </c>
    </row>
    <row r="3898" spans="1:12">
      <c r="A3898" s="12"/>
      <c r="E3898" s="14"/>
      <c r="F3898" s="14"/>
      <c r="G3898" s="13">
        <v>0</v>
      </c>
      <c r="H3898" s="13">
        <v>0</v>
      </c>
      <c r="I3898" s="13"/>
      <c r="J3898" s="13"/>
      <c r="K3898" s="13"/>
      <c r="L3898" s="15">
        <v>0</v>
      </c>
    </row>
    <row r="3899" spans="1:12">
      <c r="A3899" s="12"/>
      <c r="E3899" s="14"/>
      <c r="F3899" s="14"/>
      <c r="G3899" s="13">
        <v>0</v>
      </c>
      <c r="H3899" s="13">
        <v>0</v>
      </c>
      <c r="I3899" s="13"/>
      <c r="J3899" s="13"/>
      <c r="K3899" s="13"/>
      <c r="L3899" s="15">
        <v>0</v>
      </c>
    </row>
    <row r="3900" spans="1:12">
      <c r="A3900" s="12"/>
      <c r="E3900" s="14"/>
      <c r="F3900" s="14"/>
      <c r="G3900" s="13">
        <v>0</v>
      </c>
      <c r="H3900" s="13">
        <v>0</v>
      </c>
      <c r="I3900" s="13"/>
      <c r="J3900" s="13"/>
      <c r="K3900" s="13"/>
      <c r="L3900" s="15">
        <v>0</v>
      </c>
    </row>
    <row r="3901" spans="1:12">
      <c r="A3901" s="12"/>
      <c r="E3901" s="14"/>
      <c r="F3901" s="14"/>
      <c r="G3901" s="13">
        <v>0</v>
      </c>
      <c r="H3901" s="13">
        <v>0</v>
      </c>
      <c r="I3901" s="13"/>
      <c r="J3901" s="13"/>
      <c r="K3901" s="13"/>
      <c r="L3901" s="15">
        <v>0</v>
      </c>
    </row>
    <row r="3902" spans="1:12">
      <c r="A3902" s="12"/>
      <c r="E3902" s="14"/>
      <c r="F3902" s="14"/>
      <c r="G3902" s="13">
        <v>0</v>
      </c>
      <c r="H3902" s="13">
        <v>0</v>
      </c>
      <c r="I3902" s="13"/>
      <c r="J3902" s="13"/>
      <c r="K3902" s="13"/>
      <c r="L3902" s="15">
        <v>0</v>
      </c>
    </row>
    <row r="3903" spans="1:12">
      <c r="A3903" s="12"/>
      <c r="E3903" s="14"/>
      <c r="F3903" s="14"/>
      <c r="G3903" s="13">
        <v>0</v>
      </c>
      <c r="H3903" s="13">
        <v>0</v>
      </c>
      <c r="I3903" s="13"/>
      <c r="J3903" s="13"/>
      <c r="K3903" s="13"/>
      <c r="L3903" s="15">
        <v>0</v>
      </c>
    </row>
    <row r="3904" spans="1:12">
      <c r="A3904" s="12"/>
      <c r="E3904" s="14"/>
      <c r="F3904" s="14"/>
      <c r="G3904" s="13">
        <v>0</v>
      </c>
      <c r="H3904" s="13">
        <v>0</v>
      </c>
      <c r="I3904" s="13"/>
      <c r="J3904" s="13"/>
      <c r="K3904" s="13"/>
      <c r="L3904" s="15">
        <v>0</v>
      </c>
    </row>
    <row r="3905" spans="1:12">
      <c r="A3905" s="12"/>
      <c r="E3905" s="14"/>
      <c r="F3905" s="14"/>
      <c r="G3905" s="13">
        <v>0</v>
      </c>
      <c r="H3905" s="13">
        <v>0</v>
      </c>
      <c r="I3905" s="13"/>
      <c r="J3905" s="13"/>
      <c r="K3905" s="13"/>
      <c r="L3905" s="15">
        <v>0</v>
      </c>
    </row>
    <row r="3906" spans="1:12">
      <c r="A3906" s="12"/>
      <c r="E3906" s="14"/>
      <c r="F3906" s="14"/>
      <c r="G3906" s="13">
        <v>0</v>
      </c>
      <c r="H3906" s="13">
        <v>0</v>
      </c>
      <c r="I3906" s="13"/>
      <c r="J3906" s="13"/>
      <c r="K3906" s="13"/>
      <c r="L3906" s="15">
        <v>0</v>
      </c>
    </row>
    <row r="3907" spans="1:12">
      <c r="A3907" s="12"/>
      <c r="E3907" s="14"/>
      <c r="F3907" s="14"/>
      <c r="G3907" s="13">
        <v>0</v>
      </c>
      <c r="H3907" s="13">
        <v>0</v>
      </c>
      <c r="I3907" s="13"/>
      <c r="J3907" s="13"/>
      <c r="K3907" s="13"/>
      <c r="L3907" s="15">
        <v>0</v>
      </c>
    </row>
    <row r="3908" spans="1:12">
      <c r="A3908" s="12"/>
      <c r="E3908" s="14"/>
      <c r="F3908" s="14"/>
      <c r="G3908" s="13">
        <v>0</v>
      </c>
      <c r="H3908" s="13">
        <v>0</v>
      </c>
      <c r="I3908" s="13"/>
      <c r="J3908" s="13"/>
      <c r="K3908" s="13"/>
      <c r="L3908" s="15">
        <v>0</v>
      </c>
    </row>
    <row r="3909" spans="1:12">
      <c r="A3909" s="12"/>
      <c r="E3909" s="14"/>
      <c r="F3909" s="14"/>
      <c r="G3909" s="13">
        <v>0</v>
      </c>
      <c r="H3909" s="13">
        <v>0</v>
      </c>
      <c r="I3909" s="13"/>
      <c r="J3909" s="13"/>
      <c r="K3909" s="13"/>
      <c r="L3909" s="15">
        <v>0</v>
      </c>
    </row>
    <row r="3910" spans="1:12">
      <c r="A3910" s="12"/>
      <c r="E3910" s="14"/>
      <c r="F3910" s="14"/>
      <c r="G3910" s="13">
        <v>0</v>
      </c>
      <c r="H3910" s="13">
        <v>0</v>
      </c>
      <c r="I3910" s="13"/>
      <c r="J3910" s="13"/>
      <c r="K3910" s="13"/>
      <c r="L3910" s="15">
        <v>0</v>
      </c>
    </row>
    <row r="3911" spans="1:12">
      <c r="A3911" s="12"/>
      <c r="E3911" s="14"/>
      <c r="F3911" s="14"/>
      <c r="G3911" s="13">
        <v>0</v>
      </c>
      <c r="H3911" s="13">
        <v>0</v>
      </c>
      <c r="I3911" s="13"/>
      <c r="J3911" s="13"/>
      <c r="K3911" s="13"/>
      <c r="L3911" s="15">
        <v>0</v>
      </c>
    </row>
    <row r="3912" spans="1:12">
      <c r="A3912" s="12"/>
      <c r="E3912" s="14"/>
      <c r="F3912" s="14"/>
      <c r="G3912" s="13">
        <v>0</v>
      </c>
      <c r="H3912" s="13">
        <v>0</v>
      </c>
      <c r="I3912" s="13"/>
      <c r="J3912" s="13"/>
      <c r="K3912" s="13"/>
      <c r="L3912" s="15">
        <v>0</v>
      </c>
    </row>
    <row r="3913" spans="1:12">
      <c r="A3913" s="12"/>
      <c r="E3913" s="14"/>
      <c r="F3913" s="14"/>
      <c r="G3913" s="13">
        <v>0</v>
      </c>
      <c r="H3913" s="13">
        <v>0</v>
      </c>
      <c r="I3913" s="13"/>
      <c r="J3913" s="13"/>
      <c r="K3913" s="13"/>
      <c r="L3913" s="15">
        <v>0</v>
      </c>
    </row>
    <row r="3914" spans="1:12">
      <c r="A3914" s="12"/>
      <c r="E3914" s="14"/>
      <c r="F3914" s="14"/>
      <c r="G3914" s="13">
        <v>0</v>
      </c>
      <c r="H3914" s="13">
        <v>0</v>
      </c>
      <c r="I3914" s="13"/>
      <c r="J3914" s="13"/>
      <c r="K3914" s="13"/>
      <c r="L3914" s="15">
        <v>0</v>
      </c>
    </row>
    <row r="3915" spans="1:12">
      <c r="A3915" s="12"/>
      <c r="E3915" s="14"/>
      <c r="F3915" s="14"/>
      <c r="G3915" s="13">
        <v>0</v>
      </c>
      <c r="H3915" s="13">
        <v>0</v>
      </c>
      <c r="I3915" s="13"/>
      <c r="J3915" s="13"/>
      <c r="K3915" s="13"/>
      <c r="L3915" s="15">
        <v>0</v>
      </c>
    </row>
    <row r="3916" spans="1:12">
      <c r="A3916" s="12"/>
      <c r="E3916" s="14"/>
      <c r="F3916" s="14"/>
      <c r="G3916" s="13">
        <v>0</v>
      </c>
      <c r="H3916" s="13">
        <v>0</v>
      </c>
      <c r="I3916" s="13"/>
      <c r="J3916" s="13"/>
      <c r="K3916" s="13"/>
      <c r="L3916" s="15">
        <v>0</v>
      </c>
    </row>
    <row r="3917" spans="1:12">
      <c r="A3917" s="12"/>
      <c r="E3917" s="14"/>
      <c r="F3917" s="14"/>
      <c r="G3917" s="13">
        <v>0</v>
      </c>
      <c r="H3917" s="13">
        <v>0</v>
      </c>
      <c r="I3917" s="13"/>
      <c r="J3917" s="13"/>
      <c r="K3917" s="13"/>
      <c r="L3917" s="15">
        <v>0</v>
      </c>
    </row>
    <row r="3918" spans="1:12">
      <c r="A3918" s="12"/>
      <c r="E3918" s="14"/>
      <c r="F3918" s="14"/>
      <c r="G3918" s="13">
        <v>0</v>
      </c>
      <c r="H3918" s="13">
        <v>0</v>
      </c>
      <c r="I3918" s="13"/>
      <c r="J3918" s="13"/>
      <c r="K3918" s="13"/>
      <c r="L3918" s="15">
        <v>0</v>
      </c>
    </row>
    <row r="3919" spans="1:12">
      <c r="A3919" s="12"/>
      <c r="E3919" s="14"/>
      <c r="F3919" s="14"/>
      <c r="G3919" s="13">
        <v>0</v>
      </c>
      <c r="H3919" s="13">
        <v>0</v>
      </c>
      <c r="I3919" s="13"/>
      <c r="J3919" s="13"/>
      <c r="K3919" s="13"/>
      <c r="L3919" s="15">
        <v>0</v>
      </c>
    </row>
    <row r="3920" spans="1:12">
      <c r="A3920" s="12"/>
      <c r="E3920" s="14"/>
      <c r="F3920" s="14"/>
      <c r="G3920" s="13">
        <v>0</v>
      </c>
      <c r="H3920" s="13">
        <v>0</v>
      </c>
      <c r="I3920" s="13"/>
      <c r="J3920" s="13"/>
      <c r="K3920" s="13"/>
      <c r="L3920" s="15">
        <v>0</v>
      </c>
    </row>
    <row r="3921" spans="1:12">
      <c r="A3921" s="12"/>
      <c r="E3921" s="14"/>
      <c r="F3921" s="14"/>
      <c r="G3921" s="13">
        <v>0</v>
      </c>
      <c r="H3921" s="13">
        <v>0</v>
      </c>
      <c r="I3921" s="13"/>
      <c r="J3921" s="13"/>
      <c r="K3921" s="13"/>
      <c r="L3921" s="15">
        <v>0</v>
      </c>
    </row>
    <row r="3922" spans="1:12">
      <c r="A3922" s="12"/>
      <c r="E3922" s="14"/>
      <c r="F3922" s="14"/>
      <c r="G3922" s="13">
        <v>0</v>
      </c>
      <c r="H3922" s="13">
        <v>0</v>
      </c>
      <c r="I3922" s="13"/>
      <c r="J3922" s="13"/>
      <c r="K3922" s="13"/>
      <c r="L3922" s="15">
        <v>0</v>
      </c>
    </row>
    <row r="3923" spans="1:12">
      <c r="A3923" s="12"/>
      <c r="E3923" s="14"/>
      <c r="F3923" s="14"/>
      <c r="G3923" s="13">
        <v>0</v>
      </c>
      <c r="H3923" s="13">
        <v>0</v>
      </c>
      <c r="I3923" s="13"/>
      <c r="J3923" s="13"/>
      <c r="K3923" s="13"/>
      <c r="L3923" s="15">
        <v>0</v>
      </c>
    </row>
    <row r="3924" spans="1:12">
      <c r="A3924" s="12"/>
      <c r="E3924" s="14"/>
      <c r="F3924" s="14"/>
      <c r="G3924" s="13">
        <v>0</v>
      </c>
      <c r="H3924" s="13">
        <v>0</v>
      </c>
      <c r="I3924" s="13"/>
      <c r="J3924" s="13"/>
      <c r="K3924" s="13"/>
      <c r="L3924" s="15">
        <v>0</v>
      </c>
    </row>
    <row r="3925" spans="1:12">
      <c r="A3925" s="12"/>
      <c r="E3925" s="14"/>
      <c r="F3925" s="14"/>
      <c r="G3925" s="13">
        <v>0</v>
      </c>
      <c r="H3925" s="13">
        <v>0</v>
      </c>
      <c r="I3925" s="13"/>
      <c r="J3925" s="13"/>
      <c r="K3925" s="13"/>
      <c r="L3925" s="15">
        <v>0</v>
      </c>
    </row>
    <row r="3926" spans="1:12">
      <c r="A3926" s="12"/>
      <c r="E3926" s="14"/>
      <c r="F3926" s="14"/>
      <c r="G3926" s="13">
        <v>0</v>
      </c>
      <c r="H3926" s="13">
        <v>0</v>
      </c>
      <c r="I3926" s="13"/>
      <c r="J3926" s="13"/>
      <c r="K3926" s="13"/>
      <c r="L3926" s="15">
        <v>0</v>
      </c>
    </row>
    <row r="3927" spans="1:12">
      <c r="A3927" s="12"/>
      <c r="E3927" s="14"/>
      <c r="F3927" s="14"/>
      <c r="G3927" s="13">
        <v>0</v>
      </c>
      <c r="H3927" s="13">
        <v>0</v>
      </c>
      <c r="I3927" s="13"/>
      <c r="J3927" s="13"/>
      <c r="K3927" s="13"/>
      <c r="L3927" s="15">
        <v>0</v>
      </c>
    </row>
    <row r="3928" spans="1:12">
      <c r="A3928" s="12"/>
      <c r="E3928" s="14"/>
      <c r="F3928" s="14"/>
      <c r="G3928" s="13">
        <v>0</v>
      </c>
      <c r="H3928" s="13">
        <v>0</v>
      </c>
      <c r="I3928" s="13"/>
      <c r="J3928" s="13"/>
      <c r="K3928" s="13"/>
      <c r="L3928" s="15">
        <v>0</v>
      </c>
    </row>
    <row r="3929" spans="1:12">
      <c r="A3929" s="12"/>
      <c r="E3929" s="14"/>
      <c r="F3929" s="14"/>
      <c r="G3929" s="13">
        <v>0</v>
      </c>
      <c r="H3929" s="13">
        <v>0</v>
      </c>
      <c r="I3929" s="13"/>
      <c r="J3929" s="13"/>
      <c r="K3929" s="13"/>
      <c r="L3929" s="15">
        <v>0</v>
      </c>
    </row>
    <row r="3930" spans="1:12">
      <c r="A3930" s="12"/>
      <c r="E3930" s="14"/>
      <c r="F3930" s="14"/>
      <c r="G3930" s="13">
        <v>0</v>
      </c>
      <c r="H3930" s="13">
        <v>0</v>
      </c>
      <c r="I3930" s="13"/>
      <c r="J3930" s="13"/>
      <c r="K3930" s="13"/>
      <c r="L3930" s="15">
        <v>0</v>
      </c>
    </row>
    <row r="3931" spans="1:12">
      <c r="A3931" s="12"/>
      <c r="E3931" s="14"/>
      <c r="F3931" s="14"/>
      <c r="G3931" s="13">
        <v>0</v>
      </c>
      <c r="H3931" s="13">
        <v>0</v>
      </c>
      <c r="I3931" s="13"/>
      <c r="J3931" s="13"/>
      <c r="K3931" s="13"/>
      <c r="L3931" s="15">
        <v>0</v>
      </c>
    </row>
    <row r="3932" spans="1:12">
      <c r="A3932" s="12"/>
      <c r="E3932" s="14"/>
      <c r="F3932" s="14"/>
      <c r="G3932" s="13">
        <v>0</v>
      </c>
      <c r="H3932" s="13">
        <v>0</v>
      </c>
      <c r="I3932" s="13"/>
      <c r="J3932" s="13"/>
      <c r="K3932" s="13"/>
      <c r="L3932" s="15">
        <v>0</v>
      </c>
    </row>
    <row r="3933" spans="1:12">
      <c r="A3933" s="12"/>
      <c r="E3933" s="14"/>
      <c r="F3933" s="14"/>
      <c r="G3933" s="13">
        <v>0</v>
      </c>
      <c r="H3933" s="13">
        <v>0</v>
      </c>
      <c r="I3933" s="13"/>
      <c r="J3933" s="13"/>
      <c r="K3933" s="13"/>
      <c r="L3933" s="15">
        <v>0</v>
      </c>
    </row>
    <row r="3934" spans="1:12">
      <c r="A3934" s="12"/>
      <c r="E3934" s="14"/>
      <c r="F3934" s="14"/>
      <c r="G3934" s="13">
        <v>0</v>
      </c>
      <c r="H3934" s="13">
        <v>0</v>
      </c>
      <c r="I3934" s="13"/>
      <c r="J3934" s="13"/>
      <c r="K3934" s="13"/>
      <c r="L3934" s="15">
        <v>0</v>
      </c>
    </row>
    <row r="3935" spans="1:12">
      <c r="A3935" s="12"/>
      <c r="E3935" s="14"/>
      <c r="F3935" s="14"/>
      <c r="G3935" s="13">
        <v>0</v>
      </c>
      <c r="H3935" s="13">
        <v>0</v>
      </c>
      <c r="I3935" s="13"/>
      <c r="J3935" s="13"/>
      <c r="K3935" s="13"/>
      <c r="L3935" s="15">
        <v>0</v>
      </c>
    </row>
    <row r="3936" spans="1:12">
      <c r="A3936" s="12"/>
      <c r="E3936" s="14"/>
      <c r="F3936" s="14"/>
      <c r="G3936" s="13">
        <v>0</v>
      </c>
      <c r="H3936" s="13">
        <v>0</v>
      </c>
      <c r="I3936" s="13"/>
      <c r="J3936" s="13"/>
      <c r="K3936" s="13"/>
      <c r="L3936" s="15">
        <v>0</v>
      </c>
    </row>
    <row r="3937" spans="1:12">
      <c r="A3937" s="12"/>
      <c r="E3937" s="14"/>
      <c r="F3937" s="14"/>
      <c r="G3937" s="13">
        <v>0</v>
      </c>
      <c r="H3937" s="13">
        <v>0</v>
      </c>
      <c r="I3937" s="13"/>
      <c r="J3937" s="13"/>
      <c r="K3937" s="13"/>
      <c r="L3937" s="15">
        <v>0</v>
      </c>
    </row>
    <row r="3938" spans="1:12">
      <c r="A3938" s="12"/>
      <c r="E3938" s="14"/>
      <c r="F3938" s="14"/>
      <c r="G3938" s="13">
        <v>0</v>
      </c>
      <c r="H3938" s="13">
        <v>0</v>
      </c>
      <c r="I3938" s="13"/>
      <c r="J3938" s="13"/>
      <c r="K3938" s="13"/>
      <c r="L3938" s="15">
        <v>0</v>
      </c>
    </row>
    <row r="3939" spans="1:12">
      <c r="A3939" s="12"/>
      <c r="E3939" s="14"/>
      <c r="F3939" s="14"/>
      <c r="G3939" s="13">
        <v>0</v>
      </c>
      <c r="H3939" s="13">
        <v>0</v>
      </c>
      <c r="I3939" s="13"/>
      <c r="J3939" s="13"/>
      <c r="K3939" s="13"/>
      <c r="L3939" s="15">
        <v>0</v>
      </c>
    </row>
    <row r="3940" spans="1:12">
      <c r="A3940" s="12"/>
      <c r="E3940" s="14"/>
      <c r="F3940" s="14"/>
      <c r="G3940" s="13">
        <v>0</v>
      </c>
      <c r="H3940" s="13">
        <v>0</v>
      </c>
      <c r="I3940" s="13"/>
      <c r="J3940" s="13"/>
      <c r="K3940" s="13"/>
      <c r="L3940" s="15">
        <v>0</v>
      </c>
    </row>
    <row r="3941" spans="1:12">
      <c r="A3941" s="12"/>
      <c r="E3941" s="14"/>
      <c r="F3941" s="14"/>
      <c r="G3941" s="13">
        <v>0</v>
      </c>
      <c r="H3941" s="13">
        <v>0</v>
      </c>
      <c r="I3941" s="13"/>
      <c r="J3941" s="13"/>
      <c r="K3941" s="13"/>
      <c r="L3941" s="15">
        <v>0</v>
      </c>
    </row>
    <row r="3942" spans="1:12">
      <c r="A3942" s="12"/>
      <c r="E3942" s="14"/>
      <c r="F3942" s="14"/>
      <c r="G3942" s="13">
        <v>0</v>
      </c>
      <c r="H3942" s="13">
        <v>0</v>
      </c>
      <c r="I3942" s="13"/>
      <c r="J3942" s="13"/>
      <c r="K3942" s="13"/>
      <c r="L3942" s="15">
        <v>0</v>
      </c>
    </row>
    <row r="3943" spans="1:12">
      <c r="A3943" s="12"/>
      <c r="E3943" s="14"/>
      <c r="F3943" s="14"/>
      <c r="G3943" s="13">
        <v>0</v>
      </c>
      <c r="H3943" s="13">
        <v>0</v>
      </c>
      <c r="I3943" s="13"/>
      <c r="J3943" s="13"/>
      <c r="K3943" s="13"/>
      <c r="L3943" s="15">
        <v>0</v>
      </c>
    </row>
    <row r="3944" spans="1:12">
      <c r="A3944" s="12"/>
      <c r="E3944" s="14"/>
      <c r="F3944" s="14"/>
      <c r="G3944" s="13">
        <v>0</v>
      </c>
      <c r="H3944" s="13">
        <v>0</v>
      </c>
      <c r="I3944" s="13"/>
      <c r="J3944" s="13"/>
      <c r="K3944" s="13"/>
      <c r="L3944" s="15">
        <v>0</v>
      </c>
    </row>
    <row r="3945" spans="1:12">
      <c r="A3945" s="12"/>
      <c r="E3945" s="14"/>
      <c r="F3945" s="14"/>
      <c r="G3945" s="13">
        <v>0</v>
      </c>
      <c r="H3945" s="13">
        <v>0</v>
      </c>
      <c r="I3945" s="13"/>
      <c r="J3945" s="13"/>
      <c r="K3945" s="13"/>
      <c r="L3945" s="15">
        <v>0</v>
      </c>
    </row>
    <row r="3946" spans="1:12">
      <c r="A3946" s="12"/>
      <c r="E3946" s="14"/>
      <c r="F3946" s="14"/>
      <c r="G3946" s="13">
        <v>0</v>
      </c>
      <c r="H3946" s="13">
        <v>0</v>
      </c>
      <c r="I3946" s="13"/>
      <c r="J3946" s="13"/>
      <c r="K3946" s="13"/>
      <c r="L3946" s="15">
        <v>0</v>
      </c>
    </row>
    <row r="3947" spans="1:12">
      <c r="A3947" s="12"/>
      <c r="E3947" s="14"/>
      <c r="F3947" s="14"/>
      <c r="G3947" s="13">
        <v>0</v>
      </c>
      <c r="H3947" s="13">
        <v>0</v>
      </c>
      <c r="I3947" s="13"/>
      <c r="J3947" s="13"/>
      <c r="K3947" s="13"/>
      <c r="L3947" s="15">
        <v>0</v>
      </c>
    </row>
    <row r="3948" spans="1:12">
      <c r="A3948" s="12"/>
      <c r="E3948" s="14"/>
      <c r="F3948" s="14"/>
      <c r="G3948" s="13">
        <v>0</v>
      </c>
      <c r="H3948" s="13">
        <v>0</v>
      </c>
      <c r="I3948" s="13"/>
      <c r="J3948" s="13"/>
      <c r="K3948" s="13"/>
      <c r="L3948" s="15">
        <v>0</v>
      </c>
    </row>
    <row r="3949" spans="1:12">
      <c r="A3949" s="12"/>
      <c r="E3949" s="14"/>
      <c r="F3949" s="14"/>
      <c r="G3949" s="13">
        <v>0</v>
      </c>
      <c r="H3949" s="13">
        <v>0</v>
      </c>
      <c r="I3949" s="13"/>
      <c r="J3949" s="13"/>
      <c r="K3949" s="13"/>
      <c r="L3949" s="15">
        <v>0</v>
      </c>
    </row>
    <row r="3950" spans="1:12">
      <c r="A3950" s="12"/>
      <c r="E3950" s="14"/>
      <c r="F3950" s="14"/>
      <c r="G3950" s="13">
        <v>0</v>
      </c>
      <c r="H3950" s="13">
        <v>0</v>
      </c>
      <c r="I3950" s="13"/>
      <c r="J3950" s="13"/>
      <c r="K3950" s="13"/>
      <c r="L3950" s="15">
        <v>0</v>
      </c>
    </row>
    <row r="3951" spans="1:12">
      <c r="A3951" s="12"/>
      <c r="E3951" s="14"/>
      <c r="F3951" s="14"/>
      <c r="G3951" s="13">
        <v>0</v>
      </c>
      <c r="H3951" s="13">
        <v>0</v>
      </c>
      <c r="I3951" s="13"/>
      <c r="J3951" s="13"/>
      <c r="K3951" s="13"/>
      <c r="L3951" s="15">
        <v>0</v>
      </c>
    </row>
    <row r="3952" spans="1:12">
      <c r="A3952" s="12"/>
      <c r="E3952" s="14"/>
      <c r="F3952" s="14"/>
      <c r="G3952" s="13">
        <v>0</v>
      </c>
      <c r="H3952" s="13">
        <v>0</v>
      </c>
      <c r="I3952" s="13"/>
      <c r="J3952" s="13"/>
      <c r="K3952" s="13"/>
      <c r="L3952" s="15">
        <v>0</v>
      </c>
    </row>
    <row r="3953" spans="1:12">
      <c r="A3953" s="12"/>
      <c r="E3953" s="14"/>
      <c r="F3953" s="14"/>
      <c r="G3953" s="13">
        <v>0</v>
      </c>
      <c r="H3953" s="13">
        <v>0</v>
      </c>
      <c r="I3953" s="13"/>
      <c r="J3953" s="13"/>
      <c r="K3953" s="13"/>
      <c r="L3953" s="15">
        <v>0</v>
      </c>
    </row>
    <row r="3954" spans="1:12">
      <c r="A3954" s="12"/>
      <c r="E3954" s="14"/>
      <c r="F3954" s="14"/>
      <c r="G3954" s="13">
        <v>0</v>
      </c>
      <c r="H3954" s="13">
        <v>0</v>
      </c>
      <c r="I3954" s="13"/>
      <c r="J3954" s="13"/>
      <c r="K3954" s="13"/>
      <c r="L3954" s="15">
        <v>0</v>
      </c>
    </row>
    <row r="3955" spans="1:12">
      <c r="A3955" s="12"/>
      <c r="E3955" s="14"/>
      <c r="F3955" s="14"/>
      <c r="G3955" s="13">
        <v>0</v>
      </c>
      <c r="H3955" s="13">
        <v>0</v>
      </c>
      <c r="I3955" s="13"/>
      <c r="J3955" s="13"/>
      <c r="K3955" s="13"/>
      <c r="L3955" s="15">
        <v>0</v>
      </c>
    </row>
    <row r="3956" spans="1:12">
      <c r="A3956" s="12"/>
      <c r="E3956" s="14"/>
      <c r="F3956" s="14"/>
      <c r="G3956" s="13">
        <v>0</v>
      </c>
      <c r="H3956" s="13">
        <v>0</v>
      </c>
      <c r="I3956" s="13"/>
      <c r="J3956" s="13"/>
      <c r="K3956" s="13"/>
      <c r="L3956" s="15">
        <v>0</v>
      </c>
    </row>
    <row r="3957" spans="1:12">
      <c r="A3957" s="12"/>
      <c r="E3957" s="14"/>
      <c r="F3957" s="14"/>
      <c r="G3957" s="13">
        <v>0</v>
      </c>
      <c r="H3957" s="13">
        <v>0</v>
      </c>
      <c r="I3957" s="13"/>
      <c r="J3957" s="13"/>
      <c r="K3957" s="13"/>
      <c r="L3957" s="15">
        <v>0</v>
      </c>
    </row>
    <row r="3958" spans="1:12">
      <c r="A3958" s="12"/>
      <c r="E3958" s="14"/>
      <c r="F3958" s="14"/>
      <c r="G3958" s="13">
        <v>0</v>
      </c>
      <c r="H3958" s="13">
        <v>0</v>
      </c>
      <c r="I3958" s="13"/>
      <c r="J3958" s="13"/>
      <c r="K3958" s="13"/>
      <c r="L3958" s="15">
        <v>0</v>
      </c>
    </row>
    <row r="3959" spans="1:12">
      <c r="A3959" s="12"/>
      <c r="E3959" s="14"/>
      <c r="F3959" s="14"/>
      <c r="G3959" s="13">
        <v>0</v>
      </c>
      <c r="H3959" s="13">
        <v>0</v>
      </c>
      <c r="I3959" s="13"/>
      <c r="J3959" s="13"/>
      <c r="K3959" s="13"/>
      <c r="L3959" s="15">
        <v>0</v>
      </c>
    </row>
    <row r="3960" spans="1:12">
      <c r="A3960" s="12"/>
      <c r="E3960" s="14"/>
      <c r="F3960" s="14"/>
      <c r="G3960" s="13">
        <v>0</v>
      </c>
      <c r="H3960" s="13">
        <v>0</v>
      </c>
      <c r="I3960" s="13"/>
      <c r="J3960" s="13"/>
      <c r="K3960" s="13"/>
      <c r="L3960" s="15">
        <v>0</v>
      </c>
    </row>
    <row r="3961" spans="1:12">
      <c r="A3961" s="12"/>
      <c r="E3961" s="14"/>
      <c r="F3961" s="14"/>
      <c r="G3961" s="13">
        <v>0</v>
      </c>
      <c r="H3961" s="13">
        <v>0</v>
      </c>
      <c r="I3961" s="13"/>
      <c r="J3961" s="13"/>
      <c r="K3961" s="13"/>
      <c r="L3961" s="15">
        <v>0</v>
      </c>
    </row>
    <row r="3962" spans="1:12">
      <c r="A3962" s="12"/>
      <c r="E3962" s="14"/>
      <c r="F3962" s="14"/>
      <c r="G3962" s="13">
        <v>0</v>
      </c>
      <c r="H3962" s="13">
        <v>0</v>
      </c>
      <c r="I3962" s="13"/>
      <c r="J3962" s="13"/>
      <c r="K3962" s="13"/>
      <c r="L3962" s="15">
        <v>0</v>
      </c>
    </row>
    <row r="3963" spans="1:12">
      <c r="A3963" s="12"/>
      <c r="E3963" s="14"/>
      <c r="F3963" s="14"/>
      <c r="G3963" s="13">
        <v>0</v>
      </c>
      <c r="H3963" s="13">
        <v>0</v>
      </c>
      <c r="I3963" s="13"/>
      <c r="J3963" s="13"/>
      <c r="K3963" s="13"/>
      <c r="L3963" s="15">
        <v>0</v>
      </c>
    </row>
    <row r="3964" spans="1:12">
      <c r="A3964" s="12"/>
      <c r="E3964" s="14"/>
      <c r="F3964" s="14"/>
      <c r="G3964" s="13">
        <v>0</v>
      </c>
      <c r="H3964" s="13">
        <v>0</v>
      </c>
      <c r="I3964" s="13"/>
      <c r="J3964" s="13"/>
      <c r="K3964" s="13"/>
      <c r="L3964" s="15">
        <v>0</v>
      </c>
    </row>
    <row r="3965" spans="1:12">
      <c r="A3965" s="12"/>
      <c r="E3965" s="14"/>
      <c r="F3965" s="14"/>
      <c r="G3965" s="13">
        <v>0</v>
      </c>
      <c r="H3965" s="13">
        <v>0</v>
      </c>
      <c r="I3965" s="13"/>
      <c r="J3965" s="13"/>
      <c r="K3965" s="13"/>
      <c r="L3965" s="15">
        <v>0</v>
      </c>
    </row>
    <row r="3966" spans="1:12">
      <c r="A3966" s="12"/>
      <c r="E3966" s="14"/>
      <c r="F3966" s="14"/>
      <c r="G3966" s="13">
        <v>0</v>
      </c>
      <c r="H3966" s="13">
        <v>0</v>
      </c>
      <c r="I3966" s="13"/>
      <c r="J3966" s="13"/>
      <c r="K3966" s="13"/>
      <c r="L3966" s="15">
        <v>0</v>
      </c>
    </row>
    <row r="3967" spans="1:12">
      <c r="A3967" s="12"/>
      <c r="E3967" s="14"/>
      <c r="F3967" s="14"/>
      <c r="G3967" s="13">
        <v>0</v>
      </c>
      <c r="H3967" s="13">
        <v>0</v>
      </c>
      <c r="I3967" s="13"/>
      <c r="J3967" s="13"/>
      <c r="K3967" s="13"/>
      <c r="L3967" s="15">
        <v>0</v>
      </c>
    </row>
    <row r="3968" spans="1:12">
      <c r="A3968" s="12"/>
      <c r="E3968" s="14"/>
      <c r="F3968" s="14"/>
      <c r="G3968" s="13">
        <v>0</v>
      </c>
      <c r="H3968" s="13">
        <v>0</v>
      </c>
      <c r="I3968" s="13"/>
      <c r="J3968" s="13"/>
      <c r="K3968" s="13"/>
      <c r="L3968" s="15">
        <v>0</v>
      </c>
    </row>
    <row r="3969" spans="1:12">
      <c r="A3969" s="12"/>
      <c r="E3969" s="14"/>
      <c r="F3969" s="14"/>
      <c r="G3969" s="13">
        <v>0</v>
      </c>
      <c r="H3969" s="13">
        <v>0</v>
      </c>
      <c r="I3969" s="13"/>
      <c r="J3969" s="13"/>
      <c r="K3969" s="13"/>
      <c r="L3969" s="15">
        <v>0</v>
      </c>
    </row>
    <row r="3970" spans="1:12">
      <c r="A3970" s="12"/>
      <c r="E3970" s="14"/>
      <c r="F3970" s="14"/>
      <c r="G3970" s="13">
        <v>0</v>
      </c>
      <c r="H3970" s="13">
        <v>0</v>
      </c>
      <c r="I3970" s="13"/>
      <c r="J3970" s="13"/>
      <c r="K3970" s="13"/>
      <c r="L3970" s="15">
        <v>0</v>
      </c>
    </row>
    <row r="3971" spans="1:12">
      <c r="A3971" s="12"/>
      <c r="E3971" s="14"/>
      <c r="F3971" s="14"/>
      <c r="G3971" s="13">
        <v>0</v>
      </c>
      <c r="H3971" s="13">
        <v>0</v>
      </c>
      <c r="I3971" s="13"/>
      <c r="J3971" s="13"/>
      <c r="K3971" s="13"/>
      <c r="L3971" s="15">
        <v>0</v>
      </c>
    </row>
    <row r="3972" spans="1:12">
      <c r="A3972" s="12"/>
      <c r="E3972" s="14"/>
      <c r="F3972" s="14"/>
      <c r="G3972" s="13">
        <v>0</v>
      </c>
      <c r="H3972" s="13">
        <v>0</v>
      </c>
      <c r="I3972" s="13"/>
      <c r="J3972" s="13"/>
      <c r="K3972" s="13"/>
      <c r="L3972" s="15">
        <v>0</v>
      </c>
    </row>
    <row r="3973" spans="1:12">
      <c r="A3973" s="12"/>
      <c r="E3973" s="14"/>
      <c r="F3973" s="14"/>
      <c r="G3973" s="13">
        <v>0</v>
      </c>
      <c r="H3973" s="13">
        <v>0</v>
      </c>
      <c r="I3973" s="13"/>
      <c r="J3973" s="13"/>
      <c r="K3973" s="13"/>
      <c r="L3973" s="15">
        <v>0</v>
      </c>
    </row>
    <row r="3974" spans="1:12">
      <c r="A3974" s="12"/>
      <c r="E3974" s="14"/>
      <c r="F3974" s="14"/>
      <c r="G3974" s="13">
        <v>0</v>
      </c>
      <c r="H3974" s="13">
        <v>0</v>
      </c>
      <c r="I3974" s="13"/>
      <c r="J3974" s="13"/>
      <c r="K3974" s="13"/>
      <c r="L3974" s="15">
        <v>0</v>
      </c>
    </row>
    <row r="3975" spans="1:12">
      <c r="A3975" s="12"/>
      <c r="E3975" s="14"/>
      <c r="F3975" s="14"/>
      <c r="G3975" s="13">
        <v>0</v>
      </c>
      <c r="H3975" s="13">
        <v>0</v>
      </c>
      <c r="I3975" s="13"/>
      <c r="J3975" s="13"/>
      <c r="K3975" s="13"/>
      <c r="L3975" s="15">
        <v>0</v>
      </c>
    </row>
    <row r="3976" spans="1:12">
      <c r="A3976" s="12"/>
      <c r="E3976" s="14"/>
      <c r="F3976" s="14"/>
      <c r="G3976" s="13">
        <v>0</v>
      </c>
      <c r="H3976" s="13">
        <v>0</v>
      </c>
      <c r="I3976" s="13"/>
      <c r="J3976" s="13"/>
      <c r="K3976" s="13"/>
      <c r="L3976" s="15">
        <v>0</v>
      </c>
    </row>
    <row r="3977" spans="1:12">
      <c r="A3977" s="12"/>
      <c r="E3977" s="14"/>
      <c r="F3977" s="14"/>
      <c r="G3977" s="13">
        <v>0</v>
      </c>
      <c r="H3977" s="13">
        <v>0</v>
      </c>
      <c r="I3977" s="13"/>
      <c r="J3977" s="13"/>
      <c r="K3977" s="13"/>
      <c r="L3977" s="15">
        <v>0</v>
      </c>
    </row>
    <row r="3978" spans="1:12">
      <c r="A3978" s="12"/>
      <c r="E3978" s="14"/>
      <c r="F3978" s="14"/>
      <c r="G3978" s="13">
        <v>0</v>
      </c>
      <c r="H3978" s="13">
        <v>0</v>
      </c>
      <c r="I3978" s="13"/>
      <c r="J3978" s="13"/>
      <c r="K3978" s="13"/>
      <c r="L3978" s="15">
        <v>0</v>
      </c>
    </row>
    <row r="3979" spans="1:12">
      <c r="A3979" s="12"/>
      <c r="E3979" s="14"/>
      <c r="F3979" s="14"/>
      <c r="G3979" s="13">
        <v>0</v>
      </c>
      <c r="H3979" s="13">
        <v>0</v>
      </c>
      <c r="I3979" s="13"/>
      <c r="J3979" s="13"/>
      <c r="K3979" s="13"/>
      <c r="L3979" s="15">
        <v>0</v>
      </c>
    </row>
    <row r="3980" spans="1:12">
      <c r="A3980" s="12"/>
      <c r="E3980" s="14"/>
      <c r="F3980" s="14"/>
      <c r="G3980" s="13">
        <v>0</v>
      </c>
      <c r="H3980" s="13">
        <v>0</v>
      </c>
      <c r="I3980" s="13"/>
      <c r="J3980" s="13"/>
      <c r="K3980" s="13"/>
      <c r="L3980" s="15">
        <v>0</v>
      </c>
    </row>
    <row r="3981" spans="1:12">
      <c r="A3981" s="12"/>
      <c r="E3981" s="14"/>
      <c r="F3981" s="14"/>
      <c r="G3981" s="13">
        <v>0</v>
      </c>
      <c r="H3981" s="13">
        <v>0</v>
      </c>
      <c r="I3981" s="13"/>
      <c r="J3981" s="13"/>
      <c r="K3981" s="13"/>
      <c r="L3981" s="15">
        <v>0</v>
      </c>
    </row>
    <row r="3982" spans="1:12">
      <c r="A3982" s="12"/>
      <c r="E3982" s="14"/>
      <c r="F3982" s="14"/>
      <c r="G3982" s="13">
        <v>0</v>
      </c>
      <c r="H3982" s="13">
        <v>0</v>
      </c>
      <c r="I3982" s="13"/>
      <c r="J3982" s="13"/>
      <c r="K3982" s="13"/>
      <c r="L3982" s="15">
        <v>0</v>
      </c>
    </row>
    <row r="3983" spans="1:12">
      <c r="A3983" s="12"/>
      <c r="E3983" s="14"/>
      <c r="F3983" s="14"/>
      <c r="G3983" s="13">
        <v>0</v>
      </c>
      <c r="H3983" s="13">
        <v>0</v>
      </c>
      <c r="I3983" s="13"/>
      <c r="J3983" s="13"/>
      <c r="K3983" s="13"/>
      <c r="L3983" s="15">
        <v>0</v>
      </c>
    </row>
    <row r="3984" spans="1:12">
      <c r="A3984" s="12"/>
      <c r="E3984" s="14"/>
      <c r="F3984" s="14"/>
      <c r="G3984" s="13">
        <v>0</v>
      </c>
      <c r="H3984" s="13">
        <v>0</v>
      </c>
      <c r="I3984" s="13"/>
      <c r="J3984" s="13"/>
      <c r="K3984" s="13"/>
      <c r="L3984" s="15">
        <v>0</v>
      </c>
    </row>
    <row r="3985" spans="1:12">
      <c r="A3985" s="12"/>
      <c r="E3985" s="14"/>
      <c r="F3985" s="14"/>
      <c r="G3985" s="13">
        <v>0</v>
      </c>
      <c r="H3985" s="13">
        <v>0</v>
      </c>
      <c r="I3985" s="13"/>
      <c r="J3985" s="13"/>
      <c r="K3985" s="13"/>
      <c r="L3985" s="15">
        <v>0</v>
      </c>
    </row>
    <row r="3986" spans="1:12">
      <c r="A3986" s="12"/>
      <c r="E3986" s="14"/>
      <c r="F3986" s="14"/>
      <c r="G3986" s="13">
        <v>0</v>
      </c>
      <c r="H3986" s="13">
        <v>0</v>
      </c>
      <c r="I3986" s="13"/>
      <c r="J3986" s="13"/>
      <c r="K3986" s="13"/>
      <c r="L3986" s="15">
        <v>0</v>
      </c>
    </row>
    <row r="3987" spans="1:12">
      <c r="A3987" s="12"/>
      <c r="E3987" s="14"/>
      <c r="F3987" s="14"/>
      <c r="G3987" s="13">
        <v>0</v>
      </c>
      <c r="H3987" s="13">
        <v>0</v>
      </c>
      <c r="I3987" s="13"/>
      <c r="J3987" s="13"/>
      <c r="K3987" s="13"/>
      <c r="L3987" s="15">
        <v>0</v>
      </c>
    </row>
    <row r="3988" spans="1:12">
      <c r="A3988" s="12"/>
      <c r="E3988" s="14"/>
      <c r="F3988" s="14"/>
      <c r="G3988" s="13">
        <v>0</v>
      </c>
      <c r="H3988" s="13">
        <v>0</v>
      </c>
      <c r="I3988" s="13"/>
      <c r="J3988" s="13"/>
      <c r="K3988" s="13"/>
      <c r="L3988" s="15">
        <v>0</v>
      </c>
    </row>
    <row r="3989" spans="1:12">
      <c r="A3989" s="12"/>
      <c r="E3989" s="14"/>
      <c r="F3989" s="14"/>
      <c r="G3989" s="13">
        <v>0</v>
      </c>
      <c r="H3989" s="13">
        <v>0</v>
      </c>
      <c r="I3989" s="13"/>
      <c r="J3989" s="13"/>
      <c r="K3989" s="13"/>
      <c r="L3989" s="15">
        <v>0</v>
      </c>
    </row>
    <row r="3990" spans="1:12">
      <c r="A3990" s="12"/>
      <c r="E3990" s="14"/>
      <c r="F3990" s="14"/>
      <c r="G3990" s="13">
        <v>0</v>
      </c>
      <c r="H3990" s="13">
        <v>0</v>
      </c>
      <c r="I3990" s="13"/>
      <c r="J3990" s="13"/>
      <c r="K3990" s="13"/>
      <c r="L3990" s="15">
        <v>0</v>
      </c>
    </row>
    <row r="3991" spans="1:12">
      <c r="A3991" s="12"/>
      <c r="E3991" s="14"/>
      <c r="F3991" s="14"/>
      <c r="G3991" s="13">
        <v>0</v>
      </c>
      <c r="H3991" s="13">
        <v>0</v>
      </c>
      <c r="I3991" s="13"/>
      <c r="J3991" s="13"/>
      <c r="K3991" s="13"/>
      <c r="L3991" s="15">
        <v>0</v>
      </c>
    </row>
    <row r="3992" spans="1:12">
      <c r="A3992" s="12"/>
      <c r="E3992" s="14"/>
      <c r="F3992" s="14"/>
      <c r="G3992" s="13">
        <v>0</v>
      </c>
      <c r="H3992" s="13">
        <v>0</v>
      </c>
      <c r="I3992" s="13"/>
      <c r="J3992" s="13"/>
      <c r="K3992" s="13"/>
      <c r="L3992" s="15">
        <v>0</v>
      </c>
    </row>
    <row r="3993" spans="1:12">
      <c r="A3993" s="12"/>
      <c r="E3993" s="14"/>
      <c r="F3993" s="14"/>
      <c r="G3993" s="13">
        <v>0</v>
      </c>
      <c r="H3993" s="13">
        <v>0</v>
      </c>
      <c r="I3993" s="13"/>
      <c r="J3993" s="13"/>
      <c r="K3993" s="13"/>
      <c r="L3993" s="15">
        <v>0</v>
      </c>
    </row>
    <row r="3994" spans="1:12">
      <c r="A3994" s="12"/>
      <c r="E3994" s="14"/>
      <c r="F3994" s="14"/>
      <c r="G3994" s="13">
        <v>0</v>
      </c>
      <c r="H3994" s="13">
        <v>0</v>
      </c>
      <c r="I3994" s="13"/>
      <c r="J3994" s="13"/>
      <c r="K3994" s="13"/>
      <c r="L3994" s="15">
        <v>0</v>
      </c>
    </row>
    <row r="3995" spans="1:12">
      <c r="A3995" s="12"/>
      <c r="E3995" s="14"/>
      <c r="F3995" s="14"/>
      <c r="G3995" s="13">
        <v>0</v>
      </c>
      <c r="H3995" s="13">
        <v>0</v>
      </c>
      <c r="I3995" s="13"/>
      <c r="J3995" s="13"/>
      <c r="K3995" s="13"/>
      <c r="L3995" s="15">
        <v>0</v>
      </c>
    </row>
    <row r="3996" spans="1:12">
      <c r="A3996" s="12"/>
      <c r="E3996" s="14"/>
      <c r="F3996" s="14"/>
      <c r="G3996" s="13">
        <v>0</v>
      </c>
      <c r="H3996" s="13">
        <v>0</v>
      </c>
      <c r="I3996" s="13"/>
      <c r="J3996" s="13"/>
      <c r="K3996" s="13"/>
      <c r="L3996" s="15">
        <v>0</v>
      </c>
    </row>
    <row r="3997" spans="1:12">
      <c r="A3997" s="12"/>
      <c r="E3997" s="14"/>
      <c r="F3997" s="14"/>
      <c r="G3997" s="13">
        <v>0</v>
      </c>
      <c r="H3997" s="13">
        <v>0</v>
      </c>
      <c r="I3997" s="13"/>
      <c r="J3997" s="13"/>
      <c r="K3997" s="13"/>
      <c r="L3997" s="15">
        <v>0</v>
      </c>
    </row>
    <row r="3998" spans="1:12">
      <c r="A3998" s="12"/>
      <c r="E3998" s="14"/>
      <c r="F3998" s="14"/>
      <c r="G3998" s="13">
        <v>0</v>
      </c>
      <c r="H3998" s="13">
        <v>0</v>
      </c>
      <c r="I3998" s="13"/>
      <c r="J3998" s="13"/>
      <c r="K3998" s="13"/>
      <c r="L3998" s="15">
        <v>0</v>
      </c>
    </row>
    <row r="3999" spans="1:12">
      <c r="A3999" s="12"/>
      <c r="E3999" s="14"/>
      <c r="F3999" s="14"/>
      <c r="G3999" s="13">
        <v>0</v>
      </c>
      <c r="H3999" s="13">
        <v>0</v>
      </c>
      <c r="I3999" s="13"/>
      <c r="J3999" s="13"/>
      <c r="K3999" s="13"/>
      <c r="L3999" s="15">
        <v>0</v>
      </c>
    </row>
    <row r="4000" spans="1:12">
      <c r="A4000" s="12"/>
      <c r="E4000" s="14"/>
      <c r="F4000" s="14"/>
      <c r="G4000" s="13">
        <v>0</v>
      </c>
      <c r="H4000" s="13">
        <v>0</v>
      </c>
      <c r="I4000" s="13"/>
      <c r="J4000" s="13"/>
      <c r="K4000" s="13"/>
      <c r="L4000" s="15">
        <v>0</v>
      </c>
    </row>
    <row r="4001" spans="1:12">
      <c r="A4001" s="12"/>
      <c r="E4001" s="14"/>
      <c r="F4001" s="14"/>
      <c r="G4001" s="13">
        <v>0</v>
      </c>
      <c r="H4001" s="13">
        <v>0</v>
      </c>
      <c r="I4001" s="13"/>
      <c r="J4001" s="13"/>
      <c r="K4001" s="13"/>
      <c r="L4001" s="15">
        <v>0</v>
      </c>
    </row>
    <row r="4002" spans="1:12">
      <c r="A4002" s="12"/>
      <c r="E4002" s="14"/>
      <c r="F4002" s="14"/>
      <c r="G4002" s="13">
        <v>0</v>
      </c>
      <c r="H4002" s="13">
        <v>0</v>
      </c>
      <c r="I4002" s="13"/>
      <c r="J4002" s="13"/>
      <c r="K4002" s="13"/>
      <c r="L4002" s="15">
        <v>0</v>
      </c>
    </row>
    <row r="4003" spans="1:12">
      <c r="A4003" s="12"/>
      <c r="E4003" s="14"/>
      <c r="F4003" s="14"/>
      <c r="G4003" s="13">
        <v>0</v>
      </c>
      <c r="H4003" s="13">
        <v>0</v>
      </c>
      <c r="I4003" s="13"/>
      <c r="J4003" s="13"/>
      <c r="K4003" s="13"/>
      <c r="L4003" s="15">
        <v>0</v>
      </c>
    </row>
    <row r="4004" spans="1:12">
      <c r="A4004" s="12"/>
      <c r="E4004" s="14"/>
      <c r="F4004" s="14"/>
      <c r="G4004" s="13">
        <v>0</v>
      </c>
      <c r="H4004" s="13">
        <v>0</v>
      </c>
      <c r="I4004" s="13"/>
      <c r="J4004" s="13"/>
      <c r="K4004" s="13"/>
      <c r="L4004" s="15">
        <v>0</v>
      </c>
    </row>
    <row r="4005" spans="1:12">
      <c r="A4005" s="12"/>
      <c r="E4005" s="14"/>
      <c r="F4005" s="14"/>
      <c r="G4005" s="13">
        <v>0</v>
      </c>
      <c r="H4005" s="13">
        <v>0</v>
      </c>
      <c r="I4005" s="13"/>
      <c r="J4005" s="13"/>
      <c r="K4005" s="13"/>
      <c r="L4005" s="15">
        <v>0</v>
      </c>
    </row>
    <row r="4006" spans="1:12">
      <c r="A4006" s="12"/>
      <c r="E4006" s="14"/>
      <c r="F4006" s="14"/>
      <c r="G4006" s="13">
        <v>0</v>
      </c>
      <c r="H4006" s="13">
        <v>0</v>
      </c>
      <c r="I4006" s="13"/>
      <c r="J4006" s="13"/>
      <c r="K4006" s="13"/>
      <c r="L4006" s="15">
        <v>0</v>
      </c>
    </row>
    <row r="4007" spans="1:12">
      <c r="A4007" s="12"/>
      <c r="E4007" s="14"/>
      <c r="F4007" s="14"/>
      <c r="G4007" s="13">
        <v>0</v>
      </c>
      <c r="H4007" s="13">
        <v>0</v>
      </c>
      <c r="I4007" s="13"/>
      <c r="J4007" s="13"/>
      <c r="K4007" s="13"/>
      <c r="L4007" s="15">
        <v>0</v>
      </c>
    </row>
    <row r="4008" spans="1:12">
      <c r="A4008" s="12"/>
      <c r="E4008" s="14"/>
      <c r="F4008" s="14"/>
      <c r="G4008" s="13">
        <v>0</v>
      </c>
      <c r="H4008" s="13">
        <v>0</v>
      </c>
      <c r="I4008" s="13"/>
      <c r="J4008" s="13"/>
      <c r="K4008" s="13"/>
      <c r="L4008" s="15">
        <v>0</v>
      </c>
    </row>
    <row r="4009" spans="1:12">
      <c r="A4009" s="12"/>
      <c r="E4009" s="14"/>
      <c r="F4009" s="14"/>
      <c r="G4009" s="13">
        <v>0</v>
      </c>
      <c r="H4009" s="13">
        <v>0</v>
      </c>
      <c r="I4009" s="13"/>
      <c r="J4009" s="13"/>
      <c r="K4009" s="13"/>
      <c r="L4009" s="15">
        <v>0</v>
      </c>
    </row>
    <row r="4010" spans="1:12">
      <c r="A4010" s="12"/>
      <c r="E4010" s="14"/>
      <c r="F4010" s="14"/>
      <c r="G4010" s="13">
        <v>0</v>
      </c>
      <c r="H4010" s="13">
        <v>0</v>
      </c>
      <c r="I4010" s="13"/>
      <c r="J4010" s="13"/>
      <c r="K4010" s="13"/>
      <c r="L4010" s="15">
        <v>0</v>
      </c>
    </row>
    <row r="4011" spans="1:12">
      <c r="A4011" s="12"/>
      <c r="E4011" s="14"/>
      <c r="F4011" s="14"/>
      <c r="G4011" s="13">
        <v>0</v>
      </c>
      <c r="H4011" s="13">
        <v>0</v>
      </c>
      <c r="I4011" s="13"/>
      <c r="J4011" s="13"/>
      <c r="K4011" s="13"/>
      <c r="L4011" s="15">
        <v>0</v>
      </c>
    </row>
    <row r="4012" spans="1:12">
      <c r="A4012" s="12"/>
      <c r="E4012" s="14"/>
      <c r="F4012" s="14"/>
      <c r="G4012" s="13">
        <v>0</v>
      </c>
      <c r="H4012" s="13">
        <v>0</v>
      </c>
      <c r="I4012" s="13"/>
      <c r="J4012" s="13"/>
      <c r="K4012" s="13"/>
      <c r="L4012" s="15">
        <v>0</v>
      </c>
    </row>
    <row r="4013" spans="1:12">
      <c r="A4013" s="12"/>
      <c r="E4013" s="14"/>
      <c r="F4013" s="14"/>
      <c r="G4013" s="13">
        <v>0</v>
      </c>
      <c r="H4013" s="13">
        <v>0</v>
      </c>
      <c r="I4013" s="13"/>
      <c r="J4013" s="13"/>
      <c r="K4013" s="13"/>
      <c r="L4013" s="15">
        <v>0</v>
      </c>
    </row>
    <row r="4014" spans="1:12">
      <c r="A4014" s="12"/>
      <c r="E4014" s="14"/>
      <c r="F4014" s="14"/>
      <c r="G4014" s="13">
        <v>0</v>
      </c>
      <c r="H4014" s="13">
        <v>0</v>
      </c>
      <c r="I4014" s="13"/>
      <c r="J4014" s="13"/>
      <c r="K4014" s="13"/>
      <c r="L4014" s="15">
        <v>0</v>
      </c>
    </row>
    <row r="4015" spans="1:12">
      <c r="A4015" s="12"/>
      <c r="E4015" s="14"/>
      <c r="F4015" s="14"/>
      <c r="G4015" s="13">
        <v>0</v>
      </c>
      <c r="H4015" s="13">
        <v>0</v>
      </c>
      <c r="I4015" s="13"/>
      <c r="J4015" s="13"/>
      <c r="K4015" s="13"/>
      <c r="L4015" s="15">
        <v>0</v>
      </c>
    </row>
    <row r="4016" spans="1:12">
      <c r="A4016" s="12"/>
      <c r="E4016" s="14"/>
      <c r="F4016" s="14"/>
      <c r="G4016" s="13">
        <v>0</v>
      </c>
      <c r="H4016" s="13">
        <v>0</v>
      </c>
      <c r="I4016" s="13"/>
      <c r="J4016" s="13"/>
      <c r="K4016" s="13"/>
      <c r="L4016" s="15">
        <v>0</v>
      </c>
    </row>
    <row r="4017" spans="1:12">
      <c r="A4017" s="12"/>
      <c r="E4017" s="14"/>
      <c r="F4017" s="14"/>
      <c r="G4017" s="13">
        <v>0</v>
      </c>
      <c r="H4017" s="13">
        <v>0</v>
      </c>
      <c r="I4017" s="13"/>
      <c r="J4017" s="13"/>
      <c r="K4017" s="13"/>
      <c r="L4017" s="15">
        <v>0</v>
      </c>
    </row>
    <row r="4018" spans="1:12">
      <c r="A4018" s="12"/>
      <c r="E4018" s="14"/>
      <c r="F4018" s="14"/>
      <c r="G4018" s="13">
        <v>0</v>
      </c>
      <c r="H4018" s="13">
        <v>0</v>
      </c>
      <c r="I4018" s="13"/>
      <c r="J4018" s="13"/>
      <c r="K4018" s="13"/>
      <c r="L4018" s="15">
        <v>0</v>
      </c>
    </row>
    <row r="4019" spans="1:12">
      <c r="A4019" s="12"/>
      <c r="E4019" s="14"/>
      <c r="F4019" s="14"/>
      <c r="G4019" s="13">
        <v>0</v>
      </c>
      <c r="H4019" s="13">
        <v>0</v>
      </c>
      <c r="I4019" s="13"/>
      <c r="J4019" s="13"/>
      <c r="K4019" s="13"/>
      <c r="L4019" s="15">
        <v>0</v>
      </c>
    </row>
    <row r="4020" spans="1:12">
      <c r="A4020" s="12"/>
      <c r="E4020" s="14"/>
      <c r="F4020" s="14"/>
      <c r="G4020" s="13">
        <v>0</v>
      </c>
      <c r="H4020" s="13">
        <v>0</v>
      </c>
      <c r="I4020" s="13"/>
      <c r="J4020" s="13"/>
      <c r="K4020" s="13"/>
      <c r="L4020" s="15">
        <v>0</v>
      </c>
    </row>
    <row r="4021" spans="1:12">
      <c r="A4021" s="12"/>
      <c r="E4021" s="14"/>
      <c r="F4021" s="14"/>
      <c r="G4021" s="13">
        <v>0</v>
      </c>
      <c r="H4021" s="13">
        <v>0</v>
      </c>
      <c r="I4021" s="13"/>
      <c r="J4021" s="13"/>
      <c r="K4021" s="13"/>
      <c r="L4021" s="15">
        <v>0</v>
      </c>
    </row>
    <row r="4022" spans="1:12">
      <c r="A4022" s="12"/>
      <c r="E4022" s="14"/>
      <c r="F4022" s="14"/>
      <c r="G4022" s="13">
        <v>0</v>
      </c>
      <c r="H4022" s="13">
        <v>0</v>
      </c>
      <c r="I4022" s="13"/>
      <c r="J4022" s="13"/>
      <c r="K4022" s="13"/>
      <c r="L4022" s="15">
        <v>0</v>
      </c>
    </row>
    <row r="4023" spans="1:12">
      <c r="A4023" s="12"/>
      <c r="E4023" s="14"/>
      <c r="F4023" s="14"/>
      <c r="G4023" s="13">
        <v>0</v>
      </c>
      <c r="H4023" s="13">
        <v>0</v>
      </c>
      <c r="I4023" s="13"/>
      <c r="J4023" s="13"/>
      <c r="K4023" s="13"/>
      <c r="L4023" s="15">
        <v>0</v>
      </c>
    </row>
    <row r="4024" spans="1:12">
      <c r="A4024" s="12"/>
      <c r="E4024" s="14"/>
      <c r="F4024" s="14"/>
      <c r="G4024" s="13">
        <v>0</v>
      </c>
      <c r="H4024" s="13">
        <v>0</v>
      </c>
      <c r="I4024" s="13"/>
      <c r="J4024" s="13"/>
      <c r="K4024" s="13"/>
      <c r="L4024" s="15">
        <v>0</v>
      </c>
    </row>
    <row r="4025" spans="1:12">
      <c r="A4025" s="12"/>
      <c r="E4025" s="14"/>
      <c r="F4025" s="14"/>
      <c r="G4025" s="13">
        <v>0</v>
      </c>
      <c r="H4025" s="13">
        <v>0</v>
      </c>
      <c r="I4025" s="13"/>
      <c r="J4025" s="13"/>
      <c r="K4025" s="13"/>
      <c r="L4025" s="15">
        <v>0</v>
      </c>
    </row>
    <row r="4026" spans="1:12">
      <c r="A4026" s="12"/>
      <c r="E4026" s="14"/>
      <c r="F4026" s="14"/>
      <c r="G4026" s="13">
        <v>0</v>
      </c>
      <c r="H4026" s="13">
        <v>0</v>
      </c>
      <c r="I4026" s="13"/>
      <c r="J4026" s="13"/>
      <c r="K4026" s="13"/>
      <c r="L4026" s="15">
        <v>0</v>
      </c>
    </row>
    <row r="4027" spans="1:12">
      <c r="A4027" s="12"/>
      <c r="E4027" s="14"/>
      <c r="F4027" s="14"/>
      <c r="G4027" s="13">
        <v>0</v>
      </c>
      <c r="H4027" s="13">
        <v>0</v>
      </c>
      <c r="I4027" s="13"/>
      <c r="J4027" s="13"/>
      <c r="K4027" s="13"/>
      <c r="L4027" s="15">
        <v>0</v>
      </c>
    </row>
    <row r="4028" spans="1:12">
      <c r="A4028" s="12"/>
      <c r="E4028" s="14"/>
      <c r="F4028" s="14"/>
      <c r="G4028" s="13">
        <v>0</v>
      </c>
      <c r="H4028" s="13">
        <v>0</v>
      </c>
      <c r="I4028" s="13"/>
      <c r="J4028" s="13"/>
      <c r="K4028" s="13"/>
      <c r="L4028" s="15">
        <v>0</v>
      </c>
    </row>
    <row r="4029" spans="1:12">
      <c r="A4029" s="12"/>
      <c r="E4029" s="14"/>
      <c r="F4029" s="14"/>
      <c r="G4029" s="13">
        <v>0</v>
      </c>
      <c r="H4029" s="13">
        <v>0</v>
      </c>
      <c r="I4029" s="13"/>
      <c r="J4029" s="13"/>
      <c r="K4029" s="13"/>
      <c r="L4029" s="15">
        <v>0</v>
      </c>
    </row>
    <row r="4030" spans="1:12">
      <c r="A4030" s="12"/>
      <c r="E4030" s="14"/>
      <c r="F4030" s="14"/>
      <c r="G4030" s="13">
        <v>0</v>
      </c>
      <c r="H4030" s="13">
        <v>0</v>
      </c>
      <c r="I4030" s="13"/>
      <c r="J4030" s="13"/>
      <c r="K4030" s="13"/>
      <c r="L4030" s="15">
        <v>0</v>
      </c>
    </row>
    <row r="4031" spans="1:12">
      <c r="A4031" s="12"/>
      <c r="E4031" s="14"/>
      <c r="F4031" s="14"/>
      <c r="G4031" s="13">
        <v>0</v>
      </c>
      <c r="H4031" s="13">
        <v>0</v>
      </c>
      <c r="I4031" s="13"/>
      <c r="J4031" s="13"/>
      <c r="K4031" s="13"/>
      <c r="L4031" s="15">
        <v>0</v>
      </c>
    </row>
    <row r="4032" spans="1:12">
      <c r="A4032" s="12"/>
      <c r="E4032" s="14"/>
      <c r="F4032" s="14"/>
      <c r="G4032" s="13">
        <v>0</v>
      </c>
      <c r="H4032" s="13">
        <v>0</v>
      </c>
      <c r="I4032" s="13"/>
      <c r="J4032" s="13"/>
      <c r="K4032" s="13"/>
      <c r="L4032" s="15">
        <v>0</v>
      </c>
    </row>
    <row r="4033" spans="1:12">
      <c r="A4033" s="12"/>
      <c r="E4033" s="14"/>
      <c r="F4033" s="14"/>
      <c r="G4033" s="13">
        <v>0</v>
      </c>
      <c r="H4033" s="13">
        <v>0</v>
      </c>
      <c r="I4033" s="13"/>
      <c r="J4033" s="13"/>
      <c r="K4033" s="13"/>
      <c r="L4033" s="15">
        <v>0</v>
      </c>
    </row>
    <row r="4034" spans="1:12">
      <c r="A4034" s="12"/>
      <c r="E4034" s="14"/>
      <c r="F4034" s="14"/>
      <c r="G4034" s="13">
        <v>0</v>
      </c>
      <c r="H4034" s="13">
        <v>0</v>
      </c>
      <c r="I4034" s="13"/>
      <c r="J4034" s="13"/>
      <c r="K4034" s="13"/>
      <c r="L4034" s="15">
        <v>0</v>
      </c>
    </row>
    <row r="4035" spans="1:12">
      <c r="A4035" s="12"/>
      <c r="E4035" s="14"/>
      <c r="F4035" s="14"/>
      <c r="G4035" s="13">
        <v>0</v>
      </c>
      <c r="H4035" s="13">
        <v>0</v>
      </c>
      <c r="I4035" s="13"/>
      <c r="J4035" s="13"/>
      <c r="K4035" s="13"/>
      <c r="L4035" s="15">
        <v>0</v>
      </c>
    </row>
    <row r="4036" spans="1:12">
      <c r="A4036" s="12"/>
      <c r="E4036" s="14"/>
      <c r="F4036" s="14"/>
      <c r="G4036" s="13">
        <v>0</v>
      </c>
      <c r="H4036" s="13">
        <v>0</v>
      </c>
      <c r="I4036" s="13"/>
      <c r="J4036" s="13"/>
      <c r="K4036" s="13"/>
      <c r="L4036" s="15">
        <v>0</v>
      </c>
    </row>
    <row r="4037" spans="1:12">
      <c r="A4037" s="12"/>
      <c r="E4037" s="14"/>
      <c r="F4037" s="14"/>
      <c r="G4037" s="13">
        <v>0</v>
      </c>
      <c r="H4037" s="13">
        <v>0</v>
      </c>
      <c r="I4037" s="13"/>
      <c r="J4037" s="13"/>
      <c r="K4037" s="13"/>
      <c r="L4037" s="15">
        <v>0</v>
      </c>
    </row>
    <row r="4038" spans="1:12">
      <c r="A4038" s="12"/>
      <c r="E4038" s="14"/>
      <c r="F4038" s="14"/>
      <c r="G4038" s="13">
        <v>0</v>
      </c>
      <c r="H4038" s="13">
        <v>0</v>
      </c>
      <c r="I4038" s="13"/>
      <c r="J4038" s="13"/>
      <c r="K4038" s="13"/>
      <c r="L4038" s="15">
        <v>0</v>
      </c>
    </row>
    <row r="4039" spans="1:12">
      <c r="A4039" s="12"/>
      <c r="E4039" s="14"/>
      <c r="F4039" s="14"/>
      <c r="G4039" s="13">
        <v>0</v>
      </c>
      <c r="H4039" s="13">
        <v>0</v>
      </c>
      <c r="I4039" s="13"/>
      <c r="J4039" s="13"/>
      <c r="K4039" s="13"/>
      <c r="L4039" s="15">
        <v>0</v>
      </c>
    </row>
    <row r="4040" spans="1:12">
      <c r="A4040" s="12"/>
      <c r="E4040" s="14"/>
      <c r="F4040" s="14"/>
      <c r="G4040" s="13">
        <v>0</v>
      </c>
      <c r="H4040" s="13">
        <v>0</v>
      </c>
      <c r="I4040" s="13"/>
      <c r="J4040" s="13"/>
      <c r="K4040" s="13"/>
      <c r="L4040" s="15">
        <v>0</v>
      </c>
    </row>
    <row r="4041" spans="1:12">
      <c r="A4041" s="12"/>
      <c r="E4041" s="14"/>
      <c r="F4041" s="14"/>
      <c r="G4041" s="13">
        <v>0</v>
      </c>
      <c r="H4041" s="13">
        <v>0</v>
      </c>
      <c r="I4041" s="13"/>
      <c r="J4041" s="13"/>
      <c r="K4041" s="13"/>
      <c r="L4041" s="15">
        <v>0</v>
      </c>
    </row>
    <row r="4042" spans="1:12">
      <c r="A4042" s="12"/>
      <c r="E4042" s="14"/>
      <c r="F4042" s="14"/>
      <c r="G4042" s="13">
        <v>0</v>
      </c>
      <c r="H4042" s="13">
        <v>0</v>
      </c>
      <c r="I4042" s="13"/>
      <c r="J4042" s="13"/>
      <c r="K4042" s="13"/>
      <c r="L4042" s="15">
        <v>0</v>
      </c>
    </row>
    <row r="4043" spans="1:12">
      <c r="A4043" s="12"/>
      <c r="E4043" s="14"/>
      <c r="F4043" s="14"/>
      <c r="G4043" s="13">
        <v>0</v>
      </c>
      <c r="H4043" s="13">
        <v>0</v>
      </c>
      <c r="I4043" s="13"/>
      <c r="J4043" s="13"/>
      <c r="K4043" s="13"/>
      <c r="L4043" s="15">
        <v>0</v>
      </c>
    </row>
    <row r="4044" spans="1:12">
      <c r="A4044" s="12"/>
      <c r="E4044" s="14"/>
      <c r="F4044" s="14"/>
      <c r="G4044" s="13">
        <v>0</v>
      </c>
      <c r="H4044" s="13">
        <v>0</v>
      </c>
      <c r="I4044" s="13"/>
      <c r="J4044" s="13"/>
      <c r="K4044" s="13"/>
      <c r="L4044" s="15">
        <v>0</v>
      </c>
    </row>
    <row r="4045" spans="1:12">
      <c r="A4045" s="12"/>
      <c r="E4045" s="14"/>
      <c r="F4045" s="14"/>
      <c r="G4045" s="13">
        <v>0</v>
      </c>
      <c r="H4045" s="13">
        <v>0</v>
      </c>
      <c r="I4045" s="13"/>
      <c r="J4045" s="13"/>
      <c r="K4045" s="13"/>
      <c r="L4045" s="15">
        <v>0</v>
      </c>
    </row>
    <row r="4046" spans="1:12">
      <c r="A4046" s="12"/>
      <c r="E4046" s="14"/>
      <c r="F4046" s="14"/>
      <c r="G4046" s="13">
        <v>0</v>
      </c>
      <c r="H4046" s="13">
        <v>0</v>
      </c>
      <c r="I4046" s="13"/>
      <c r="J4046" s="13"/>
      <c r="K4046" s="13"/>
      <c r="L4046" s="15">
        <v>0</v>
      </c>
    </row>
    <row r="4047" spans="1:12">
      <c r="A4047" s="12"/>
      <c r="E4047" s="14"/>
      <c r="F4047" s="14"/>
      <c r="G4047" s="13">
        <v>0</v>
      </c>
      <c r="H4047" s="13">
        <v>0</v>
      </c>
      <c r="I4047" s="13"/>
      <c r="J4047" s="13"/>
      <c r="K4047" s="13"/>
      <c r="L4047" s="15">
        <v>0</v>
      </c>
    </row>
    <row r="4048" spans="1:12">
      <c r="A4048" s="12"/>
      <c r="E4048" s="14"/>
      <c r="F4048" s="14"/>
      <c r="G4048" s="13">
        <v>0</v>
      </c>
      <c r="H4048" s="13">
        <v>0</v>
      </c>
      <c r="I4048" s="13"/>
      <c r="J4048" s="13"/>
      <c r="K4048" s="13"/>
      <c r="L4048" s="15">
        <v>0</v>
      </c>
    </row>
    <row r="4049" spans="1:12">
      <c r="A4049" s="12"/>
      <c r="E4049" s="14"/>
      <c r="F4049" s="14"/>
      <c r="G4049" s="13">
        <v>0</v>
      </c>
      <c r="H4049" s="13">
        <v>0</v>
      </c>
      <c r="I4049" s="13"/>
      <c r="J4049" s="13"/>
      <c r="K4049" s="13"/>
      <c r="L4049" s="15">
        <v>0</v>
      </c>
    </row>
    <row r="4050" spans="1:12">
      <c r="A4050" s="12"/>
      <c r="E4050" s="14"/>
      <c r="F4050" s="14"/>
      <c r="G4050" s="13">
        <v>0</v>
      </c>
      <c r="H4050" s="13">
        <v>0</v>
      </c>
      <c r="I4050" s="13"/>
      <c r="J4050" s="13"/>
      <c r="K4050" s="13"/>
      <c r="L4050" s="15">
        <v>0</v>
      </c>
    </row>
    <row r="4051" spans="1:12">
      <c r="A4051" s="12"/>
      <c r="E4051" s="14"/>
      <c r="F4051" s="14"/>
      <c r="G4051" s="13">
        <v>0</v>
      </c>
      <c r="H4051" s="13">
        <v>0</v>
      </c>
      <c r="I4051" s="13"/>
      <c r="J4051" s="13"/>
      <c r="K4051" s="13"/>
      <c r="L4051" s="15">
        <v>0</v>
      </c>
    </row>
    <row r="4052" spans="1:12">
      <c r="A4052" s="12"/>
      <c r="E4052" s="14"/>
      <c r="F4052" s="14"/>
      <c r="G4052" s="13">
        <v>0</v>
      </c>
      <c r="H4052" s="13">
        <v>0</v>
      </c>
      <c r="I4052" s="13"/>
      <c r="J4052" s="13"/>
      <c r="K4052" s="13"/>
      <c r="L4052" s="15">
        <v>0</v>
      </c>
    </row>
    <row r="4053" spans="1:12">
      <c r="A4053" s="12"/>
      <c r="E4053" s="14"/>
      <c r="F4053" s="14"/>
      <c r="G4053" s="13">
        <v>0</v>
      </c>
      <c r="H4053" s="13">
        <v>0</v>
      </c>
      <c r="I4053" s="13"/>
      <c r="J4053" s="13"/>
      <c r="K4053" s="13"/>
      <c r="L4053" s="15">
        <v>0</v>
      </c>
    </row>
    <row r="4054" spans="1:12">
      <c r="A4054" s="12"/>
      <c r="E4054" s="14"/>
      <c r="F4054" s="14"/>
      <c r="G4054" s="13">
        <v>0</v>
      </c>
      <c r="H4054" s="13">
        <v>0</v>
      </c>
      <c r="I4054" s="13"/>
      <c r="J4054" s="13"/>
      <c r="K4054" s="13"/>
      <c r="L4054" s="15">
        <v>0</v>
      </c>
    </row>
    <row r="4055" spans="1:12">
      <c r="A4055" s="12"/>
      <c r="E4055" s="14"/>
      <c r="F4055" s="14"/>
      <c r="G4055" s="13">
        <v>0</v>
      </c>
      <c r="H4055" s="13">
        <v>0</v>
      </c>
      <c r="I4055" s="13"/>
      <c r="J4055" s="13"/>
      <c r="K4055" s="13"/>
      <c r="L4055" s="15">
        <v>0</v>
      </c>
    </row>
    <row r="4056" spans="1:12">
      <c r="A4056" s="12"/>
      <c r="E4056" s="14"/>
      <c r="F4056" s="14"/>
      <c r="G4056" s="13">
        <v>0</v>
      </c>
      <c r="H4056" s="13">
        <v>0</v>
      </c>
      <c r="I4056" s="13"/>
      <c r="J4056" s="13"/>
      <c r="K4056" s="13"/>
      <c r="L4056" s="15">
        <v>0</v>
      </c>
    </row>
    <row r="4057" spans="1:12">
      <c r="A4057" s="12"/>
      <c r="E4057" s="14"/>
      <c r="F4057" s="14"/>
      <c r="G4057" s="13">
        <v>0</v>
      </c>
      <c r="H4057" s="13">
        <v>0</v>
      </c>
      <c r="I4057" s="13"/>
      <c r="J4057" s="13"/>
      <c r="K4057" s="13"/>
      <c r="L4057" s="15">
        <v>0</v>
      </c>
    </row>
    <row r="4058" spans="1:12">
      <c r="A4058" s="12"/>
      <c r="E4058" s="14"/>
      <c r="F4058" s="14"/>
      <c r="G4058" s="13">
        <v>0</v>
      </c>
      <c r="H4058" s="13">
        <v>0</v>
      </c>
      <c r="I4058" s="13"/>
      <c r="J4058" s="13"/>
      <c r="K4058" s="13"/>
      <c r="L4058" s="15">
        <v>0</v>
      </c>
    </row>
    <row r="4059" spans="1:12">
      <c r="A4059" s="12"/>
      <c r="E4059" s="14"/>
      <c r="F4059" s="14"/>
      <c r="G4059" s="13">
        <v>0</v>
      </c>
      <c r="H4059" s="13">
        <v>0</v>
      </c>
      <c r="I4059" s="13"/>
      <c r="J4059" s="13"/>
      <c r="K4059" s="13"/>
      <c r="L4059" s="15">
        <v>0</v>
      </c>
    </row>
    <row r="4060" spans="1:12">
      <c r="A4060" s="12"/>
      <c r="E4060" s="14"/>
      <c r="F4060" s="14"/>
      <c r="G4060" s="13">
        <v>0</v>
      </c>
      <c r="H4060" s="13">
        <v>0</v>
      </c>
      <c r="I4060" s="13"/>
      <c r="J4060" s="13"/>
      <c r="K4060" s="13"/>
      <c r="L4060" s="15">
        <v>0</v>
      </c>
    </row>
    <row r="4061" spans="1:12">
      <c r="A4061" s="12"/>
      <c r="E4061" s="14"/>
      <c r="F4061" s="14"/>
      <c r="G4061" s="13">
        <v>0</v>
      </c>
      <c r="H4061" s="13">
        <v>0</v>
      </c>
      <c r="I4061" s="13"/>
      <c r="J4061" s="13"/>
      <c r="K4061" s="13"/>
      <c r="L4061" s="15">
        <v>0</v>
      </c>
    </row>
    <row r="4062" spans="1:12">
      <c r="A4062" s="12"/>
      <c r="E4062" s="14"/>
      <c r="F4062" s="14"/>
      <c r="G4062" s="13">
        <v>0</v>
      </c>
      <c r="H4062" s="13">
        <v>0</v>
      </c>
      <c r="I4062" s="13"/>
      <c r="J4062" s="13"/>
      <c r="K4062" s="13"/>
      <c r="L4062" s="15">
        <v>0</v>
      </c>
    </row>
    <row r="4063" spans="1:12">
      <c r="A4063" s="12"/>
      <c r="E4063" s="14"/>
      <c r="F4063" s="14"/>
      <c r="G4063" s="13">
        <v>0</v>
      </c>
      <c r="H4063" s="13">
        <v>0</v>
      </c>
      <c r="I4063" s="13"/>
      <c r="J4063" s="13"/>
      <c r="K4063" s="13"/>
      <c r="L4063" s="15">
        <v>0</v>
      </c>
    </row>
    <row r="4064" spans="1:12">
      <c r="A4064" s="12"/>
      <c r="E4064" s="14"/>
      <c r="F4064" s="14"/>
      <c r="G4064" s="13">
        <v>0</v>
      </c>
      <c r="H4064" s="13">
        <v>0</v>
      </c>
      <c r="I4064" s="13"/>
      <c r="J4064" s="13"/>
      <c r="K4064" s="13"/>
      <c r="L4064" s="15">
        <v>0</v>
      </c>
    </row>
    <row r="4065" spans="1:12">
      <c r="A4065" s="12"/>
      <c r="E4065" s="14"/>
      <c r="F4065" s="14"/>
      <c r="G4065" s="13">
        <v>0</v>
      </c>
      <c r="H4065" s="13">
        <v>0</v>
      </c>
      <c r="I4065" s="13"/>
      <c r="J4065" s="13"/>
      <c r="K4065" s="13"/>
      <c r="L4065" s="15">
        <v>0</v>
      </c>
    </row>
    <row r="4066" spans="1:12">
      <c r="A4066" s="12"/>
      <c r="E4066" s="14"/>
      <c r="F4066" s="14"/>
      <c r="G4066" s="13">
        <v>0</v>
      </c>
      <c r="H4066" s="13">
        <v>0</v>
      </c>
      <c r="I4066" s="13"/>
      <c r="J4066" s="13"/>
      <c r="K4066" s="13"/>
      <c r="L4066" s="15">
        <v>0</v>
      </c>
    </row>
    <row r="4067" spans="1:12">
      <c r="A4067" s="12"/>
      <c r="E4067" s="14"/>
      <c r="F4067" s="14"/>
      <c r="G4067" s="13">
        <v>0</v>
      </c>
      <c r="H4067" s="13">
        <v>0</v>
      </c>
      <c r="I4067" s="13"/>
      <c r="J4067" s="13"/>
      <c r="K4067" s="13"/>
      <c r="L4067" s="15">
        <v>0</v>
      </c>
    </row>
    <row r="4068" spans="1:12">
      <c r="A4068" s="12"/>
      <c r="E4068" s="14"/>
      <c r="F4068" s="14"/>
      <c r="G4068" s="13">
        <v>0</v>
      </c>
      <c r="H4068" s="13">
        <v>0</v>
      </c>
      <c r="I4068" s="13"/>
      <c r="J4068" s="13"/>
      <c r="K4068" s="13"/>
      <c r="L4068" s="15">
        <v>0</v>
      </c>
    </row>
    <row r="4069" spans="1:12">
      <c r="A4069" s="12"/>
      <c r="E4069" s="14"/>
      <c r="F4069" s="14"/>
      <c r="G4069" s="13">
        <v>0</v>
      </c>
      <c r="H4069" s="13">
        <v>0</v>
      </c>
      <c r="I4069" s="13"/>
      <c r="J4069" s="13"/>
      <c r="K4069" s="13"/>
      <c r="L4069" s="15">
        <v>0</v>
      </c>
    </row>
    <row r="4070" spans="1:12">
      <c r="A4070" s="12"/>
      <c r="E4070" s="14"/>
      <c r="F4070" s="14"/>
      <c r="G4070" s="13">
        <v>0</v>
      </c>
      <c r="H4070" s="13">
        <v>0</v>
      </c>
      <c r="I4070" s="13"/>
      <c r="J4070" s="13"/>
      <c r="K4070" s="13"/>
      <c r="L4070" s="15">
        <v>0</v>
      </c>
    </row>
    <row r="4071" spans="1:12">
      <c r="A4071" s="12"/>
      <c r="E4071" s="14"/>
      <c r="F4071" s="14"/>
      <c r="G4071" s="13">
        <v>0</v>
      </c>
      <c r="H4071" s="13">
        <v>0</v>
      </c>
      <c r="I4071" s="13"/>
      <c r="J4071" s="13"/>
      <c r="K4071" s="13"/>
      <c r="L4071" s="15">
        <v>0</v>
      </c>
    </row>
    <row r="4072" spans="1:12">
      <c r="A4072" s="12"/>
      <c r="E4072" s="14"/>
      <c r="F4072" s="14"/>
      <c r="G4072" s="13">
        <v>0</v>
      </c>
      <c r="H4072" s="13">
        <v>0</v>
      </c>
      <c r="I4072" s="13"/>
      <c r="J4072" s="13"/>
      <c r="K4072" s="13"/>
      <c r="L4072" s="15">
        <v>0</v>
      </c>
    </row>
    <row r="4073" spans="1:12">
      <c r="A4073" s="12"/>
      <c r="E4073" s="14"/>
      <c r="F4073" s="14"/>
      <c r="G4073" s="13">
        <v>0</v>
      </c>
      <c r="H4073" s="13">
        <v>0</v>
      </c>
      <c r="I4073" s="13"/>
      <c r="J4073" s="13"/>
      <c r="K4073" s="13"/>
      <c r="L4073" s="15">
        <v>0</v>
      </c>
    </row>
    <row r="4074" spans="1:12">
      <c r="A4074" s="12"/>
      <c r="E4074" s="14"/>
      <c r="F4074" s="14"/>
      <c r="G4074" s="13">
        <v>0</v>
      </c>
      <c r="H4074" s="13">
        <v>0</v>
      </c>
      <c r="I4074" s="13"/>
      <c r="J4074" s="13"/>
      <c r="K4074" s="13"/>
      <c r="L4074" s="15">
        <v>0</v>
      </c>
    </row>
    <row r="4075" spans="1:12">
      <c r="A4075" s="12"/>
      <c r="E4075" s="14"/>
      <c r="F4075" s="14"/>
      <c r="G4075" s="13">
        <v>0</v>
      </c>
      <c r="H4075" s="13">
        <v>0</v>
      </c>
      <c r="I4075" s="13"/>
      <c r="J4075" s="13"/>
      <c r="K4075" s="13"/>
      <c r="L4075" s="15">
        <v>0</v>
      </c>
    </row>
    <row r="4076" spans="1:12">
      <c r="A4076" s="12"/>
      <c r="E4076" s="14"/>
      <c r="F4076" s="14"/>
      <c r="G4076" s="13">
        <v>0</v>
      </c>
      <c r="H4076" s="13">
        <v>0</v>
      </c>
      <c r="I4076" s="13"/>
      <c r="J4076" s="13"/>
      <c r="K4076" s="13"/>
      <c r="L4076" s="15">
        <v>0</v>
      </c>
    </row>
    <row r="4077" spans="1:12">
      <c r="A4077" s="12"/>
      <c r="E4077" s="14"/>
      <c r="F4077" s="14"/>
      <c r="G4077" s="13">
        <v>0</v>
      </c>
      <c r="H4077" s="13">
        <v>0</v>
      </c>
      <c r="I4077" s="13"/>
      <c r="J4077" s="13"/>
      <c r="K4077" s="13"/>
      <c r="L4077" s="15">
        <v>0</v>
      </c>
    </row>
    <row r="4078" spans="1:12">
      <c r="A4078" s="12"/>
      <c r="E4078" s="14"/>
      <c r="F4078" s="14"/>
      <c r="G4078" s="13">
        <v>0</v>
      </c>
      <c r="H4078" s="13">
        <v>0</v>
      </c>
      <c r="I4078" s="13"/>
      <c r="J4078" s="13"/>
      <c r="K4078" s="13"/>
      <c r="L4078" s="15">
        <v>0</v>
      </c>
    </row>
    <row r="4079" spans="1:12">
      <c r="A4079" s="12"/>
      <c r="E4079" s="14"/>
      <c r="F4079" s="14"/>
      <c r="G4079" s="13">
        <v>0</v>
      </c>
      <c r="H4079" s="13">
        <v>0</v>
      </c>
      <c r="I4079" s="13"/>
      <c r="J4079" s="13"/>
      <c r="K4079" s="13"/>
      <c r="L4079" s="15">
        <v>0</v>
      </c>
    </row>
    <row r="4080" spans="1:12">
      <c r="A4080" s="12"/>
      <c r="E4080" s="14"/>
      <c r="F4080" s="14"/>
      <c r="G4080" s="13">
        <v>0</v>
      </c>
      <c r="H4080" s="13">
        <v>0</v>
      </c>
      <c r="I4080" s="13"/>
      <c r="J4080" s="13"/>
      <c r="K4080" s="13"/>
      <c r="L4080" s="15">
        <v>0</v>
      </c>
    </row>
    <row r="4081" spans="1:12">
      <c r="A4081" s="12"/>
      <c r="E4081" s="14"/>
      <c r="F4081" s="14"/>
      <c r="G4081" s="13">
        <v>0</v>
      </c>
      <c r="H4081" s="13">
        <v>0</v>
      </c>
      <c r="I4081" s="13"/>
      <c r="J4081" s="13"/>
      <c r="K4081" s="13"/>
      <c r="L4081" s="15">
        <v>0</v>
      </c>
    </row>
    <row r="4082" spans="1:12">
      <c r="A4082" s="12"/>
      <c r="E4082" s="14"/>
      <c r="F4082" s="14"/>
      <c r="G4082" s="13">
        <v>0</v>
      </c>
      <c r="H4082" s="13">
        <v>0</v>
      </c>
      <c r="I4082" s="13"/>
      <c r="J4082" s="13"/>
      <c r="K4082" s="13"/>
      <c r="L4082" s="15">
        <v>0</v>
      </c>
    </row>
    <row r="4083" spans="1:12">
      <c r="A4083" s="12"/>
      <c r="E4083" s="14"/>
      <c r="F4083" s="14"/>
      <c r="G4083" s="13">
        <v>0</v>
      </c>
      <c r="H4083" s="13">
        <v>0</v>
      </c>
      <c r="I4083" s="13"/>
      <c r="J4083" s="13"/>
      <c r="K4083" s="13"/>
      <c r="L4083" s="15">
        <v>0</v>
      </c>
    </row>
    <row r="4084" spans="1:12">
      <c r="A4084" s="12"/>
      <c r="E4084" s="14"/>
      <c r="F4084" s="14"/>
      <c r="G4084" s="13">
        <v>0</v>
      </c>
      <c r="H4084" s="13">
        <v>0</v>
      </c>
      <c r="I4084" s="13"/>
      <c r="J4084" s="13"/>
      <c r="K4084" s="13"/>
      <c r="L4084" s="15">
        <v>0</v>
      </c>
    </row>
    <row r="4085" spans="1:12">
      <c r="A4085" s="12"/>
      <c r="E4085" s="14"/>
      <c r="F4085" s="14"/>
      <c r="G4085" s="13">
        <v>0</v>
      </c>
      <c r="H4085" s="13">
        <v>0</v>
      </c>
      <c r="I4085" s="13"/>
      <c r="J4085" s="13"/>
      <c r="K4085" s="13"/>
      <c r="L4085" s="15">
        <v>0</v>
      </c>
    </row>
    <row r="4086" spans="1:12">
      <c r="A4086" s="12"/>
      <c r="E4086" s="14"/>
      <c r="F4086" s="14"/>
      <c r="G4086" s="13">
        <v>0</v>
      </c>
      <c r="H4086" s="13">
        <v>0</v>
      </c>
      <c r="I4086" s="13"/>
      <c r="J4086" s="13"/>
      <c r="K4086" s="13"/>
      <c r="L4086" s="15">
        <v>0</v>
      </c>
    </row>
    <row r="4087" spans="1:12">
      <c r="A4087" s="12"/>
      <c r="E4087" s="14"/>
      <c r="F4087" s="14"/>
      <c r="G4087" s="13">
        <v>0</v>
      </c>
      <c r="H4087" s="13">
        <v>0</v>
      </c>
      <c r="I4087" s="13"/>
      <c r="J4087" s="13"/>
      <c r="K4087" s="13"/>
      <c r="L4087" s="15">
        <v>0</v>
      </c>
    </row>
    <row r="4088" spans="1:12">
      <c r="A4088" s="12"/>
      <c r="E4088" s="14"/>
      <c r="F4088" s="14"/>
      <c r="G4088" s="13">
        <v>0</v>
      </c>
      <c r="H4088" s="13">
        <v>0</v>
      </c>
      <c r="I4088" s="13"/>
      <c r="J4088" s="13"/>
      <c r="K4088" s="13"/>
      <c r="L4088" s="15">
        <v>0</v>
      </c>
    </row>
    <row r="4089" spans="1:12">
      <c r="A4089" s="12"/>
      <c r="E4089" s="14"/>
      <c r="F4089" s="14"/>
      <c r="G4089" s="13">
        <v>0</v>
      </c>
      <c r="H4089" s="13">
        <v>0</v>
      </c>
      <c r="I4089" s="13"/>
      <c r="J4089" s="13"/>
      <c r="K4089" s="13"/>
      <c r="L4089" s="15">
        <v>0</v>
      </c>
    </row>
    <row r="4090" spans="1:12">
      <c r="A4090" s="12"/>
      <c r="E4090" s="14"/>
      <c r="F4090" s="14"/>
      <c r="G4090" s="13">
        <v>0</v>
      </c>
      <c r="H4090" s="13">
        <v>0</v>
      </c>
      <c r="I4090" s="13"/>
      <c r="J4090" s="13"/>
      <c r="K4090" s="13"/>
      <c r="L4090" s="15">
        <v>0</v>
      </c>
    </row>
    <row r="4091" spans="1:12">
      <c r="A4091" s="12"/>
      <c r="E4091" s="14"/>
      <c r="F4091" s="14"/>
      <c r="G4091" s="13">
        <v>0</v>
      </c>
      <c r="H4091" s="13">
        <v>0</v>
      </c>
      <c r="I4091" s="13"/>
      <c r="J4091" s="13"/>
      <c r="K4091" s="13"/>
      <c r="L4091" s="15">
        <v>0</v>
      </c>
    </row>
    <row r="4092" spans="1:12">
      <c r="A4092" s="12"/>
      <c r="E4092" s="14"/>
      <c r="F4092" s="14"/>
      <c r="G4092" s="13">
        <v>0</v>
      </c>
      <c r="H4092" s="13">
        <v>0</v>
      </c>
      <c r="I4092" s="13"/>
      <c r="J4092" s="13"/>
      <c r="K4092" s="13"/>
      <c r="L4092" s="15">
        <v>0</v>
      </c>
    </row>
    <row r="4093" spans="1:12">
      <c r="A4093" s="12"/>
      <c r="E4093" s="14"/>
      <c r="F4093" s="14"/>
      <c r="G4093" s="13">
        <v>0</v>
      </c>
      <c r="H4093" s="13">
        <v>0</v>
      </c>
      <c r="I4093" s="13"/>
      <c r="J4093" s="13"/>
      <c r="K4093" s="13"/>
      <c r="L4093" s="15">
        <v>0</v>
      </c>
    </row>
    <row r="4094" spans="1:12">
      <c r="A4094" s="12"/>
      <c r="E4094" s="14"/>
      <c r="F4094" s="14"/>
      <c r="G4094" s="13">
        <v>0</v>
      </c>
      <c r="H4094" s="13">
        <v>0</v>
      </c>
      <c r="I4094" s="13"/>
      <c r="J4094" s="13"/>
      <c r="K4094" s="13"/>
      <c r="L4094" s="15">
        <v>0</v>
      </c>
    </row>
    <row r="4095" spans="1:12">
      <c r="A4095" s="12"/>
      <c r="E4095" s="14"/>
      <c r="F4095" s="14"/>
      <c r="G4095" s="13">
        <v>0</v>
      </c>
      <c r="H4095" s="13">
        <v>0</v>
      </c>
      <c r="I4095" s="13"/>
      <c r="J4095" s="13"/>
      <c r="K4095" s="13"/>
      <c r="L4095" s="15">
        <v>0</v>
      </c>
    </row>
    <row r="4096" spans="1:12">
      <c r="A4096" s="12"/>
      <c r="E4096" s="14"/>
      <c r="F4096" s="14"/>
      <c r="G4096" s="13">
        <v>0</v>
      </c>
      <c r="H4096" s="13">
        <v>0</v>
      </c>
      <c r="I4096" s="13"/>
      <c r="J4096" s="13"/>
      <c r="K4096" s="13"/>
      <c r="L4096" s="15">
        <v>0</v>
      </c>
    </row>
    <row r="4097" spans="1:12">
      <c r="A4097" s="12"/>
      <c r="E4097" s="14"/>
      <c r="F4097" s="14"/>
      <c r="G4097" s="13">
        <v>0</v>
      </c>
      <c r="H4097" s="13">
        <v>0</v>
      </c>
      <c r="I4097" s="13"/>
      <c r="J4097" s="13"/>
      <c r="K4097" s="13"/>
      <c r="L4097" s="15">
        <v>0</v>
      </c>
    </row>
    <row r="4098" spans="1:12">
      <c r="A4098" s="12"/>
      <c r="E4098" s="14"/>
      <c r="F4098" s="14"/>
      <c r="G4098" s="13">
        <v>0</v>
      </c>
      <c r="H4098" s="13">
        <v>0</v>
      </c>
      <c r="I4098" s="13"/>
      <c r="J4098" s="13"/>
      <c r="K4098" s="13"/>
      <c r="L4098" s="15">
        <v>0</v>
      </c>
    </row>
    <row r="4099" spans="1:12">
      <c r="A4099" s="12"/>
      <c r="E4099" s="14"/>
      <c r="F4099" s="14"/>
      <c r="G4099" s="13">
        <v>0</v>
      </c>
      <c r="H4099" s="13">
        <v>0</v>
      </c>
      <c r="I4099" s="13"/>
      <c r="J4099" s="13"/>
      <c r="K4099" s="13"/>
      <c r="L4099" s="15">
        <v>0</v>
      </c>
    </row>
    <row r="4100" spans="1:12">
      <c r="A4100" s="12"/>
      <c r="E4100" s="14"/>
      <c r="F4100" s="14"/>
      <c r="G4100" s="13">
        <v>0</v>
      </c>
      <c r="H4100" s="13">
        <v>0</v>
      </c>
      <c r="I4100" s="13"/>
      <c r="J4100" s="13"/>
      <c r="K4100" s="13"/>
      <c r="L4100" s="15">
        <v>0</v>
      </c>
    </row>
    <row r="4101" spans="1:12">
      <c r="A4101" s="12"/>
      <c r="E4101" s="14"/>
      <c r="F4101" s="14"/>
      <c r="G4101" s="13">
        <v>0</v>
      </c>
      <c r="H4101" s="13">
        <v>0</v>
      </c>
      <c r="I4101" s="13"/>
      <c r="J4101" s="13"/>
      <c r="K4101" s="13"/>
      <c r="L4101" s="15">
        <v>0</v>
      </c>
    </row>
    <row r="4102" spans="1:12">
      <c r="A4102" s="12"/>
      <c r="E4102" s="14"/>
      <c r="F4102" s="14"/>
      <c r="G4102" s="13">
        <v>0</v>
      </c>
      <c r="H4102" s="13">
        <v>0</v>
      </c>
      <c r="I4102" s="13"/>
      <c r="J4102" s="13"/>
      <c r="K4102" s="13"/>
      <c r="L4102" s="15">
        <v>0</v>
      </c>
    </row>
    <row r="4103" spans="1:12">
      <c r="A4103" s="12"/>
      <c r="E4103" s="14"/>
      <c r="F4103" s="14"/>
      <c r="G4103" s="13">
        <v>0</v>
      </c>
      <c r="H4103" s="13">
        <v>0</v>
      </c>
      <c r="I4103" s="13"/>
      <c r="J4103" s="13"/>
      <c r="K4103" s="13"/>
      <c r="L4103" s="15">
        <v>0</v>
      </c>
    </row>
    <row r="4104" spans="1:12">
      <c r="A4104" s="12"/>
      <c r="E4104" s="14"/>
      <c r="F4104" s="14"/>
      <c r="G4104" s="13">
        <v>0</v>
      </c>
      <c r="H4104" s="13">
        <v>0</v>
      </c>
      <c r="I4104" s="13"/>
      <c r="J4104" s="13"/>
      <c r="K4104" s="13"/>
      <c r="L4104" s="15">
        <v>0</v>
      </c>
    </row>
    <row r="4105" spans="1:12">
      <c r="A4105" s="12"/>
      <c r="E4105" s="14"/>
      <c r="F4105" s="14"/>
      <c r="G4105" s="13">
        <v>0</v>
      </c>
      <c r="H4105" s="13">
        <v>0</v>
      </c>
      <c r="I4105" s="13"/>
      <c r="J4105" s="13"/>
      <c r="K4105" s="13"/>
      <c r="L4105" s="15">
        <v>0</v>
      </c>
    </row>
    <row r="4106" spans="1:12">
      <c r="A4106" s="12"/>
      <c r="E4106" s="14"/>
      <c r="F4106" s="14"/>
      <c r="G4106" s="13">
        <v>0</v>
      </c>
      <c r="H4106" s="13">
        <v>0</v>
      </c>
      <c r="I4106" s="13"/>
      <c r="J4106" s="13"/>
      <c r="K4106" s="13"/>
      <c r="L4106" s="15">
        <v>0</v>
      </c>
    </row>
    <row r="4107" spans="1:12">
      <c r="A4107" s="12"/>
      <c r="E4107" s="14"/>
      <c r="F4107" s="14"/>
      <c r="G4107" s="13">
        <v>0</v>
      </c>
      <c r="H4107" s="13">
        <v>0</v>
      </c>
      <c r="I4107" s="13"/>
      <c r="J4107" s="13"/>
      <c r="K4107" s="13"/>
      <c r="L4107" s="15">
        <v>0</v>
      </c>
    </row>
    <row r="4108" spans="1:12">
      <c r="A4108" s="12"/>
      <c r="E4108" s="14"/>
      <c r="F4108" s="14"/>
      <c r="G4108" s="13">
        <v>0</v>
      </c>
      <c r="H4108" s="13">
        <v>0</v>
      </c>
      <c r="I4108" s="13"/>
      <c r="J4108" s="13"/>
      <c r="K4108" s="13"/>
      <c r="L4108" s="15">
        <v>0</v>
      </c>
    </row>
    <row r="4109" spans="1:12">
      <c r="A4109" s="12"/>
      <c r="E4109" s="14"/>
      <c r="F4109" s="14"/>
      <c r="G4109" s="13">
        <v>0</v>
      </c>
      <c r="H4109" s="13">
        <v>0</v>
      </c>
      <c r="I4109" s="13"/>
      <c r="J4109" s="13"/>
      <c r="K4109" s="13"/>
      <c r="L4109" s="15">
        <v>0</v>
      </c>
    </row>
    <row r="4110" spans="1:12">
      <c r="A4110" s="12"/>
      <c r="E4110" s="14"/>
      <c r="F4110" s="14"/>
      <c r="G4110" s="13">
        <v>0</v>
      </c>
      <c r="H4110" s="13">
        <v>0</v>
      </c>
      <c r="I4110" s="13"/>
      <c r="J4110" s="13"/>
      <c r="K4110" s="13"/>
      <c r="L4110" s="15">
        <v>0</v>
      </c>
    </row>
    <row r="4111" spans="1:12">
      <c r="A4111" s="12"/>
      <c r="E4111" s="14"/>
      <c r="F4111" s="14"/>
      <c r="G4111" s="13">
        <v>0</v>
      </c>
      <c r="H4111" s="13">
        <v>0</v>
      </c>
      <c r="I4111" s="13"/>
      <c r="J4111" s="13"/>
      <c r="K4111" s="13"/>
      <c r="L4111" s="15">
        <v>0</v>
      </c>
    </row>
    <row r="4112" spans="1:12">
      <c r="A4112" s="12"/>
      <c r="E4112" s="14"/>
      <c r="F4112" s="14"/>
      <c r="G4112" s="13">
        <v>0</v>
      </c>
      <c r="H4112" s="13">
        <v>0</v>
      </c>
      <c r="I4112" s="13"/>
      <c r="J4112" s="13"/>
      <c r="K4112" s="13"/>
      <c r="L4112" s="15">
        <v>0</v>
      </c>
    </row>
    <row r="4113" spans="1:12">
      <c r="A4113" s="12"/>
      <c r="E4113" s="14"/>
      <c r="F4113" s="14"/>
      <c r="G4113" s="13">
        <v>0</v>
      </c>
      <c r="H4113" s="13">
        <v>0</v>
      </c>
      <c r="I4113" s="13"/>
      <c r="J4113" s="13"/>
      <c r="K4113" s="13"/>
      <c r="L4113" s="15">
        <v>0</v>
      </c>
    </row>
    <row r="4114" spans="1:12">
      <c r="A4114" s="12"/>
      <c r="E4114" s="14"/>
      <c r="F4114" s="14"/>
      <c r="G4114" s="13">
        <v>0</v>
      </c>
      <c r="H4114" s="13">
        <v>0</v>
      </c>
      <c r="I4114" s="13"/>
      <c r="J4114" s="13"/>
      <c r="K4114" s="13"/>
      <c r="L4114" s="15">
        <v>0</v>
      </c>
    </row>
    <row r="4115" spans="1:12">
      <c r="A4115" s="12"/>
      <c r="E4115" s="14"/>
      <c r="F4115" s="14"/>
      <c r="G4115" s="13">
        <v>0</v>
      </c>
      <c r="H4115" s="13">
        <v>0</v>
      </c>
      <c r="I4115" s="13"/>
      <c r="J4115" s="13"/>
      <c r="K4115" s="13"/>
      <c r="L4115" s="15">
        <v>0</v>
      </c>
    </row>
    <row r="4116" spans="1:12">
      <c r="A4116" s="12"/>
      <c r="E4116" s="14"/>
      <c r="F4116" s="14"/>
      <c r="G4116" s="13">
        <v>0</v>
      </c>
      <c r="H4116" s="13">
        <v>0</v>
      </c>
      <c r="I4116" s="13"/>
      <c r="J4116" s="13"/>
      <c r="K4116" s="13"/>
      <c r="L4116" s="15">
        <v>0</v>
      </c>
    </row>
    <row r="4117" spans="1:12">
      <c r="A4117" s="12"/>
      <c r="E4117" s="14"/>
      <c r="F4117" s="14"/>
      <c r="G4117" s="13">
        <v>0</v>
      </c>
      <c r="H4117" s="13">
        <v>0</v>
      </c>
      <c r="I4117" s="13"/>
      <c r="J4117" s="13"/>
      <c r="K4117" s="13"/>
      <c r="L4117" s="15">
        <v>0</v>
      </c>
    </row>
    <row r="4118" spans="1:12">
      <c r="A4118" s="12"/>
      <c r="E4118" s="14"/>
      <c r="F4118" s="14"/>
      <c r="G4118" s="13">
        <v>0</v>
      </c>
      <c r="H4118" s="13">
        <v>0</v>
      </c>
      <c r="I4118" s="13"/>
      <c r="J4118" s="13"/>
      <c r="K4118" s="13"/>
      <c r="L4118" s="15">
        <v>0</v>
      </c>
    </row>
    <row r="4119" spans="1:12">
      <c r="A4119" s="12"/>
      <c r="E4119" s="14"/>
      <c r="F4119" s="14"/>
      <c r="G4119" s="13">
        <v>0</v>
      </c>
      <c r="H4119" s="13">
        <v>0</v>
      </c>
      <c r="I4119" s="13"/>
      <c r="J4119" s="13"/>
      <c r="K4119" s="13"/>
      <c r="L4119" s="15">
        <v>0</v>
      </c>
    </row>
    <row r="4120" spans="1:12">
      <c r="A4120" s="12"/>
      <c r="E4120" s="14"/>
      <c r="F4120" s="14"/>
      <c r="G4120" s="13">
        <v>0</v>
      </c>
      <c r="H4120" s="13">
        <v>0</v>
      </c>
      <c r="I4120" s="13"/>
      <c r="J4120" s="13"/>
      <c r="K4120" s="13"/>
      <c r="L4120" s="15">
        <v>0</v>
      </c>
    </row>
    <row r="4121" spans="1:12">
      <c r="A4121" s="12"/>
      <c r="E4121" s="14"/>
      <c r="F4121" s="14"/>
      <c r="G4121" s="13">
        <v>0</v>
      </c>
      <c r="H4121" s="13">
        <v>0</v>
      </c>
      <c r="I4121" s="13"/>
      <c r="J4121" s="13"/>
      <c r="K4121" s="13"/>
      <c r="L4121" s="15">
        <v>0</v>
      </c>
    </row>
    <row r="4122" spans="1:12">
      <c r="A4122" s="12"/>
      <c r="E4122" s="14"/>
      <c r="F4122" s="14"/>
      <c r="G4122" s="13">
        <v>0</v>
      </c>
      <c r="H4122" s="13">
        <v>0</v>
      </c>
      <c r="I4122" s="13"/>
      <c r="J4122" s="13"/>
      <c r="K4122" s="13"/>
      <c r="L4122" s="15">
        <v>0</v>
      </c>
    </row>
    <row r="4123" spans="1:12">
      <c r="A4123" s="12"/>
      <c r="E4123" s="14"/>
      <c r="F4123" s="14"/>
      <c r="G4123" s="13">
        <v>0</v>
      </c>
      <c r="H4123" s="13">
        <v>0</v>
      </c>
      <c r="I4123" s="13"/>
      <c r="J4123" s="13"/>
      <c r="K4123" s="13"/>
      <c r="L4123" s="15">
        <v>0</v>
      </c>
    </row>
    <row r="4124" spans="1:12">
      <c r="A4124" s="12"/>
      <c r="E4124" s="14"/>
      <c r="F4124" s="14"/>
      <c r="G4124" s="13">
        <v>0</v>
      </c>
      <c r="H4124" s="13">
        <v>0</v>
      </c>
      <c r="I4124" s="13"/>
      <c r="J4124" s="13"/>
      <c r="K4124" s="13"/>
      <c r="L4124" s="15">
        <v>0</v>
      </c>
    </row>
    <row r="4125" spans="1:12">
      <c r="A4125" s="12"/>
      <c r="E4125" s="14"/>
      <c r="F4125" s="14"/>
      <c r="G4125" s="13">
        <v>0</v>
      </c>
      <c r="H4125" s="13">
        <v>0</v>
      </c>
      <c r="I4125" s="13"/>
      <c r="J4125" s="13"/>
      <c r="K4125" s="13"/>
      <c r="L4125" s="15">
        <v>0</v>
      </c>
    </row>
    <row r="4126" spans="1:12">
      <c r="A4126" s="12"/>
      <c r="E4126" s="14"/>
      <c r="F4126" s="14"/>
      <c r="G4126" s="13">
        <v>0</v>
      </c>
      <c r="H4126" s="13">
        <v>0</v>
      </c>
      <c r="I4126" s="13"/>
      <c r="J4126" s="13"/>
      <c r="K4126" s="13"/>
      <c r="L4126" s="15">
        <v>0</v>
      </c>
    </row>
    <row r="4127" spans="1:12">
      <c r="A4127" s="12"/>
      <c r="E4127" s="14"/>
      <c r="F4127" s="14"/>
      <c r="G4127" s="13">
        <v>0</v>
      </c>
      <c r="H4127" s="13">
        <v>0</v>
      </c>
      <c r="I4127" s="13"/>
      <c r="J4127" s="13"/>
      <c r="K4127" s="13"/>
      <c r="L4127" s="15">
        <v>0</v>
      </c>
    </row>
    <row r="4128" spans="1:12">
      <c r="A4128" s="12"/>
      <c r="E4128" s="14"/>
      <c r="F4128" s="14"/>
      <c r="G4128" s="13">
        <v>0</v>
      </c>
      <c r="H4128" s="13">
        <v>0</v>
      </c>
      <c r="I4128" s="13"/>
      <c r="J4128" s="13"/>
      <c r="K4128" s="13"/>
      <c r="L4128" s="15">
        <v>0</v>
      </c>
    </row>
    <row r="4129" spans="1:12">
      <c r="A4129" s="12"/>
      <c r="E4129" s="14"/>
      <c r="F4129" s="14"/>
      <c r="G4129" s="13">
        <v>0</v>
      </c>
      <c r="H4129" s="13">
        <v>0</v>
      </c>
      <c r="I4129" s="13"/>
      <c r="J4129" s="13"/>
      <c r="K4129" s="13"/>
      <c r="L4129" s="15">
        <v>0</v>
      </c>
    </row>
    <row r="4130" spans="1:12">
      <c r="A4130" s="12"/>
      <c r="E4130" s="14"/>
      <c r="F4130" s="14"/>
      <c r="G4130" s="13">
        <v>0</v>
      </c>
      <c r="H4130" s="13">
        <v>0</v>
      </c>
      <c r="I4130" s="13"/>
      <c r="J4130" s="13"/>
      <c r="K4130" s="13"/>
      <c r="L4130" s="15">
        <v>0</v>
      </c>
    </row>
    <row r="4131" spans="1:12">
      <c r="A4131" s="12"/>
      <c r="E4131" s="14"/>
      <c r="F4131" s="14"/>
      <c r="G4131" s="13">
        <v>0</v>
      </c>
      <c r="H4131" s="13">
        <v>0</v>
      </c>
      <c r="I4131" s="13"/>
      <c r="J4131" s="13"/>
      <c r="K4131" s="13"/>
      <c r="L4131" s="15">
        <v>0</v>
      </c>
    </row>
    <row r="4132" spans="1:12">
      <c r="A4132" s="12"/>
      <c r="E4132" s="14"/>
      <c r="F4132" s="14"/>
      <c r="G4132" s="13">
        <v>0</v>
      </c>
      <c r="H4132" s="13">
        <v>0</v>
      </c>
      <c r="I4132" s="13"/>
      <c r="J4132" s="13"/>
      <c r="K4132" s="13"/>
      <c r="L4132" s="15">
        <v>0</v>
      </c>
    </row>
    <row r="4133" spans="1:12">
      <c r="A4133" s="12"/>
      <c r="E4133" s="14"/>
      <c r="F4133" s="14"/>
      <c r="G4133" s="13">
        <v>0</v>
      </c>
      <c r="H4133" s="13">
        <v>0</v>
      </c>
      <c r="I4133" s="13"/>
      <c r="J4133" s="13"/>
      <c r="K4133" s="13"/>
      <c r="L4133" s="15">
        <v>0</v>
      </c>
    </row>
    <row r="4134" spans="1:12">
      <c r="A4134" s="12"/>
      <c r="E4134" s="14"/>
      <c r="F4134" s="14"/>
      <c r="G4134" s="13">
        <v>0</v>
      </c>
      <c r="H4134" s="13">
        <v>0</v>
      </c>
      <c r="I4134" s="13"/>
      <c r="J4134" s="13"/>
      <c r="K4134" s="13"/>
      <c r="L4134" s="15">
        <v>0</v>
      </c>
    </row>
    <row r="4135" spans="1:12">
      <c r="A4135" s="12"/>
      <c r="E4135" s="14"/>
      <c r="F4135" s="14"/>
      <c r="G4135" s="13">
        <v>0</v>
      </c>
      <c r="H4135" s="13">
        <v>0</v>
      </c>
      <c r="I4135" s="13"/>
      <c r="J4135" s="13"/>
      <c r="K4135" s="13"/>
      <c r="L4135" s="15">
        <v>0</v>
      </c>
    </row>
    <row r="4136" spans="1:12">
      <c r="A4136" s="12"/>
      <c r="E4136" s="14"/>
      <c r="F4136" s="14"/>
      <c r="G4136" s="13">
        <v>0</v>
      </c>
      <c r="H4136" s="13">
        <v>0</v>
      </c>
      <c r="I4136" s="13"/>
      <c r="J4136" s="13"/>
      <c r="K4136" s="13"/>
      <c r="L4136" s="15">
        <v>0</v>
      </c>
    </row>
    <row r="4137" spans="1:12">
      <c r="A4137" s="12"/>
      <c r="E4137" s="14"/>
      <c r="F4137" s="14"/>
      <c r="G4137" s="13">
        <v>0</v>
      </c>
      <c r="H4137" s="13">
        <v>0</v>
      </c>
      <c r="I4137" s="13"/>
      <c r="J4137" s="13"/>
      <c r="K4137" s="13"/>
      <c r="L4137" s="15">
        <v>0</v>
      </c>
    </row>
    <row r="4138" spans="1:12">
      <c r="A4138" s="12"/>
      <c r="E4138" s="14"/>
      <c r="F4138" s="14"/>
      <c r="G4138" s="13">
        <v>0</v>
      </c>
      <c r="H4138" s="13">
        <v>0</v>
      </c>
      <c r="I4138" s="13"/>
      <c r="J4138" s="13"/>
      <c r="K4138" s="13"/>
      <c r="L4138" s="15">
        <v>0</v>
      </c>
    </row>
    <row r="4139" spans="1:12">
      <c r="A4139" s="12"/>
      <c r="E4139" s="14"/>
      <c r="F4139" s="14"/>
      <c r="G4139" s="13">
        <v>0</v>
      </c>
      <c r="H4139" s="13">
        <v>0</v>
      </c>
      <c r="I4139" s="13"/>
      <c r="J4139" s="13"/>
      <c r="K4139" s="13"/>
      <c r="L4139" s="15">
        <v>0</v>
      </c>
    </row>
    <row r="4140" spans="1:12">
      <c r="A4140" s="12"/>
      <c r="E4140" s="14"/>
      <c r="F4140" s="14"/>
      <c r="G4140" s="13">
        <v>0</v>
      </c>
      <c r="H4140" s="13">
        <v>0</v>
      </c>
      <c r="I4140" s="13"/>
      <c r="J4140" s="13"/>
      <c r="K4140" s="13"/>
      <c r="L4140" s="15">
        <v>0</v>
      </c>
    </row>
    <row r="4141" spans="1:12">
      <c r="A4141" s="12"/>
      <c r="E4141" s="14"/>
      <c r="F4141" s="14"/>
      <c r="G4141" s="13">
        <v>0</v>
      </c>
      <c r="H4141" s="13">
        <v>0</v>
      </c>
      <c r="I4141" s="13"/>
      <c r="J4141" s="13"/>
      <c r="K4141" s="13"/>
      <c r="L4141" s="15">
        <v>0</v>
      </c>
    </row>
    <row r="4142" spans="1:12">
      <c r="A4142" s="12"/>
      <c r="E4142" s="14"/>
      <c r="F4142" s="14"/>
      <c r="G4142" s="13">
        <v>0</v>
      </c>
      <c r="H4142" s="13">
        <v>0</v>
      </c>
      <c r="I4142" s="13"/>
      <c r="J4142" s="13"/>
      <c r="K4142" s="13"/>
      <c r="L4142" s="15">
        <v>0</v>
      </c>
    </row>
    <row r="4143" spans="1:12">
      <c r="A4143" s="12"/>
      <c r="E4143" s="14"/>
      <c r="F4143" s="14"/>
      <c r="G4143" s="13">
        <v>0</v>
      </c>
      <c r="H4143" s="13">
        <v>0</v>
      </c>
      <c r="I4143" s="13"/>
      <c r="J4143" s="13"/>
      <c r="K4143" s="13"/>
      <c r="L4143" s="15">
        <v>0</v>
      </c>
    </row>
    <row r="4144" spans="1:12">
      <c r="A4144" s="12"/>
      <c r="E4144" s="14"/>
      <c r="F4144" s="14"/>
      <c r="G4144" s="13">
        <v>0</v>
      </c>
      <c r="H4144" s="13">
        <v>0</v>
      </c>
      <c r="I4144" s="13"/>
      <c r="J4144" s="13"/>
      <c r="K4144" s="13"/>
      <c r="L4144" s="15">
        <v>0</v>
      </c>
    </row>
    <row r="4145" spans="1:12">
      <c r="A4145" s="12"/>
      <c r="E4145" s="14"/>
      <c r="F4145" s="14"/>
      <c r="G4145" s="13">
        <v>0</v>
      </c>
      <c r="H4145" s="13">
        <v>0</v>
      </c>
      <c r="I4145" s="13"/>
      <c r="J4145" s="13"/>
      <c r="K4145" s="13"/>
      <c r="L4145" s="15">
        <v>0</v>
      </c>
    </row>
    <row r="4146" spans="1:12">
      <c r="A4146" s="12"/>
      <c r="E4146" s="14"/>
      <c r="F4146" s="14"/>
      <c r="G4146" s="13">
        <v>0</v>
      </c>
      <c r="H4146" s="13">
        <v>0</v>
      </c>
      <c r="I4146" s="13"/>
      <c r="J4146" s="13"/>
      <c r="K4146" s="13"/>
      <c r="L4146" s="15">
        <v>0</v>
      </c>
    </row>
    <row r="4147" spans="1:12">
      <c r="A4147" s="12"/>
      <c r="E4147" s="14"/>
      <c r="F4147" s="14"/>
      <c r="G4147" s="13">
        <v>0</v>
      </c>
      <c r="H4147" s="13">
        <v>0</v>
      </c>
      <c r="I4147" s="13"/>
      <c r="J4147" s="13"/>
      <c r="K4147" s="13"/>
      <c r="L4147" s="15">
        <v>0</v>
      </c>
    </row>
    <row r="4148" spans="1:12">
      <c r="A4148" s="12"/>
      <c r="E4148" s="14"/>
      <c r="F4148" s="14"/>
      <c r="G4148" s="13">
        <v>0</v>
      </c>
      <c r="H4148" s="13">
        <v>0</v>
      </c>
      <c r="I4148" s="13"/>
      <c r="J4148" s="13"/>
      <c r="K4148" s="13"/>
      <c r="L4148" s="15">
        <v>0</v>
      </c>
    </row>
    <row r="4149" spans="1:12">
      <c r="A4149" s="12"/>
      <c r="E4149" s="14"/>
      <c r="F4149" s="14"/>
      <c r="G4149" s="13">
        <v>0</v>
      </c>
      <c r="H4149" s="13">
        <v>0</v>
      </c>
      <c r="I4149" s="13"/>
      <c r="J4149" s="13"/>
      <c r="K4149" s="13"/>
      <c r="L4149" s="15">
        <v>0</v>
      </c>
    </row>
    <row r="4150" spans="1:12">
      <c r="A4150" s="12"/>
      <c r="E4150" s="14"/>
      <c r="F4150" s="14"/>
      <c r="G4150" s="13">
        <v>0</v>
      </c>
      <c r="H4150" s="13">
        <v>0</v>
      </c>
      <c r="I4150" s="13"/>
      <c r="J4150" s="13"/>
      <c r="K4150" s="13"/>
      <c r="L4150" s="15">
        <v>0</v>
      </c>
    </row>
    <row r="4151" spans="1:12">
      <c r="A4151" s="12"/>
      <c r="E4151" s="14"/>
      <c r="F4151" s="14"/>
      <c r="G4151" s="13">
        <v>0</v>
      </c>
      <c r="H4151" s="13">
        <v>0</v>
      </c>
      <c r="I4151" s="13"/>
      <c r="J4151" s="13"/>
      <c r="K4151" s="13"/>
      <c r="L4151" s="15">
        <v>0</v>
      </c>
    </row>
    <row r="4152" spans="1:12">
      <c r="A4152" s="12"/>
      <c r="E4152" s="14"/>
      <c r="F4152" s="14"/>
      <c r="G4152" s="13">
        <v>0</v>
      </c>
      <c r="H4152" s="13">
        <v>0</v>
      </c>
      <c r="I4152" s="13"/>
      <c r="J4152" s="13"/>
      <c r="K4152" s="13"/>
      <c r="L4152" s="15">
        <v>0</v>
      </c>
    </row>
    <row r="4153" spans="1:12">
      <c r="A4153" s="12"/>
      <c r="E4153" s="14"/>
      <c r="F4153" s="14"/>
      <c r="G4153" s="13">
        <v>0</v>
      </c>
      <c r="H4153" s="13">
        <v>0</v>
      </c>
      <c r="I4153" s="13"/>
      <c r="J4153" s="13"/>
      <c r="K4153" s="13"/>
      <c r="L4153" s="15">
        <v>0</v>
      </c>
    </row>
    <row r="4154" spans="1:12">
      <c r="A4154" s="12"/>
      <c r="E4154" s="14"/>
      <c r="F4154" s="14"/>
      <c r="G4154" s="13">
        <v>0</v>
      </c>
      <c r="H4154" s="13">
        <v>0</v>
      </c>
      <c r="I4154" s="13"/>
      <c r="J4154" s="13"/>
      <c r="K4154" s="13"/>
      <c r="L4154" s="15">
        <v>0</v>
      </c>
    </row>
    <row r="4155" spans="1:12">
      <c r="A4155" s="12"/>
      <c r="E4155" s="14"/>
      <c r="F4155" s="14"/>
      <c r="G4155" s="13">
        <v>0</v>
      </c>
      <c r="H4155" s="13">
        <v>0</v>
      </c>
      <c r="I4155" s="13"/>
      <c r="J4155" s="13"/>
      <c r="K4155" s="13"/>
      <c r="L4155" s="15">
        <v>0</v>
      </c>
    </row>
    <row r="4156" spans="1:12">
      <c r="A4156" s="12"/>
      <c r="E4156" s="14"/>
      <c r="F4156" s="14"/>
      <c r="G4156" s="13">
        <v>0</v>
      </c>
      <c r="H4156" s="13">
        <v>0</v>
      </c>
      <c r="I4156" s="13"/>
      <c r="J4156" s="13"/>
      <c r="K4156" s="13"/>
      <c r="L4156" s="15">
        <v>0</v>
      </c>
    </row>
    <row r="4157" spans="1:12">
      <c r="A4157" s="12"/>
      <c r="E4157" s="14"/>
      <c r="F4157" s="14"/>
      <c r="G4157" s="13">
        <v>0</v>
      </c>
      <c r="H4157" s="13">
        <v>0</v>
      </c>
      <c r="I4157" s="13"/>
      <c r="J4157" s="13"/>
      <c r="K4157" s="13"/>
      <c r="L4157" s="15">
        <v>0</v>
      </c>
    </row>
    <row r="4158" spans="1:12">
      <c r="A4158" s="12"/>
      <c r="E4158" s="14"/>
      <c r="F4158" s="14"/>
      <c r="G4158" s="13">
        <v>0</v>
      </c>
      <c r="H4158" s="13">
        <v>0</v>
      </c>
      <c r="I4158" s="13"/>
      <c r="J4158" s="13"/>
      <c r="K4158" s="13"/>
      <c r="L4158" s="15">
        <v>0</v>
      </c>
    </row>
    <row r="4159" spans="1:12">
      <c r="A4159" s="12"/>
      <c r="E4159" s="14"/>
      <c r="F4159" s="14"/>
      <c r="G4159" s="13">
        <v>0</v>
      </c>
      <c r="H4159" s="13">
        <v>0</v>
      </c>
      <c r="I4159" s="13"/>
      <c r="J4159" s="13"/>
      <c r="K4159" s="13"/>
      <c r="L4159" s="15">
        <v>0</v>
      </c>
    </row>
    <row r="4160" spans="1:12">
      <c r="A4160" s="12"/>
      <c r="E4160" s="14"/>
      <c r="F4160" s="14"/>
      <c r="G4160" s="13">
        <v>0</v>
      </c>
      <c r="H4160" s="13">
        <v>0</v>
      </c>
      <c r="I4160" s="13"/>
      <c r="J4160" s="13"/>
      <c r="K4160" s="13"/>
      <c r="L4160" s="15">
        <v>0</v>
      </c>
    </row>
    <row r="4161" spans="1:12">
      <c r="A4161" s="12"/>
      <c r="E4161" s="14"/>
      <c r="F4161" s="14"/>
      <c r="G4161" s="13">
        <v>0</v>
      </c>
      <c r="H4161" s="13">
        <v>0</v>
      </c>
      <c r="I4161" s="13"/>
      <c r="J4161" s="13"/>
      <c r="K4161" s="13"/>
      <c r="L4161" s="15">
        <v>0</v>
      </c>
    </row>
    <row r="4162" spans="1:12">
      <c r="A4162" s="12"/>
      <c r="E4162" s="14"/>
      <c r="F4162" s="14"/>
      <c r="G4162" s="13">
        <v>0</v>
      </c>
      <c r="H4162" s="13">
        <v>0</v>
      </c>
      <c r="I4162" s="13"/>
      <c r="J4162" s="13"/>
      <c r="K4162" s="13"/>
      <c r="L4162" s="15">
        <v>0</v>
      </c>
    </row>
    <row r="4163" spans="1:12">
      <c r="A4163" s="12"/>
      <c r="E4163" s="14"/>
      <c r="F4163" s="14"/>
      <c r="G4163" s="13">
        <v>0</v>
      </c>
      <c r="H4163" s="13">
        <v>0</v>
      </c>
      <c r="I4163" s="13"/>
      <c r="J4163" s="13"/>
      <c r="K4163" s="13"/>
      <c r="L4163" s="15">
        <v>0</v>
      </c>
    </row>
    <row r="4164" spans="1:12">
      <c r="A4164" s="12"/>
      <c r="E4164" s="14"/>
      <c r="F4164" s="14"/>
      <c r="G4164" s="13">
        <v>0</v>
      </c>
      <c r="H4164" s="13">
        <v>0</v>
      </c>
      <c r="I4164" s="13"/>
      <c r="J4164" s="13"/>
      <c r="K4164" s="13"/>
      <c r="L4164" s="15">
        <v>0</v>
      </c>
    </row>
    <row r="4165" spans="1:12">
      <c r="A4165" s="12"/>
      <c r="E4165" s="14"/>
      <c r="F4165" s="14"/>
      <c r="G4165" s="13">
        <v>0</v>
      </c>
      <c r="H4165" s="13">
        <v>0</v>
      </c>
      <c r="I4165" s="13"/>
      <c r="J4165" s="13"/>
      <c r="K4165" s="13"/>
      <c r="L4165" s="15">
        <v>0</v>
      </c>
    </row>
    <row r="4166" spans="1:12">
      <c r="A4166" s="12"/>
      <c r="E4166" s="14"/>
      <c r="F4166" s="14"/>
      <c r="G4166" s="13">
        <v>0</v>
      </c>
      <c r="H4166" s="13">
        <v>0</v>
      </c>
      <c r="I4166" s="13"/>
      <c r="J4166" s="13"/>
      <c r="K4166" s="13"/>
      <c r="L4166" s="15">
        <v>0</v>
      </c>
    </row>
    <row r="4167" spans="1:12">
      <c r="A4167" s="12"/>
      <c r="E4167" s="14"/>
      <c r="F4167" s="14"/>
      <c r="G4167" s="13">
        <v>0</v>
      </c>
      <c r="H4167" s="13">
        <v>0</v>
      </c>
      <c r="I4167" s="13"/>
      <c r="J4167" s="13"/>
      <c r="K4167" s="13"/>
      <c r="L4167" s="15">
        <v>0</v>
      </c>
    </row>
    <row r="4168" spans="1:12">
      <c r="A4168" s="12"/>
      <c r="E4168" s="14"/>
      <c r="F4168" s="14"/>
      <c r="G4168" s="13">
        <v>0</v>
      </c>
      <c r="H4168" s="13">
        <v>0</v>
      </c>
      <c r="I4168" s="13"/>
      <c r="J4168" s="13"/>
      <c r="K4168" s="13"/>
      <c r="L4168" s="15">
        <v>0</v>
      </c>
    </row>
    <row r="4169" spans="1:12">
      <c r="A4169" s="12"/>
      <c r="E4169" s="14"/>
      <c r="F4169" s="14"/>
      <c r="G4169" s="13">
        <v>0</v>
      </c>
      <c r="H4169" s="13">
        <v>0</v>
      </c>
      <c r="I4169" s="13"/>
      <c r="J4169" s="13"/>
      <c r="K4169" s="13"/>
      <c r="L4169" s="15">
        <v>0</v>
      </c>
    </row>
    <row r="4170" spans="1:12">
      <c r="A4170" s="12"/>
      <c r="E4170" s="14"/>
      <c r="F4170" s="14"/>
      <c r="G4170" s="13">
        <v>0</v>
      </c>
      <c r="H4170" s="13">
        <v>0</v>
      </c>
      <c r="I4170" s="13"/>
      <c r="J4170" s="13"/>
      <c r="K4170" s="13"/>
      <c r="L4170" s="15">
        <v>0</v>
      </c>
    </row>
    <row r="4171" spans="1:12">
      <c r="A4171" s="12"/>
      <c r="E4171" s="14"/>
      <c r="F4171" s="14"/>
      <c r="G4171" s="13">
        <v>0</v>
      </c>
      <c r="H4171" s="13">
        <v>0</v>
      </c>
      <c r="I4171" s="13"/>
      <c r="J4171" s="13"/>
      <c r="K4171" s="13"/>
      <c r="L4171" s="15">
        <v>0</v>
      </c>
    </row>
    <row r="4172" spans="1:12">
      <c r="A4172" s="12"/>
      <c r="E4172" s="14"/>
      <c r="F4172" s="14"/>
      <c r="G4172" s="13">
        <v>0</v>
      </c>
      <c r="H4172" s="13">
        <v>0</v>
      </c>
      <c r="I4172" s="13"/>
      <c r="J4172" s="13"/>
      <c r="K4172" s="13"/>
      <c r="L4172" s="15">
        <v>0</v>
      </c>
    </row>
    <row r="4173" spans="1:12">
      <c r="A4173" s="12"/>
      <c r="E4173" s="14"/>
      <c r="F4173" s="14"/>
      <c r="G4173" s="13">
        <v>0</v>
      </c>
      <c r="H4173" s="13">
        <v>0</v>
      </c>
      <c r="I4173" s="13"/>
      <c r="J4173" s="13"/>
      <c r="K4173" s="13"/>
      <c r="L4173" s="15">
        <v>0</v>
      </c>
    </row>
    <row r="4174" spans="1:12">
      <c r="A4174" s="12"/>
      <c r="E4174" s="14"/>
      <c r="F4174" s="14"/>
      <c r="G4174" s="13">
        <v>0</v>
      </c>
      <c r="H4174" s="13">
        <v>0</v>
      </c>
      <c r="I4174" s="13"/>
      <c r="J4174" s="13"/>
      <c r="K4174" s="13"/>
      <c r="L4174" s="15">
        <v>0</v>
      </c>
    </row>
    <row r="4175" spans="1:12">
      <c r="A4175" s="12"/>
      <c r="E4175" s="14"/>
      <c r="F4175" s="14"/>
      <c r="G4175" s="13">
        <v>0</v>
      </c>
      <c r="H4175" s="13">
        <v>0</v>
      </c>
      <c r="I4175" s="13"/>
      <c r="J4175" s="13"/>
      <c r="K4175" s="13"/>
      <c r="L4175" s="15">
        <v>0</v>
      </c>
    </row>
    <row r="4176" spans="1:12">
      <c r="A4176" s="12"/>
      <c r="E4176" s="14"/>
      <c r="F4176" s="14"/>
      <c r="G4176" s="13">
        <v>0</v>
      </c>
      <c r="H4176" s="13">
        <v>0</v>
      </c>
      <c r="I4176" s="13"/>
      <c r="J4176" s="13"/>
      <c r="K4176" s="13"/>
      <c r="L4176" s="15">
        <v>0</v>
      </c>
    </row>
    <row r="4177" spans="1:12">
      <c r="A4177" s="12"/>
      <c r="E4177" s="14"/>
      <c r="F4177" s="14"/>
      <c r="G4177" s="13">
        <v>0</v>
      </c>
      <c r="H4177" s="13">
        <v>0</v>
      </c>
      <c r="I4177" s="13"/>
      <c r="J4177" s="13"/>
      <c r="K4177" s="13"/>
      <c r="L4177" s="15">
        <v>0</v>
      </c>
    </row>
    <row r="4178" spans="1:12">
      <c r="A4178" s="12"/>
      <c r="E4178" s="14"/>
      <c r="F4178" s="14"/>
      <c r="G4178" s="13">
        <v>0</v>
      </c>
      <c r="H4178" s="13">
        <v>0</v>
      </c>
      <c r="I4178" s="13"/>
      <c r="J4178" s="13"/>
      <c r="K4178" s="13"/>
      <c r="L4178" s="15">
        <v>0</v>
      </c>
    </row>
    <row r="4179" spans="1:12">
      <c r="A4179" s="12"/>
      <c r="E4179" s="14"/>
      <c r="F4179" s="14"/>
      <c r="G4179" s="13">
        <v>0</v>
      </c>
      <c r="H4179" s="13">
        <v>0</v>
      </c>
      <c r="I4179" s="13"/>
      <c r="J4179" s="13"/>
      <c r="K4179" s="13"/>
      <c r="L4179" s="15">
        <v>0</v>
      </c>
    </row>
    <row r="4180" spans="1:12">
      <c r="A4180" s="12"/>
      <c r="E4180" s="14"/>
      <c r="F4180" s="14"/>
      <c r="G4180" s="13">
        <v>0</v>
      </c>
      <c r="H4180" s="13">
        <v>0</v>
      </c>
      <c r="I4180" s="13"/>
      <c r="J4180" s="13"/>
      <c r="K4180" s="13"/>
      <c r="L4180" s="15">
        <v>0</v>
      </c>
    </row>
    <row r="4181" spans="1:12">
      <c r="A4181" s="12"/>
      <c r="E4181" s="14"/>
      <c r="F4181" s="14"/>
      <c r="G4181" s="13">
        <v>0</v>
      </c>
      <c r="H4181" s="13">
        <v>0</v>
      </c>
      <c r="I4181" s="13"/>
      <c r="J4181" s="13"/>
      <c r="K4181" s="13"/>
      <c r="L4181" s="15">
        <v>0</v>
      </c>
    </row>
    <row r="4182" spans="1:12">
      <c r="A4182" s="12"/>
      <c r="E4182" s="14"/>
      <c r="F4182" s="14"/>
      <c r="G4182" s="13">
        <v>0</v>
      </c>
      <c r="H4182" s="13">
        <v>0</v>
      </c>
      <c r="I4182" s="13"/>
      <c r="J4182" s="13"/>
      <c r="K4182" s="13"/>
      <c r="L4182" s="15">
        <v>0</v>
      </c>
    </row>
    <row r="4183" spans="1:12">
      <c r="A4183" s="12"/>
      <c r="E4183" s="14"/>
      <c r="F4183" s="14"/>
      <c r="G4183" s="13">
        <v>0</v>
      </c>
      <c r="H4183" s="13">
        <v>0</v>
      </c>
      <c r="I4183" s="13"/>
      <c r="J4183" s="13"/>
      <c r="K4183" s="13"/>
      <c r="L4183" s="15">
        <v>0</v>
      </c>
    </row>
    <row r="4184" spans="1:12">
      <c r="A4184" s="12"/>
      <c r="E4184" s="14"/>
      <c r="F4184" s="14"/>
      <c r="G4184" s="13">
        <v>0</v>
      </c>
      <c r="H4184" s="13">
        <v>0</v>
      </c>
      <c r="I4184" s="13"/>
      <c r="J4184" s="13"/>
      <c r="K4184" s="13"/>
      <c r="L4184" s="15">
        <v>0</v>
      </c>
    </row>
    <row r="4185" spans="1:12">
      <c r="A4185" s="12"/>
      <c r="E4185" s="14"/>
      <c r="F4185" s="14"/>
      <c r="G4185" s="13">
        <v>0</v>
      </c>
      <c r="H4185" s="13">
        <v>0</v>
      </c>
      <c r="I4185" s="13"/>
      <c r="J4185" s="13"/>
      <c r="K4185" s="13"/>
      <c r="L4185" s="15">
        <v>0</v>
      </c>
    </row>
    <row r="4186" spans="1:12">
      <c r="A4186" s="12"/>
      <c r="E4186" s="14"/>
      <c r="F4186" s="14"/>
      <c r="G4186" s="13">
        <v>0</v>
      </c>
      <c r="H4186" s="13">
        <v>0</v>
      </c>
      <c r="I4186" s="13"/>
      <c r="J4186" s="13"/>
      <c r="K4186" s="13"/>
      <c r="L4186" s="15">
        <v>0</v>
      </c>
    </row>
    <row r="4187" spans="1:12">
      <c r="A4187" s="12"/>
      <c r="E4187" s="14"/>
      <c r="F4187" s="14"/>
      <c r="G4187" s="13">
        <v>0</v>
      </c>
      <c r="H4187" s="13">
        <v>0</v>
      </c>
      <c r="I4187" s="13"/>
      <c r="J4187" s="13"/>
      <c r="K4187" s="13"/>
      <c r="L4187" s="15">
        <v>0</v>
      </c>
    </row>
    <row r="4188" spans="1:12">
      <c r="A4188" s="12"/>
      <c r="E4188" s="14"/>
      <c r="F4188" s="14"/>
      <c r="G4188" s="13">
        <v>0</v>
      </c>
      <c r="H4188" s="13">
        <v>0</v>
      </c>
      <c r="I4188" s="13"/>
      <c r="J4188" s="13"/>
      <c r="K4188" s="13"/>
      <c r="L4188" s="15">
        <v>0</v>
      </c>
    </row>
    <row r="4189" spans="1:12">
      <c r="A4189" s="12"/>
      <c r="E4189" s="14"/>
      <c r="F4189" s="14"/>
      <c r="G4189" s="13">
        <v>0</v>
      </c>
      <c r="H4189" s="13">
        <v>0</v>
      </c>
      <c r="I4189" s="13"/>
      <c r="J4189" s="13"/>
      <c r="K4189" s="13"/>
      <c r="L4189" s="15">
        <v>0</v>
      </c>
    </row>
    <row r="4190" spans="1:12">
      <c r="A4190" s="12"/>
      <c r="E4190" s="14"/>
      <c r="F4190" s="14"/>
      <c r="G4190" s="13">
        <v>0</v>
      </c>
      <c r="H4190" s="13">
        <v>0</v>
      </c>
      <c r="I4190" s="13"/>
      <c r="J4190" s="13"/>
      <c r="K4190" s="13"/>
      <c r="L4190" s="15">
        <v>0</v>
      </c>
    </row>
    <row r="4191" spans="1:12">
      <c r="A4191" s="12"/>
      <c r="E4191" s="14"/>
      <c r="F4191" s="14"/>
      <c r="G4191" s="13">
        <v>0</v>
      </c>
      <c r="H4191" s="13">
        <v>0</v>
      </c>
      <c r="I4191" s="13"/>
      <c r="J4191" s="13"/>
      <c r="K4191" s="13"/>
      <c r="L4191" s="15">
        <v>0</v>
      </c>
    </row>
    <row r="4192" spans="1:12">
      <c r="A4192" s="12"/>
      <c r="E4192" s="14"/>
      <c r="F4192" s="14"/>
      <c r="G4192" s="13">
        <v>0</v>
      </c>
      <c r="H4192" s="13">
        <v>0</v>
      </c>
      <c r="I4192" s="13"/>
      <c r="J4192" s="13"/>
      <c r="K4192" s="13"/>
      <c r="L4192" s="15">
        <v>0</v>
      </c>
    </row>
    <row r="4193" spans="1:12">
      <c r="A4193" s="12"/>
      <c r="E4193" s="14"/>
      <c r="F4193" s="14"/>
      <c r="G4193" s="13">
        <v>0</v>
      </c>
      <c r="H4193" s="13">
        <v>0</v>
      </c>
      <c r="I4193" s="13"/>
      <c r="J4193" s="13"/>
      <c r="K4193" s="13"/>
      <c r="L4193" s="15">
        <v>0</v>
      </c>
    </row>
    <row r="4194" spans="1:12">
      <c r="A4194" s="12"/>
      <c r="E4194" s="14"/>
      <c r="F4194" s="14"/>
      <c r="G4194" s="13">
        <v>0</v>
      </c>
      <c r="H4194" s="13">
        <v>0</v>
      </c>
      <c r="I4194" s="13"/>
      <c r="J4194" s="13"/>
      <c r="K4194" s="13"/>
      <c r="L4194" s="15">
        <v>0</v>
      </c>
    </row>
    <row r="4195" spans="1:12">
      <c r="A4195" s="12"/>
      <c r="E4195" s="14"/>
      <c r="F4195" s="14"/>
      <c r="G4195" s="13">
        <v>0</v>
      </c>
      <c r="H4195" s="13">
        <v>0</v>
      </c>
      <c r="I4195" s="13"/>
      <c r="J4195" s="13"/>
      <c r="K4195" s="13"/>
      <c r="L4195" s="15">
        <v>0</v>
      </c>
    </row>
    <row r="4196" spans="1:12">
      <c r="A4196" s="12"/>
      <c r="E4196" s="14"/>
      <c r="F4196" s="14"/>
      <c r="G4196" s="13">
        <v>0</v>
      </c>
      <c r="H4196" s="13">
        <v>0</v>
      </c>
      <c r="I4196" s="13"/>
      <c r="J4196" s="13"/>
      <c r="K4196" s="13"/>
      <c r="L4196" s="15">
        <v>0</v>
      </c>
    </row>
    <row r="4197" spans="1:12">
      <c r="A4197" s="12"/>
      <c r="E4197" s="14"/>
      <c r="F4197" s="14"/>
      <c r="G4197" s="13">
        <v>0</v>
      </c>
      <c r="H4197" s="13">
        <v>0</v>
      </c>
      <c r="I4197" s="13"/>
      <c r="J4197" s="13"/>
      <c r="K4197" s="13"/>
      <c r="L4197" s="15">
        <v>0</v>
      </c>
    </row>
    <row r="4198" spans="1:12">
      <c r="A4198" s="12"/>
      <c r="E4198" s="14"/>
      <c r="F4198" s="14"/>
      <c r="G4198" s="13">
        <v>0</v>
      </c>
      <c r="H4198" s="13">
        <v>0</v>
      </c>
      <c r="I4198" s="13"/>
      <c r="J4198" s="13"/>
      <c r="K4198" s="13"/>
      <c r="L4198" s="15">
        <v>0</v>
      </c>
    </row>
    <row r="4199" spans="1:12">
      <c r="A4199" s="12"/>
      <c r="E4199" s="14"/>
      <c r="F4199" s="14"/>
      <c r="G4199" s="13">
        <v>0</v>
      </c>
      <c r="H4199" s="13">
        <v>0</v>
      </c>
      <c r="I4199" s="13"/>
      <c r="J4199" s="13"/>
      <c r="K4199" s="13"/>
      <c r="L4199" s="15">
        <v>0</v>
      </c>
    </row>
    <row r="4200" spans="1:12">
      <c r="A4200" s="12"/>
      <c r="E4200" s="14"/>
      <c r="F4200" s="14"/>
      <c r="G4200" s="13">
        <v>0</v>
      </c>
      <c r="H4200" s="13">
        <v>0</v>
      </c>
      <c r="I4200" s="13"/>
      <c r="J4200" s="13"/>
      <c r="K4200" s="13"/>
      <c r="L4200" s="15">
        <v>0</v>
      </c>
    </row>
    <row r="4201" spans="1:12">
      <c r="A4201" s="12"/>
      <c r="E4201" s="14"/>
      <c r="F4201" s="14"/>
      <c r="G4201" s="13">
        <v>0</v>
      </c>
      <c r="H4201" s="13">
        <v>0</v>
      </c>
      <c r="I4201" s="13"/>
      <c r="J4201" s="13"/>
      <c r="K4201" s="13"/>
      <c r="L4201" s="15">
        <v>0</v>
      </c>
    </row>
    <row r="4202" spans="1:12">
      <c r="A4202" s="12"/>
      <c r="E4202" s="14"/>
      <c r="F4202" s="14"/>
      <c r="G4202" s="13">
        <v>0</v>
      </c>
      <c r="H4202" s="13">
        <v>0</v>
      </c>
      <c r="I4202" s="13"/>
      <c r="J4202" s="13"/>
      <c r="K4202" s="13"/>
      <c r="L4202" s="15">
        <v>0</v>
      </c>
    </row>
    <row r="4203" spans="1:12">
      <c r="A4203" s="12"/>
      <c r="E4203" s="14"/>
      <c r="F4203" s="14"/>
      <c r="G4203" s="13">
        <v>0</v>
      </c>
      <c r="H4203" s="13">
        <v>0</v>
      </c>
      <c r="I4203" s="13"/>
      <c r="J4203" s="13"/>
      <c r="K4203" s="13"/>
      <c r="L4203" s="15">
        <v>0</v>
      </c>
    </row>
    <row r="4204" spans="1:12">
      <c r="A4204" s="12"/>
      <c r="E4204" s="14"/>
      <c r="F4204" s="14"/>
      <c r="G4204" s="13">
        <v>0</v>
      </c>
      <c r="H4204" s="13">
        <v>0</v>
      </c>
      <c r="I4204" s="13"/>
      <c r="J4204" s="13"/>
      <c r="K4204" s="13"/>
      <c r="L4204" s="15">
        <v>0</v>
      </c>
    </row>
    <row r="4205" spans="1:12">
      <c r="A4205" s="12"/>
      <c r="E4205" s="14"/>
      <c r="F4205" s="14"/>
      <c r="G4205" s="13">
        <v>0</v>
      </c>
      <c r="H4205" s="13">
        <v>0</v>
      </c>
      <c r="I4205" s="13"/>
      <c r="J4205" s="13"/>
      <c r="K4205" s="13"/>
      <c r="L4205" s="15">
        <v>0</v>
      </c>
    </row>
    <row r="4206" spans="1:12">
      <c r="A4206" s="12"/>
      <c r="E4206" s="14"/>
      <c r="F4206" s="14"/>
      <c r="G4206" s="13">
        <v>0</v>
      </c>
      <c r="H4206" s="13">
        <v>0</v>
      </c>
      <c r="I4206" s="13"/>
      <c r="J4206" s="13"/>
      <c r="K4206" s="13"/>
      <c r="L4206" s="15">
        <v>0</v>
      </c>
    </row>
    <row r="4207" spans="1:12">
      <c r="A4207" s="12"/>
      <c r="E4207" s="14"/>
      <c r="F4207" s="14"/>
      <c r="G4207" s="13">
        <v>0</v>
      </c>
      <c r="H4207" s="13">
        <v>0</v>
      </c>
      <c r="I4207" s="13"/>
      <c r="J4207" s="13"/>
      <c r="K4207" s="13"/>
      <c r="L4207" s="15">
        <v>0</v>
      </c>
    </row>
    <row r="4208" spans="1:12">
      <c r="A4208" s="12"/>
      <c r="E4208" s="14"/>
      <c r="F4208" s="14"/>
      <c r="G4208" s="13">
        <v>0</v>
      </c>
      <c r="H4208" s="13">
        <v>0</v>
      </c>
      <c r="I4208" s="13"/>
      <c r="J4208" s="13"/>
      <c r="K4208" s="13"/>
      <c r="L4208" s="15">
        <v>0</v>
      </c>
    </row>
    <row r="4209" spans="1:12">
      <c r="A4209" s="12"/>
      <c r="E4209" s="14"/>
      <c r="F4209" s="14"/>
      <c r="G4209" s="13">
        <v>0</v>
      </c>
      <c r="H4209" s="13">
        <v>0</v>
      </c>
      <c r="I4209" s="13"/>
      <c r="J4209" s="13"/>
      <c r="K4209" s="13"/>
      <c r="L4209" s="15">
        <v>0</v>
      </c>
    </row>
    <row r="4210" spans="1:12">
      <c r="A4210" s="12"/>
      <c r="E4210" s="14"/>
      <c r="F4210" s="14"/>
      <c r="G4210" s="13">
        <v>0</v>
      </c>
      <c r="H4210" s="13">
        <v>0</v>
      </c>
      <c r="I4210" s="13"/>
      <c r="J4210" s="13"/>
      <c r="K4210" s="13"/>
      <c r="L4210" s="15">
        <v>0</v>
      </c>
    </row>
    <row r="4211" spans="1:12">
      <c r="A4211" s="12"/>
      <c r="E4211" s="14"/>
      <c r="F4211" s="14"/>
      <c r="G4211" s="13">
        <v>0</v>
      </c>
      <c r="H4211" s="13">
        <v>0</v>
      </c>
      <c r="I4211" s="13"/>
      <c r="J4211" s="13"/>
      <c r="K4211" s="13"/>
      <c r="L4211" s="15">
        <v>0</v>
      </c>
    </row>
    <row r="4212" spans="1:12">
      <c r="A4212" s="12"/>
      <c r="E4212" s="14"/>
      <c r="F4212" s="14"/>
      <c r="G4212" s="13">
        <v>0</v>
      </c>
      <c r="H4212" s="13">
        <v>0</v>
      </c>
      <c r="I4212" s="13"/>
      <c r="J4212" s="13"/>
      <c r="K4212" s="13"/>
      <c r="L4212" s="15">
        <v>0</v>
      </c>
    </row>
    <row r="4213" spans="1:12">
      <c r="A4213" s="12"/>
      <c r="E4213" s="14"/>
      <c r="F4213" s="14"/>
      <c r="G4213" s="13">
        <v>0</v>
      </c>
      <c r="H4213" s="13">
        <v>0</v>
      </c>
      <c r="I4213" s="13"/>
      <c r="J4213" s="13"/>
      <c r="K4213" s="13"/>
      <c r="L4213" s="15">
        <v>0</v>
      </c>
    </row>
    <row r="4214" spans="1:12">
      <c r="A4214" s="12"/>
      <c r="E4214" s="14"/>
      <c r="F4214" s="14"/>
      <c r="G4214" s="13">
        <v>0</v>
      </c>
      <c r="H4214" s="13">
        <v>0</v>
      </c>
      <c r="I4214" s="13"/>
      <c r="J4214" s="13"/>
      <c r="K4214" s="13"/>
      <c r="L4214" s="15">
        <v>0</v>
      </c>
    </row>
    <row r="4215" spans="1:12">
      <c r="A4215" s="12"/>
      <c r="E4215" s="14"/>
      <c r="F4215" s="14"/>
      <c r="G4215" s="13">
        <v>0</v>
      </c>
      <c r="H4215" s="13">
        <v>0</v>
      </c>
      <c r="I4215" s="13"/>
      <c r="J4215" s="13"/>
      <c r="K4215" s="13"/>
      <c r="L4215" s="15">
        <v>0</v>
      </c>
    </row>
    <row r="4216" spans="1:12">
      <c r="A4216" s="12"/>
      <c r="E4216" s="14"/>
      <c r="F4216" s="14"/>
      <c r="G4216" s="13">
        <v>0</v>
      </c>
      <c r="H4216" s="13">
        <v>0</v>
      </c>
      <c r="I4216" s="13"/>
      <c r="J4216" s="13"/>
      <c r="K4216" s="13"/>
      <c r="L4216" s="15">
        <v>0</v>
      </c>
    </row>
    <row r="4217" spans="1:12">
      <c r="A4217" s="12"/>
      <c r="E4217" s="14"/>
      <c r="F4217" s="14"/>
      <c r="G4217" s="13">
        <v>0</v>
      </c>
      <c r="H4217" s="13">
        <v>0</v>
      </c>
      <c r="I4217" s="13"/>
      <c r="J4217" s="13"/>
      <c r="K4217" s="13"/>
      <c r="L4217" s="15">
        <v>0</v>
      </c>
    </row>
    <row r="4218" spans="1:12">
      <c r="A4218" s="12"/>
      <c r="E4218" s="14"/>
      <c r="F4218" s="14"/>
      <c r="G4218" s="13">
        <v>0</v>
      </c>
      <c r="H4218" s="13">
        <v>0</v>
      </c>
      <c r="I4218" s="13"/>
      <c r="J4218" s="13"/>
      <c r="K4218" s="13"/>
      <c r="L4218" s="15">
        <v>0</v>
      </c>
    </row>
    <row r="4219" spans="1:12">
      <c r="A4219" s="12"/>
      <c r="E4219" s="14"/>
      <c r="F4219" s="14"/>
      <c r="G4219" s="13">
        <v>0</v>
      </c>
      <c r="H4219" s="13">
        <v>0</v>
      </c>
      <c r="I4219" s="13"/>
      <c r="J4219" s="13"/>
      <c r="K4219" s="13"/>
      <c r="L4219" s="15">
        <v>0</v>
      </c>
    </row>
    <row r="4220" spans="1:12">
      <c r="A4220" s="12"/>
      <c r="E4220" s="14"/>
      <c r="F4220" s="14"/>
      <c r="G4220" s="13">
        <v>0</v>
      </c>
      <c r="H4220" s="13">
        <v>0</v>
      </c>
      <c r="I4220" s="13"/>
      <c r="J4220" s="13"/>
      <c r="K4220" s="13"/>
      <c r="L4220" s="15">
        <v>0</v>
      </c>
    </row>
    <row r="4221" spans="1:12">
      <c r="A4221" s="12"/>
      <c r="E4221" s="14"/>
      <c r="F4221" s="14"/>
      <c r="G4221" s="13">
        <v>0</v>
      </c>
      <c r="H4221" s="13">
        <v>0</v>
      </c>
      <c r="I4221" s="13"/>
      <c r="J4221" s="13"/>
      <c r="K4221" s="13"/>
      <c r="L4221" s="15">
        <v>0</v>
      </c>
    </row>
    <row r="4222" spans="1:12">
      <c r="A4222" s="12"/>
      <c r="E4222" s="14"/>
      <c r="F4222" s="14"/>
      <c r="G4222" s="13">
        <v>0</v>
      </c>
      <c r="H4222" s="13">
        <v>0</v>
      </c>
      <c r="I4222" s="13"/>
      <c r="J4222" s="13"/>
      <c r="K4222" s="13"/>
      <c r="L4222" s="15">
        <v>0</v>
      </c>
    </row>
    <row r="4223" spans="1:12">
      <c r="A4223" s="12"/>
      <c r="E4223" s="14"/>
      <c r="F4223" s="14"/>
      <c r="G4223" s="13">
        <v>0</v>
      </c>
      <c r="H4223" s="13">
        <v>0</v>
      </c>
      <c r="I4223" s="13"/>
      <c r="J4223" s="13"/>
      <c r="K4223" s="13"/>
      <c r="L4223" s="15">
        <v>0</v>
      </c>
    </row>
    <row r="4224" spans="1:12">
      <c r="A4224" s="12"/>
      <c r="E4224" s="14"/>
      <c r="F4224" s="14"/>
      <c r="G4224" s="13">
        <v>0</v>
      </c>
      <c r="H4224" s="13">
        <v>0</v>
      </c>
      <c r="I4224" s="13"/>
      <c r="J4224" s="13"/>
      <c r="K4224" s="13"/>
      <c r="L4224" s="15">
        <v>0</v>
      </c>
    </row>
    <row r="4225" spans="1:12">
      <c r="A4225" s="12"/>
      <c r="E4225" s="14"/>
      <c r="F4225" s="14"/>
      <c r="G4225" s="13">
        <v>0</v>
      </c>
      <c r="H4225" s="13">
        <v>0</v>
      </c>
      <c r="I4225" s="13"/>
      <c r="J4225" s="13"/>
      <c r="K4225" s="13"/>
      <c r="L4225" s="15">
        <v>0</v>
      </c>
    </row>
    <row r="4226" spans="1:12">
      <c r="A4226" s="12"/>
      <c r="E4226" s="14"/>
      <c r="F4226" s="14"/>
      <c r="G4226" s="13">
        <v>0</v>
      </c>
      <c r="H4226" s="13">
        <v>0</v>
      </c>
      <c r="I4226" s="13"/>
      <c r="J4226" s="13"/>
      <c r="K4226" s="13"/>
      <c r="L4226" s="15">
        <v>0</v>
      </c>
    </row>
    <row r="4227" spans="1:12">
      <c r="A4227" s="12"/>
      <c r="E4227" s="14"/>
      <c r="F4227" s="14"/>
      <c r="G4227" s="13">
        <v>0</v>
      </c>
      <c r="H4227" s="13">
        <v>0</v>
      </c>
      <c r="I4227" s="13"/>
      <c r="J4227" s="13"/>
      <c r="K4227" s="13"/>
      <c r="L4227" s="15">
        <v>0</v>
      </c>
    </row>
    <row r="4228" spans="1:12">
      <c r="A4228" s="12"/>
      <c r="E4228" s="14"/>
      <c r="F4228" s="14"/>
      <c r="G4228" s="13">
        <v>0</v>
      </c>
      <c r="H4228" s="13">
        <v>0</v>
      </c>
      <c r="I4228" s="13"/>
      <c r="J4228" s="13"/>
      <c r="K4228" s="13"/>
      <c r="L4228" s="15">
        <v>0</v>
      </c>
    </row>
    <row r="4229" spans="1:12">
      <c r="A4229" s="12"/>
      <c r="E4229" s="14"/>
      <c r="F4229" s="14"/>
      <c r="G4229" s="13">
        <v>0</v>
      </c>
      <c r="H4229" s="13">
        <v>0</v>
      </c>
      <c r="I4229" s="13"/>
      <c r="J4229" s="13"/>
      <c r="K4229" s="13"/>
      <c r="L4229" s="15">
        <v>0</v>
      </c>
    </row>
    <row r="4230" spans="1:12">
      <c r="A4230" s="12"/>
      <c r="E4230" s="14"/>
      <c r="F4230" s="14"/>
      <c r="G4230" s="13">
        <v>0</v>
      </c>
      <c r="H4230" s="13">
        <v>0</v>
      </c>
      <c r="I4230" s="13"/>
      <c r="J4230" s="13"/>
      <c r="K4230" s="13"/>
      <c r="L4230" s="15">
        <v>0</v>
      </c>
    </row>
    <row r="4231" spans="1:12">
      <c r="A4231" s="12"/>
      <c r="E4231" s="14"/>
      <c r="F4231" s="14"/>
      <c r="G4231" s="13">
        <v>0</v>
      </c>
      <c r="H4231" s="13">
        <v>0</v>
      </c>
      <c r="I4231" s="13"/>
      <c r="J4231" s="13"/>
      <c r="K4231" s="13"/>
      <c r="L4231" s="15">
        <v>0</v>
      </c>
    </row>
    <row r="4232" spans="1:12">
      <c r="A4232" s="12"/>
      <c r="E4232" s="14"/>
      <c r="F4232" s="14"/>
      <c r="G4232" s="13">
        <v>0</v>
      </c>
      <c r="H4232" s="13">
        <v>0</v>
      </c>
      <c r="I4232" s="13"/>
      <c r="J4232" s="13"/>
      <c r="K4232" s="13"/>
      <c r="L4232" s="15">
        <v>0</v>
      </c>
    </row>
    <row r="4233" spans="1:12">
      <c r="A4233" s="12"/>
      <c r="E4233" s="14"/>
      <c r="F4233" s="14"/>
      <c r="G4233" s="13">
        <v>0</v>
      </c>
      <c r="H4233" s="13">
        <v>0</v>
      </c>
      <c r="I4233" s="13"/>
      <c r="J4233" s="13"/>
      <c r="K4233" s="13"/>
      <c r="L4233" s="15">
        <v>0</v>
      </c>
    </row>
    <row r="4234" spans="1:12">
      <c r="A4234" s="12"/>
      <c r="E4234" s="14"/>
      <c r="F4234" s="14"/>
      <c r="G4234" s="13">
        <v>0</v>
      </c>
      <c r="H4234" s="13">
        <v>0</v>
      </c>
      <c r="I4234" s="13"/>
      <c r="J4234" s="13"/>
      <c r="K4234" s="13"/>
      <c r="L4234" s="15">
        <v>0</v>
      </c>
    </row>
    <row r="4235" spans="1:12">
      <c r="A4235" s="12"/>
      <c r="E4235" s="14"/>
      <c r="F4235" s="14"/>
      <c r="G4235" s="13">
        <v>0</v>
      </c>
      <c r="H4235" s="13">
        <v>0</v>
      </c>
      <c r="I4235" s="13"/>
      <c r="J4235" s="13"/>
      <c r="K4235" s="13"/>
      <c r="L4235" s="15">
        <v>0</v>
      </c>
    </row>
    <row r="4236" spans="1:12">
      <c r="A4236" s="12"/>
      <c r="E4236" s="14"/>
      <c r="F4236" s="14"/>
      <c r="G4236" s="13">
        <v>0</v>
      </c>
      <c r="H4236" s="13">
        <v>0</v>
      </c>
      <c r="I4236" s="13"/>
      <c r="J4236" s="13"/>
      <c r="K4236" s="13"/>
      <c r="L4236" s="15">
        <v>0</v>
      </c>
    </row>
    <row r="4237" spans="1:12">
      <c r="A4237" s="12"/>
      <c r="E4237" s="14"/>
      <c r="F4237" s="14"/>
      <c r="G4237" s="13">
        <v>0</v>
      </c>
      <c r="H4237" s="13">
        <v>0</v>
      </c>
      <c r="I4237" s="13"/>
      <c r="J4237" s="13"/>
      <c r="K4237" s="13"/>
      <c r="L4237" s="15">
        <v>0</v>
      </c>
    </row>
    <row r="4238" spans="1:12">
      <c r="A4238" s="12"/>
      <c r="E4238" s="14"/>
      <c r="F4238" s="14"/>
      <c r="G4238" s="13">
        <v>0</v>
      </c>
      <c r="H4238" s="13">
        <v>0</v>
      </c>
      <c r="I4238" s="13"/>
      <c r="J4238" s="13"/>
      <c r="K4238" s="13"/>
      <c r="L4238" s="15">
        <v>0</v>
      </c>
    </row>
    <row r="4239" spans="1:12">
      <c r="A4239" s="12"/>
      <c r="E4239" s="14"/>
      <c r="F4239" s="14"/>
      <c r="G4239" s="13">
        <v>0</v>
      </c>
      <c r="H4239" s="13">
        <v>0</v>
      </c>
      <c r="I4239" s="13"/>
      <c r="J4239" s="13"/>
      <c r="K4239" s="13"/>
      <c r="L4239" s="15">
        <v>0</v>
      </c>
    </row>
    <row r="4240" spans="1:12">
      <c r="A4240" s="12"/>
      <c r="E4240" s="14"/>
      <c r="F4240" s="14"/>
      <c r="G4240" s="13">
        <v>0</v>
      </c>
      <c r="H4240" s="13">
        <v>0</v>
      </c>
      <c r="I4240" s="13"/>
      <c r="J4240" s="13"/>
      <c r="K4240" s="13"/>
      <c r="L4240" s="15">
        <v>0</v>
      </c>
    </row>
    <row r="4241" spans="1:12">
      <c r="A4241" s="12"/>
      <c r="E4241" s="14"/>
      <c r="F4241" s="14"/>
      <c r="G4241" s="13">
        <v>0</v>
      </c>
      <c r="H4241" s="13">
        <v>0</v>
      </c>
      <c r="I4241" s="13"/>
      <c r="J4241" s="13"/>
      <c r="K4241" s="13"/>
      <c r="L4241" s="15">
        <v>0</v>
      </c>
    </row>
    <row r="4242" spans="1:12">
      <c r="A4242" s="12"/>
      <c r="E4242" s="14"/>
      <c r="F4242" s="14"/>
      <c r="G4242" s="13">
        <v>0</v>
      </c>
      <c r="H4242" s="13">
        <v>0</v>
      </c>
      <c r="I4242" s="13"/>
      <c r="J4242" s="13"/>
      <c r="K4242" s="13"/>
      <c r="L4242" s="15">
        <v>0</v>
      </c>
    </row>
    <row r="4243" spans="1:12">
      <c r="A4243" s="12"/>
      <c r="E4243" s="14"/>
      <c r="F4243" s="14"/>
      <c r="G4243" s="13">
        <v>0</v>
      </c>
      <c r="H4243" s="13">
        <v>0</v>
      </c>
      <c r="I4243" s="13"/>
      <c r="J4243" s="13"/>
      <c r="K4243" s="13"/>
      <c r="L4243" s="15">
        <v>0</v>
      </c>
    </row>
    <row r="4244" spans="1:12">
      <c r="A4244" s="12"/>
      <c r="E4244" s="14"/>
      <c r="F4244" s="14"/>
      <c r="G4244" s="13">
        <v>0</v>
      </c>
      <c r="H4244" s="13">
        <v>0</v>
      </c>
      <c r="I4244" s="13"/>
      <c r="J4244" s="13"/>
      <c r="K4244" s="13"/>
      <c r="L4244" s="15">
        <v>0</v>
      </c>
    </row>
    <row r="4245" spans="1:12">
      <c r="A4245" s="12"/>
      <c r="E4245" s="14"/>
      <c r="F4245" s="14"/>
      <c r="G4245" s="13">
        <v>0</v>
      </c>
      <c r="H4245" s="13">
        <v>0</v>
      </c>
      <c r="I4245" s="13"/>
      <c r="J4245" s="13"/>
      <c r="K4245" s="13"/>
      <c r="L4245" s="15">
        <v>0</v>
      </c>
    </row>
    <row r="4246" spans="1:12">
      <c r="A4246" s="12"/>
      <c r="E4246" s="14"/>
      <c r="F4246" s="14"/>
      <c r="G4246" s="13">
        <v>0</v>
      </c>
      <c r="H4246" s="13">
        <v>0</v>
      </c>
      <c r="I4246" s="13"/>
      <c r="J4246" s="13"/>
      <c r="K4246" s="13"/>
      <c r="L4246" s="15">
        <v>0</v>
      </c>
    </row>
    <row r="4247" spans="1:12">
      <c r="A4247" s="12"/>
      <c r="E4247" s="14"/>
      <c r="F4247" s="14"/>
      <c r="G4247" s="13">
        <v>0</v>
      </c>
      <c r="H4247" s="13">
        <v>0</v>
      </c>
      <c r="I4247" s="13"/>
      <c r="J4247" s="13"/>
      <c r="K4247" s="13"/>
      <c r="L4247" s="15">
        <v>0</v>
      </c>
    </row>
    <row r="4248" spans="1:12">
      <c r="A4248" s="12"/>
      <c r="E4248" s="14"/>
      <c r="F4248" s="14"/>
      <c r="G4248" s="13">
        <v>0</v>
      </c>
      <c r="H4248" s="13">
        <v>0</v>
      </c>
      <c r="I4248" s="13"/>
      <c r="J4248" s="13"/>
      <c r="K4248" s="13"/>
      <c r="L4248" s="15">
        <v>0</v>
      </c>
    </row>
    <row r="4249" spans="1:12">
      <c r="A4249" s="12"/>
      <c r="E4249" s="14"/>
      <c r="F4249" s="14"/>
      <c r="G4249" s="13">
        <v>0</v>
      </c>
      <c r="H4249" s="13">
        <v>0</v>
      </c>
      <c r="I4249" s="13"/>
      <c r="J4249" s="13"/>
      <c r="K4249" s="13"/>
      <c r="L4249" s="15">
        <v>0</v>
      </c>
    </row>
    <row r="4250" spans="1:12">
      <c r="A4250" s="12"/>
      <c r="E4250" s="14"/>
      <c r="F4250" s="14"/>
      <c r="G4250" s="13">
        <v>0</v>
      </c>
      <c r="H4250" s="13">
        <v>0</v>
      </c>
      <c r="I4250" s="13"/>
      <c r="J4250" s="13"/>
      <c r="K4250" s="13"/>
      <c r="L4250" s="15">
        <v>0</v>
      </c>
    </row>
    <row r="4251" spans="1:12">
      <c r="A4251" s="12"/>
      <c r="E4251" s="14"/>
      <c r="F4251" s="14"/>
      <c r="G4251" s="13">
        <v>0</v>
      </c>
      <c r="H4251" s="13">
        <v>0</v>
      </c>
      <c r="I4251" s="13"/>
      <c r="J4251" s="13"/>
      <c r="K4251" s="13"/>
      <c r="L4251" s="15">
        <v>0</v>
      </c>
    </row>
    <row r="4252" spans="1:12">
      <c r="A4252" s="12"/>
      <c r="E4252" s="14"/>
      <c r="F4252" s="14"/>
      <c r="G4252" s="13">
        <v>0</v>
      </c>
      <c r="H4252" s="13">
        <v>0</v>
      </c>
      <c r="I4252" s="13"/>
      <c r="J4252" s="13"/>
      <c r="K4252" s="13"/>
      <c r="L4252" s="15">
        <v>0</v>
      </c>
    </row>
    <row r="4253" spans="1:12">
      <c r="A4253" s="12"/>
      <c r="E4253" s="14"/>
      <c r="F4253" s="14"/>
      <c r="G4253" s="13">
        <v>0</v>
      </c>
      <c r="H4253" s="13">
        <v>0</v>
      </c>
      <c r="I4253" s="13"/>
      <c r="J4253" s="13"/>
      <c r="K4253" s="13"/>
      <c r="L4253" s="15">
        <v>0</v>
      </c>
    </row>
    <row r="4254" spans="1:12">
      <c r="A4254" s="12"/>
      <c r="E4254" s="14"/>
      <c r="F4254" s="14"/>
      <c r="G4254" s="13">
        <v>0</v>
      </c>
      <c r="H4254" s="13">
        <v>0</v>
      </c>
      <c r="I4254" s="13"/>
      <c r="J4254" s="13"/>
      <c r="K4254" s="13"/>
      <c r="L4254" s="15">
        <v>0</v>
      </c>
    </row>
    <row r="4255" spans="1:12">
      <c r="A4255" s="12"/>
      <c r="E4255" s="14"/>
      <c r="F4255" s="14"/>
      <c r="G4255" s="13">
        <v>0</v>
      </c>
      <c r="H4255" s="13">
        <v>0</v>
      </c>
      <c r="I4255" s="13"/>
      <c r="J4255" s="13"/>
      <c r="K4255" s="13"/>
      <c r="L4255" s="15">
        <v>0</v>
      </c>
    </row>
    <row r="4256" spans="1:12">
      <c r="A4256" s="12"/>
      <c r="E4256" s="14"/>
      <c r="F4256" s="14"/>
      <c r="G4256" s="13">
        <v>0</v>
      </c>
      <c r="H4256" s="13">
        <v>0</v>
      </c>
      <c r="I4256" s="13"/>
      <c r="J4256" s="13"/>
      <c r="K4256" s="13"/>
      <c r="L4256" s="15">
        <v>0</v>
      </c>
    </row>
    <row r="4257" spans="1:12">
      <c r="A4257" s="12"/>
      <c r="E4257" s="14"/>
      <c r="F4257" s="14"/>
      <c r="G4257" s="13">
        <v>0</v>
      </c>
      <c r="H4257" s="13">
        <v>0</v>
      </c>
      <c r="I4257" s="13"/>
      <c r="J4257" s="13"/>
      <c r="K4257" s="13"/>
      <c r="L4257" s="15">
        <v>0</v>
      </c>
    </row>
    <row r="4258" spans="1:12">
      <c r="A4258" s="12"/>
      <c r="E4258" s="14"/>
      <c r="F4258" s="14"/>
      <c r="G4258" s="13">
        <v>0</v>
      </c>
      <c r="H4258" s="13">
        <v>0</v>
      </c>
      <c r="I4258" s="13"/>
      <c r="J4258" s="13"/>
      <c r="K4258" s="13"/>
      <c r="L4258" s="15">
        <v>0</v>
      </c>
    </row>
    <row r="4259" spans="1:12">
      <c r="A4259" s="12"/>
      <c r="E4259" s="14"/>
      <c r="F4259" s="14"/>
      <c r="G4259" s="13">
        <v>0</v>
      </c>
      <c r="H4259" s="13">
        <v>0</v>
      </c>
      <c r="I4259" s="13"/>
      <c r="J4259" s="13"/>
      <c r="K4259" s="13"/>
      <c r="L4259" s="15">
        <v>0</v>
      </c>
    </row>
    <row r="4260" spans="1:12">
      <c r="A4260" s="12"/>
      <c r="E4260" s="14"/>
      <c r="F4260" s="14"/>
      <c r="G4260" s="13">
        <v>0</v>
      </c>
      <c r="H4260" s="13">
        <v>0</v>
      </c>
      <c r="I4260" s="13"/>
      <c r="J4260" s="13"/>
      <c r="K4260" s="13"/>
      <c r="L4260" s="15">
        <v>0</v>
      </c>
    </row>
    <row r="4261" spans="1:12">
      <c r="A4261" s="12"/>
      <c r="E4261" s="14"/>
      <c r="F4261" s="14"/>
      <c r="G4261" s="13">
        <v>0</v>
      </c>
      <c r="H4261" s="13">
        <v>0</v>
      </c>
      <c r="I4261" s="13"/>
      <c r="J4261" s="13"/>
      <c r="K4261" s="13"/>
      <c r="L4261" s="15">
        <v>0</v>
      </c>
    </row>
    <row r="4262" spans="1:12">
      <c r="A4262" s="12"/>
      <c r="E4262" s="14"/>
      <c r="F4262" s="14"/>
      <c r="G4262" s="13">
        <v>0</v>
      </c>
      <c r="H4262" s="13">
        <v>0</v>
      </c>
      <c r="I4262" s="13"/>
      <c r="J4262" s="13"/>
      <c r="K4262" s="13"/>
      <c r="L4262" s="15">
        <v>0</v>
      </c>
    </row>
    <row r="4263" spans="1:12">
      <c r="A4263" s="12"/>
      <c r="E4263" s="14"/>
      <c r="F4263" s="14"/>
      <c r="G4263" s="13">
        <v>0</v>
      </c>
      <c r="H4263" s="13">
        <v>0</v>
      </c>
      <c r="I4263" s="13"/>
      <c r="J4263" s="13"/>
      <c r="K4263" s="13"/>
      <c r="L4263" s="15">
        <v>0</v>
      </c>
    </row>
    <row r="4264" spans="1:12">
      <c r="A4264" s="12"/>
      <c r="E4264" s="14"/>
      <c r="F4264" s="14"/>
      <c r="G4264" s="13">
        <v>0</v>
      </c>
      <c r="H4264" s="13">
        <v>0</v>
      </c>
      <c r="I4264" s="13"/>
      <c r="J4264" s="13"/>
      <c r="K4264" s="13"/>
      <c r="L4264" s="15">
        <v>0</v>
      </c>
    </row>
    <row r="4265" spans="1:12">
      <c r="A4265" s="12"/>
      <c r="E4265" s="14"/>
      <c r="F4265" s="14"/>
      <c r="G4265" s="13">
        <v>0</v>
      </c>
      <c r="H4265" s="13">
        <v>0</v>
      </c>
      <c r="I4265" s="13"/>
      <c r="J4265" s="13"/>
      <c r="K4265" s="13"/>
      <c r="L4265" s="15">
        <v>0</v>
      </c>
    </row>
    <row r="4266" spans="1:12">
      <c r="A4266" s="12"/>
      <c r="E4266" s="14"/>
      <c r="F4266" s="14"/>
      <c r="G4266" s="13">
        <v>0</v>
      </c>
      <c r="H4266" s="13">
        <v>0</v>
      </c>
      <c r="I4266" s="13"/>
      <c r="J4266" s="13"/>
      <c r="K4266" s="13"/>
      <c r="L4266" s="15">
        <v>0</v>
      </c>
    </row>
    <row r="4267" spans="1:12">
      <c r="A4267" s="12"/>
      <c r="E4267" s="14"/>
      <c r="F4267" s="14"/>
      <c r="G4267" s="13">
        <v>0</v>
      </c>
      <c r="H4267" s="13">
        <v>0</v>
      </c>
      <c r="I4267" s="13"/>
      <c r="J4267" s="13"/>
      <c r="K4267" s="13"/>
      <c r="L4267" s="15">
        <v>0</v>
      </c>
    </row>
    <row r="4268" spans="1:12">
      <c r="A4268" s="12"/>
      <c r="E4268" s="14"/>
      <c r="F4268" s="14"/>
      <c r="G4268" s="13">
        <v>0</v>
      </c>
      <c r="H4268" s="13">
        <v>0</v>
      </c>
      <c r="I4268" s="13"/>
      <c r="J4268" s="13"/>
      <c r="K4268" s="13"/>
      <c r="L4268" s="15">
        <v>0</v>
      </c>
    </row>
    <row r="4269" spans="1:12">
      <c r="A4269" s="12"/>
      <c r="E4269" s="14"/>
      <c r="F4269" s="14"/>
      <c r="G4269" s="13">
        <v>0</v>
      </c>
      <c r="H4269" s="13">
        <v>0</v>
      </c>
      <c r="I4269" s="13"/>
      <c r="J4269" s="13"/>
      <c r="K4269" s="13"/>
      <c r="L4269" s="15">
        <v>0</v>
      </c>
    </row>
    <row r="4270" spans="1:12">
      <c r="A4270" s="12"/>
      <c r="E4270" s="14"/>
      <c r="F4270" s="14"/>
      <c r="G4270" s="13">
        <v>0</v>
      </c>
      <c r="H4270" s="13">
        <v>0</v>
      </c>
      <c r="I4270" s="13"/>
      <c r="J4270" s="13"/>
      <c r="K4270" s="13"/>
      <c r="L4270" s="15">
        <v>0</v>
      </c>
    </row>
    <row r="4271" spans="1:12">
      <c r="A4271" s="12"/>
      <c r="E4271" s="14"/>
      <c r="F4271" s="14"/>
      <c r="G4271" s="13">
        <v>0</v>
      </c>
      <c r="H4271" s="13">
        <v>0</v>
      </c>
      <c r="I4271" s="13"/>
      <c r="J4271" s="13"/>
      <c r="K4271" s="13"/>
      <c r="L4271" s="15">
        <v>0</v>
      </c>
    </row>
    <row r="4272" spans="1:12">
      <c r="A4272" s="12"/>
      <c r="E4272" s="14"/>
      <c r="F4272" s="14"/>
      <c r="G4272" s="13">
        <v>0</v>
      </c>
      <c r="H4272" s="13">
        <v>0</v>
      </c>
      <c r="I4272" s="13"/>
      <c r="J4272" s="13"/>
      <c r="K4272" s="13"/>
      <c r="L4272" s="15">
        <v>0</v>
      </c>
    </row>
    <row r="4273" spans="1:12">
      <c r="A4273" s="12"/>
      <c r="E4273" s="14"/>
      <c r="F4273" s="14"/>
      <c r="G4273" s="13">
        <v>0</v>
      </c>
      <c r="H4273" s="13">
        <v>0</v>
      </c>
      <c r="I4273" s="13"/>
      <c r="J4273" s="13"/>
      <c r="K4273" s="13"/>
      <c r="L4273" s="15">
        <v>0</v>
      </c>
    </row>
    <row r="4274" spans="1:12">
      <c r="A4274" s="12"/>
      <c r="E4274" s="14"/>
      <c r="F4274" s="14"/>
      <c r="G4274" s="13">
        <v>0</v>
      </c>
      <c r="H4274" s="13">
        <v>0</v>
      </c>
      <c r="I4274" s="13"/>
      <c r="J4274" s="13"/>
      <c r="K4274" s="13"/>
      <c r="L4274" s="15">
        <v>0</v>
      </c>
    </row>
    <row r="4275" spans="1:12">
      <c r="A4275" s="12"/>
      <c r="E4275" s="14"/>
      <c r="F4275" s="14"/>
      <c r="G4275" s="13">
        <v>0</v>
      </c>
      <c r="H4275" s="13">
        <v>0</v>
      </c>
      <c r="I4275" s="13"/>
      <c r="J4275" s="13"/>
      <c r="K4275" s="13"/>
      <c r="L4275" s="15">
        <v>0</v>
      </c>
    </row>
    <row r="4276" spans="1:12">
      <c r="A4276" s="12"/>
      <c r="E4276" s="14"/>
      <c r="F4276" s="14"/>
      <c r="G4276" s="13">
        <v>0</v>
      </c>
      <c r="H4276" s="13">
        <v>0</v>
      </c>
      <c r="I4276" s="13"/>
      <c r="J4276" s="13"/>
      <c r="K4276" s="13"/>
      <c r="L4276" s="15">
        <v>0</v>
      </c>
    </row>
    <row r="4277" spans="1:12">
      <c r="A4277" s="12"/>
      <c r="E4277" s="14"/>
      <c r="F4277" s="14"/>
      <c r="G4277" s="13">
        <v>0</v>
      </c>
      <c r="H4277" s="13">
        <v>0</v>
      </c>
      <c r="I4277" s="13"/>
      <c r="J4277" s="13"/>
      <c r="K4277" s="13"/>
      <c r="L4277" s="15">
        <v>0</v>
      </c>
    </row>
    <row r="4278" spans="1:12">
      <c r="A4278" s="12"/>
      <c r="E4278" s="14"/>
      <c r="F4278" s="14"/>
      <c r="G4278" s="13">
        <v>0</v>
      </c>
      <c r="H4278" s="13">
        <v>0</v>
      </c>
      <c r="I4278" s="13"/>
      <c r="J4278" s="13"/>
      <c r="K4278" s="13"/>
      <c r="L4278" s="15">
        <v>0</v>
      </c>
    </row>
    <row r="4279" spans="1:12">
      <c r="A4279" s="12"/>
      <c r="E4279" s="14"/>
      <c r="F4279" s="14"/>
      <c r="G4279" s="13">
        <v>0</v>
      </c>
      <c r="H4279" s="13">
        <v>0</v>
      </c>
      <c r="I4279" s="13"/>
      <c r="J4279" s="13"/>
      <c r="K4279" s="13"/>
      <c r="L4279" s="15">
        <v>0</v>
      </c>
    </row>
    <row r="4280" spans="1:12">
      <c r="A4280" s="12"/>
      <c r="E4280" s="14"/>
      <c r="F4280" s="14"/>
      <c r="G4280" s="13">
        <v>0</v>
      </c>
      <c r="H4280" s="13">
        <v>0</v>
      </c>
      <c r="I4280" s="13"/>
      <c r="J4280" s="13"/>
      <c r="K4280" s="13"/>
      <c r="L4280" s="15">
        <v>0</v>
      </c>
    </row>
    <row r="4281" spans="1:12">
      <c r="A4281" s="12"/>
      <c r="E4281" s="14"/>
      <c r="F4281" s="14"/>
      <c r="G4281" s="13">
        <v>0</v>
      </c>
      <c r="H4281" s="13">
        <v>0</v>
      </c>
      <c r="I4281" s="13"/>
      <c r="J4281" s="13"/>
      <c r="K4281" s="13"/>
      <c r="L4281" s="15">
        <v>0</v>
      </c>
    </row>
    <row r="4282" spans="1:12">
      <c r="A4282" s="12"/>
      <c r="E4282" s="14"/>
      <c r="F4282" s="14"/>
      <c r="G4282" s="13">
        <v>0</v>
      </c>
      <c r="H4282" s="13">
        <v>0</v>
      </c>
      <c r="I4282" s="13"/>
      <c r="J4282" s="13"/>
      <c r="K4282" s="13"/>
      <c r="L4282" s="15">
        <v>0</v>
      </c>
    </row>
    <row r="4283" spans="1:12">
      <c r="A4283" s="12"/>
      <c r="E4283" s="14"/>
      <c r="F4283" s="14"/>
      <c r="G4283" s="13">
        <v>0</v>
      </c>
      <c r="H4283" s="13">
        <v>0</v>
      </c>
      <c r="I4283" s="13"/>
      <c r="J4283" s="13"/>
      <c r="K4283" s="13"/>
      <c r="L4283" s="15">
        <v>0</v>
      </c>
    </row>
    <row r="4284" spans="1:12">
      <c r="A4284" s="12"/>
      <c r="E4284" s="14"/>
      <c r="F4284" s="14"/>
      <c r="G4284" s="13">
        <v>0</v>
      </c>
      <c r="H4284" s="13">
        <v>0</v>
      </c>
      <c r="I4284" s="13"/>
      <c r="J4284" s="13"/>
      <c r="K4284" s="13"/>
      <c r="L4284" s="15">
        <v>0</v>
      </c>
    </row>
    <row r="4285" spans="1:12">
      <c r="A4285" s="12"/>
      <c r="E4285" s="14"/>
      <c r="F4285" s="14"/>
      <c r="G4285" s="13">
        <v>0</v>
      </c>
      <c r="H4285" s="13">
        <v>0</v>
      </c>
      <c r="I4285" s="13"/>
      <c r="J4285" s="13"/>
      <c r="K4285" s="13"/>
      <c r="L4285" s="15">
        <v>0</v>
      </c>
    </row>
    <row r="4286" spans="1:12">
      <c r="A4286" s="12"/>
      <c r="E4286" s="14"/>
      <c r="F4286" s="14"/>
      <c r="G4286" s="13">
        <v>0</v>
      </c>
      <c r="H4286" s="13">
        <v>0</v>
      </c>
      <c r="I4286" s="13"/>
      <c r="J4286" s="13"/>
      <c r="K4286" s="13"/>
      <c r="L4286" s="15">
        <v>0</v>
      </c>
    </row>
    <row r="4287" spans="1:12">
      <c r="A4287" s="12"/>
      <c r="E4287" s="14"/>
      <c r="F4287" s="14"/>
      <c r="G4287" s="13">
        <v>0</v>
      </c>
      <c r="H4287" s="13">
        <v>0</v>
      </c>
      <c r="I4287" s="13"/>
      <c r="J4287" s="13"/>
      <c r="K4287" s="13"/>
      <c r="L4287" s="15">
        <v>0</v>
      </c>
    </row>
    <row r="4288" spans="1:12">
      <c r="A4288" s="12"/>
      <c r="E4288" s="14"/>
      <c r="F4288" s="14"/>
      <c r="G4288" s="13">
        <v>0</v>
      </c>
      <c r="H4288" s="13">
        <v>0</v>
      </c>
      <c r="I4288" s="13"/>
      <c r="J4288" s="13"/>
      <c r="K4288" s="13"/>
      <c r="L4288" s="15">
        <v>0</v>
      </c>
    </row>
    <row r="4289" spans="1:12">
      <c r="A4289" s="12"/>
      <c r="E4289" s="14"/>
      <c r="F4289" s="14"/>
      <c r="G4289" s="13">
        <v>0</v>
      </c>
      <c r="H4289" s="13">
        <v>0</v>
      </c>
      <c r="I4289" s="13"/>
      <c r="J4289" s="13"/>
      <c r="K4289" s="13"/>
      <c r="L4289" s="15">
        <v>0</v>
      </c>
    </row>
    <row r="4290" spans="1:12">
      <c r="A4290" s="12"/>
      <c r="E4290" s="14"/>
      <c r="F4290" s="14"/>
      <c r="G4290" s="13">
        <v>0</v>
      </c>
      <c r="H4290" s="13">
        <v>0</v>
      </c>
      <c r="I4290" s="13"/>
      <c r="J4290" s="13"/>
      <c r="K4290" s="13"/>
      <c r="L4290" s="15">
        <v>0</v>
      </c>
    </row>
    <row r="4291" spans="1:12">
      <c r="A4291" s="12"/>
      <c r="E4291" s="14"/>
      <c r="F4291" s="14"/>
      <c r="G4291" s="13">
        <v>0</v>
      </c>
      <c r="H4291" s="13">
        <v>0</v>
      </c>
      <c r="I4291" s="13"/>
      <c r="J4291" s="13"/>
      <c r="K4291" s="13"/>
      <c r="L4291" s="15">
        <v>0</v>
      </c>
    </row>
    <row r="4292" spans="1:12">
      <c r="A4292" s="12"/>
      <c r="E4292" s="14"/>
      <c r="F4292" s="14"/>
      <c r="G4292" s="13">
        <v>0</v>
      </c>
      <c r="H4292" s="13">
        <v>0</v>
      </c>
      <c r="I4292" s="13"/>
      <c r="J4292" s="13"/>
      <c r="K4292" s="13"/>
      <c r="L4292" s="15">
        <v>0</v>
      </c>
    </row>
    <row r="4293" spans="1:12">
      <c r="A4293" s="12"/>
      <c r="E4293" s="14"/>
      <c r="F4293" s="14"/>
      <c r="G4293" s="13">
        <v>0</v>
      </c>
      <c r="H4293" s="13">
        <v>0</v>
      </c>
      <c r="I4293" s="13"/>
      <c r="J4293" s="13"/>
      <c r="K4293" s="13"/>
      <c r="L4293" s="15">
        <v>0</v>
      </c>
    </row>
    <row r="4294" spans="1:12">
      <c r="A4294" s="12"/>
      <c r="E4294" s="14"/>
      <c r="F4294" s="14"/>
      <c r="G4294" s="13">
        <v>0</v>
      </c>
      <c r="H4294" s="13">
        <v>0</v>
      </c>
      <c r="I4294" s="13"/>
      <c r="J4294" s="13"/>
      <c r="K4294" s="13"/>
      <c r="L4294" s="15">
        <v>0</v>
      </c>
    </row>
    <row r="4295" spans="1:12">
      <c r="A4295" s="12"/>
      <c r="E4295" s="14"/>
      <c r="F4295" s="14"/>
      <c r="G4295" s="13">
        <v>0</v>
      </c>
      <c r="H4295" s="13">
        <v>0</v>
      </c>
      <c r="I4295" s="13"/>
      <c r="J4295" s="13"/>
      <c r="K4295" s="13"/>
      <c r="L4295" s="15">
        <v>0</v>
      </c>
    </row>
    <row r="4296" spans="1:12">
      <c r="A4296" s="12"/>
      <c r="E4296" s="14"/>
      <c r="F4296" s="14"/>
      <c r="G4296" s="13">
        <v>0</v>
      </c>
      <c r="H4296" s="13">
        <v>0</v>
      </c>
      <c r="I4296" s="13"/>
      <c r="J4296" s="13"/>
      <c r="K4296" s="13"/>
      <c r="L4296" s="15">
        <v>0</v>
      </c>
    </row>
    <row r="4297" spans="1:12">
      <c r="A4297" s="12"/>
      <c r="E4297" s="14"/>
      <c r="F4297" s="14"/>
      <c r="G4297" s="13">
        <v>0</v>
      </c>
      <c r="H4297" s="13">
        <v>0</v>
      </c>
      <c r="I4297" s="13"/>
      <c r="J4297" s="13"/>
      <c r="K4297" s="13"/>
      <c r="L4297" s="15">
        <v>0</v>
      </c>
    </row>
    <row r="4298" spans="1:12">
      <c r="A4298" s="12"/>
      <c r="E4298" s="14"/>
      <c r="F4298" s="14"/>
      <c r="G4298" s="13">
        <v>0</v>
      </c>
      <c r="H4298" s="13">
        <v>0</v>
      </c>
      <c r="I4298" s="13"/>
      <c r="J4298" s="13"/>
      <c r="K4298" s="13"/>
      <c r="L4298" s="15">
        <v>0</v>
      </c>
    </row>
    <row r="4299" spans="1:12">
      <c r="A4299" s="12"/>
      <c r="E4299" s="14"/>
      <c r="F4299" s="14"/>
      <c r="G4299" s="13">
        <v>0</v>
      </c>
      <c r="H4299" s="13">
        <v>0</v>
      </c>
      <c r="I4299" s="13"/>
      <c r="J4299" s="13"/>
      <c r="K4299" s="13"/>
      <c r="L4299" s="15">
        <v>0</v>
      </c>
    </row>
    <row r="4300" spans="1:12">
      <c r="A4300" s="12"/>
      <c r="E4300" s="14"/>
      <c r="F4300" s="14"/>
      <c r="G4300" s="13">
        <v>0</v>
      </c>
      <c r="H4300" s="13">
        <v>0</v>
      </c>
      <c r="I4300" s="13"/>
      <c r="J4300" s="13"/>
      <c r="K4300" s="13"/>
      <c r="L4300" s="15">
        <v>0</v>
      </c>
    </row>
    <row r="4301" spans="1:12">
      <c r="A4301" s="12"/>
      <c r="E4301" s="14"/>
      <c r="F4301" s="14"/>
      <c r="G4301" s="13">
        <v>0</v>
      </c>
      <c r="H4301" s="13">
        <v>0</v>
      </c>
      <c r="I4301" s="13"/>
      <c r="J4301" s="13"/>
      <c r="K4301" s="13"/>
      <c r="L4301" s="15">
        <v>0</v>
      </c>
    </row>
    <row r="4302" spans="1:12">
      <c r="A4302" s="12"/>
      <c r="E4302" s="14"/>
      <c r="F4302" s="14"/>
      <c r="G4302" s="13">
        <v>0</v>
      </c>
      <c r="H4302" s="13">
        <v>0</v>
      </c>
      <c r="I4302" s="13"/>
      <c r="J4302" s="13"/>
      <c r="K4302" s="13"/>
      <c r="L4302" s="15">
        <v>0</v>
      </c>
    </row>
    <row r="4303" spans="1:12">
      <c r="A4303" s="12"/>
      <c r="E4303" s="14"/>
      <c r="F4303" s="14"/>
      <c r="G4303" s="13">
        <v>0</v>
      </c>
      <c r="H4303" s="13">
        <v>0</v>
      </c>
      <c r="I4303" s="13"/>
      <c r="J4303" s="13"/>
      <c r="K4303" s="13"/>
      <c r="L4303" s="15">
        <v>0</v>
      </c>
    </row>
    <row r="4304" spans="1:12">
      <c r="A4304" s="12"/>
      <c r="E4304" s="14"/>
      <c r="F4304" s="14"/>
      <c r="G4304" s="13">
        <v>0</v>
      </c>
      <c r="H4304" s="13">
        <v>0</v>
      </c>
      <c r="I4304" s="13"/>
      <c r="J4304" s="13"/>
      <c r="K4304" s="13"/>
      <c r="L4304" s="15">
        <v>0</v>
      </c>
    </row>
    <row r="4305" spans="1:12">
      <c r="A4305" s="12"/>
      <c r="E4305" s="14"/>
      <c r="F4305" s="14"/>
      <c r="G4305" s="13">
        <v>0</v>
      </c>
      <c r="H4305" s="13">
        <v>0</v>
      </c>
      <c r="I4305" s="13"/>
      <c r="J4305" s="13"/>
      <c r="K4305" s="13"/>
      <c r="L4305" s="15">
        <v>0</v>
      </c>
    </row>
    <row r="4306" spans="1:12">
      <c r="A4306" s="12"/>
      <c r="E4306" s="14"/>
      <c r="F4306" s="14"/>
      <c r="G4306" s="13">
        <v>0</v>
      </c>
      <c r="H4306" s="13">
        <v>0</v>
      </c>
      <c r="I4306" s="13"/>
      <c r="J4306" s="13"/>
      <c r="K4306" s="13"/>
      <c r="L4306" s="15">
        <v>0</v>
      </c>
    </row>
    <row r="4307" spans="1:12">
      <c r="A4307" s="12"/>
      <c r="E4307" s="14"/>
      <c r="F4307" s="14"/>
      <c r="G4307" s="13">
        <v>0</v>
      </c>
      <c r="H4307" s="13">
        <v>0</v>
      </c>
      <c r="I4307" s="13"/>
      <c r="J4307" s="13"/>
      <c r="K4307" s="13"/>
      <c r="L4307" s="15">
        <v>0</v>
      </c>
    </row>
    <row r="4308" spans="1:12">
      <c r="A4308" s="12"/>
      <c r="E4308" s="14"/>
      <c r="F4308" s="14"/>
      <c r="G4308" s="13">
        <v>0</v>
      </c>
      <c r="H4308" s="13">
        <v>0</v>
      </c>
      <c r="I4308" s="13"/>
      <c r="J4308" s="13"/>
      <c r="K4308" s="13"/>
      <c r="L4308" s="15">
        <v>0</v>
      </c>
    </row>
    <row r="4309" spans="1:12">
      <c r="A4309" s="12"/>
      <c r="E4309" s="14"/>
      <c r="F4309" s="14"/>
      <c r="G4309" s="13">
        <v>0</v>
      </c>
      <c r="H4309" s="13">
        <v>0</v>
      </c>
      <c r="I4309" s="13"/>
      <c r="J4309" s="13"/>
      <c r="K4309" s="13"/>
      <c r="L4309" s="15">
        <v>0</v>
      </c>
    </row>
    <row r="4310" spans="1:12">
      <c r="A4310" s="12"/>
      <c r="E4310" s="14"/>
      <c r="F4310" s="14"/>
      <c r="G4310" s="13">
        <v>0</v>
      </c>
      <c r="H4310" s="13">
        <v>0</v>
      </c>
      <c r="I4310" s="13"/>
      <c r="J4310" s="13"/>
      <c r="K4310" s="13"/>
      <c r="L4310" s="15">
        <v>0</v>
      </c>
    </row>
    <row r="4311" spans="1:12">
      <c r="A4311" s="12"/>
      <c r="E4311" s="14"/>
      <c r="F4311" s="14"/>
      <c r="G4311" s="13">
        <v>0</v>
      </c>
      <c r="H4311" s="13">
        <v>0</v>
      </c>
      <c r="I4311" s="13"/>
      <c r="J4311" s="13"/>
      <c r="K4311" s="13"/>
      <c r="L4311" s="15">
        <v>0</v>
      </c>
    </row>
    <row r="4312" spans="1:12">
      <c r="A4312" s="12"/>
      <c r="E4312" s="14"/>
      <c r="F4312" s="14"/>
      <c r="G4312" s="13">
        <v>0</v>
      </c>
      <c r="H4312" s="13">
        <v>0</v>
      </c>
      <c r="I4312" s="13"/>
      <c r="J4312" s="13"/>
      <c r="K4312" s="13"/>
      <c r="L4312" s="15">
        <v>0</v>
      </c>
    </row>
    <row r="4313" spans="1:12">
      <c r="A4313" s="12"/>
      <c r="E4313" s="14"/>
      <c r="F4313" s="14"/>
      <c r="G4313" s="13">
        <v>0</v>
      </c>
      <c r="H4313" s="13">
        <v>0</v>
      </c>
      <c r="I4313" s="13"/>
      <c r="J4313" s="13"/>
      <c r="K4313" s="13"/>
      <c r="L4313" s="15">
        <v>0</v>
      </c>
    </row>
    <row r="4314" spans="1:12">
      <c r="A4314" s="12"/>
      <c r="E4314" s="14"/>
      <c r="F4314" s="14"/>
      <c r="G4314" s="13">
        <v>0</v>
      </c>
      <c r="H4314" s="13">
        <v>0</v>
      </c>
      <c r="I4314" s="13"/>
      <c r="J4314" s="13"/>
      <c r="K4314" s="13"/>
      <c r="L4314" s="15">
        <v>0</v>
      </c>
    </row>
    <row r="4315" spans="1:12">
      <c r="A4315" s="12"/>
      <c r="E4315" s="14"/>
      <c r="F4315" s="14"/>
      <c r="G4315" s="13">
        <v>0</v>
      </c>
      <c r="H4315" s="13">
        <v>0</v>
      </c>
      <c r="I4315" s="13"/>
      <c r="J4315" s="13"/>
      <c r="K4315" s="13"/>
      <c r="L4315" s="15">
        <v>0</v>
      </c>
    </row>
    <row r="4316" spans="1:12">
      <c r="A4316" s="12"/>
      <c r="E4316" s="14"/>
      <c r="F4316" s="14"/>
      <c r="G4316" s="13">
        <v>0</v>
      </c>
      <c r="H4316" s="13">
        <v>0</v>
      </c>
      <c r="I4316" s="13"/>
      <c r="J4316" s="13"/>
      <c r="K4316" s="13"/>
      <c r="L4316" s="15">
        <v>0</v>
      </c>
    </row>
    <row r="4317" spans="1:12">
      <c r="A4317" s="12"/>
      <c r="E4317" s="14"/>
      <c r="F4317" s="14"/>
      <c r="G4317" s="13">
        <v>0</v>
      </c>
      <c r="H4317" s="13">
        <v>0</v>
      </c>
      <c r="I4317" s="13"/>
      <c r="J4317" s="13"/>
      <c r="K4317" s="13"/>
      <c r="L4317" s="15">
        <v>0</v>
      </c>
    </row>
    <row r="4318" spans="1:12">
      <c r="A4318" s="12"/>
      <c r="E4318" s="14"/>
      <c r="F4318" s="14"/>
      <c r="G4318" s="13">
        <v>0</v>
      </c>
      <c r="H4318" s="13">
        <v>0</v>
      </c>
      <c r="I4318" s="13"/>
      <c r="J4318" s="13"/>
      <c r="K4318" s="13"/>
      <c r="L4318" s="15">
        <v>0</v>
      </c>
    </row>
    <row r="4319" spans="1:12">
      <c r="A4319" s="12"/>
      <c r="E4319" s="14"/>
      <c r="F4319" s="14"/>
      <c r="G4319" s="13">
        <v>0</v>
      </c>
      <c r="H4319" s="13">
        <v>0</v>
      </c>
      <c r="I4319" s="13"/>
      <c r="J4319" s="13"/>
      <c r="K4319" s="13"/>
      <c r="L4319" s="15">
        <v>0</v>
      </c>
    </row>
    <row r="4320" spans="1:12">
      <c r="A4320" s="12"/>
      <c r="E4320" s="14"/>
      <c r="F4320" s="14"/>
      <c r="G4320" s="13">
        <v>0</v>
      </c>
      <c r="H4320" s="13">
        <v>0</v>
      </c>
      <c r="I4320" s="13"/>
      <c r="J4320" s="13"/>
      <c r="K4320" s="13"/>
      <c r="L4320" s="15">
        <v>0</v>
      </c>
    </row>
    <row r="4321" spans="1:12">
      <c r="A4321" s="12"/>
      <c r="E4321" s="14"/>
      <c r="F4321" s="14"/>
      <c r="G4321" s="13">
        <v>0</v>
      </c>
      <c r="H4321" s="13">
        <v>0</v>
      </c>
      <c r="I4321" s="13"/>
      <c r="J4321" s="13"/>
      <c r="K4321" s="13"/>
      <c r="L4321" s="15">
        <v>0</v>
      </c>
    </row>
    <row r="4322" spans="1:12">
      <c r="A4322" s="12"/>
      <c r="E4322" s="14"/>
      <c r="F4322" s="14"/>
      <c r="G4322" s="13">
        <v>0</v>
      </c>
      <c r="H4322" s="13">
        <v>0</v>
      </c>
      <c r="I4322" s="13"/>
      <c r="J4322" s="13"/>
      <c r="K4322" s="13"/>
      <c r="L4322" s="15">
        <v>0</v>
      </c>
    </row>
    <row r="4323" spans="1:12">
      <c r="A4323" s="12"/>
      <c r="E4323" s="14"/>
      <c r="F4323" s="14"/>
      <c r="G4323" s="13">
        <v>0</v>
      </c>
      <c r="H4323" s="13">
        <v>0</v>
      </c>
      <c r="I4323" s="13"/>
      <c r="J4323" s="13"/>
      <c r="K4323" s="13"/>
      <c r="L4323" s="15">
        <v>0</v>
      </c>
    </row>
    <row r="4324" spans="1:12">
      <c r="A4324" s="12"/>
      <c r="E4324" s="14"/>
      <c r="F4324" s="14"/>
      <c r="G4324" s="13">
        <v>0</v>
      </c>
      <c r="H4324" s="13">
        <v>0</v>
      </c>
      <c r="I4324" s="13"/>
      <c r="J4324" s="13"/>
      <c r="K4324" s="13"/>
      <c r="L4324" s="15">
        <v>0</v>
      </c>
    </row>
    <row r="4325" spans="1:12">
      <c r="A4325" s="12"/>
      <c r="E4325" s="14"/>
      <c r="F4325" s="14"/>
      <c r="G4325" s="13">
        <v>0</v>
      </c>
      <c r="H4325" s="13">
        <v>0</v>
      </c>
      <c r="I4325" s="13"/>
      <c r="J4325" s="13"/>
      <c r="K4325" s="13"/>
      <c r="L4325" s="15">
        <v>0</v>
      </c>
    </row>
    <row r="4326" spans="1:12">
      <c r="A4326" s="12"/>
      <c r="E4326" s="14"/>
      <c r="F4326" s="14"/>
      <c r="G4326" s="13">
        <v>0</v>
      </c>
      <c r="H4326" s="13">
        <v>0</v>
      </c>
      <c r="I4326" s="13"/>
      <c r="J4326" s="13"/>
      <c r="K4326" s="13"/>
      <c r="L4326" s="15">
        <v>0</v>
      </c>
    </row>
    <row r="4327" spans="1:12">
      <c r="A4327" s="12"/>
      <c r="E4327" s="14"/>
      <c r="F4327" s="14"/>
      <c r="G4327" s="13">
        <v>0</v>
      </c>
      <c r="H4327" s="13">
        <v>0</v>
      </c>
      <c r="I4327" s="13"/>
      <c r="J4327" s="13"/>
      <c r="K4327" s="13"/>
      <c r="L4327" s="15">
        <v>0</v>
      </c>
    </row>
    <row r="4328" spans="1:12">
      <c r="A4328" s="12"/>
      <c r="E4328" s="14"/>
      <c r="F4328" s="14"/>
      <c r="G4328" s="13">
        <v>0</v>
      </c>
      <c r="H4328" s="13">
        <v>0</v>
      </c>
      <c r="I4328" s="13"/>
      <c r="J4328" s="13"/>
      <c r="K4328" s="13"/>
      <c r="L4328" s="15">
        <v>0</v>
      </c>
    </row>
    <row r="4329" spans="1:12">
      <c r="A4329" s="12"/>
      <c r="E4329" s="14"/>
      <c r="F4329" s="14"/>
      <c r="G4329" s="13">
        <v>0</v>
      </c>
      <c r="H4329" s="13">
        <v>0</v>
      </c>
      <c r="I4329" s="13"/>
      <c r="J4329" s="13"/>
      <c r="K4329" s="13"/>
      <c r="L4329" s="15">
        <v>0</v>
      </c>
    </row>
    <row r="4330" spans="1:12">
      <c r="A4330" s="12"/>
      <c r="E4330" s="14"/>
      <c r="F4330" s="14"/>
      <c r="G4330" s="13">
        <v>0</v>
      </c>
      <c r="H4330" s="13">
        <v>0</v>
      </c>
      <c r="I4330" s="13"/>
      <c r="J4330" s="13"/>
      <c r="K4330" s="13"/>
      <c r="L4330" s="15">
        <v>0</v>
      </c>
    </row>
    <row r="4331" spans="1:12">
      <c r="A4331" s="12"/>
      <c r="E4331" s="14"/>
      <c r="F4331" s="14"/>
      <c r="G4331" s="13">
        <v>0</v>
      </c>
      <c r="H4331" s="13">
        <v>0</v>
      </c>
      <c r="I4331" s="13"/>
      <c r="J4331" s="13"/>
      <c r="K4331" s="13"/>
      <c r="L4331" s="15">
        <v>0</v>
      </c>
    </row>
    <row r="4332" spans="1:12">
      <c r="A4332" s="12"/>
      <c r="E4332" s="14"/>
      <c r="F4332" s="14"/>
      <c r="G4332" s="13">
        <v>0</v>
      </c>
      <c r="H4332" s="13">
        <v>0</v>
      </c>
      <c r="I4332" s="13"/>
      <c r="J4332" s="13"/>
      <c r="K4332" s="13"/>
      <c r="L4332" s="15">
        <v>0</v>
      </c>
    </row>
    <row r="4333" spans="1:12">
      <c r="A4333" s="12"/>
      <c r="E4333" s="14"/>
      <c r="F4333" s="14"/>
      <c r="G4333" s="13">
        <v>0</v>
      </c>
      <c r="H4333" s="13">
        <v>0</v>
      </c>
      <c r="I4333" s="13"/>
      <c r="J4333" s="13"/>
      <c r="K4333" s="13"/>
      <c r="L4333" s="15">
        <v>0</v>
      </c>
    </row>
    <row r="4334" spans="1:12">
      <c r="A4334" s="12"/>
      <c r="E4334" s="14"/>
      <c r="F4334" s="14"/>
      <c r="G4334" s="13">
        <v>0</v>
      </c>
      <c r="H4334" s="13">
        <v>0</v>
      </c>
      <c r="I4334" s="13"/>
      <c r="J4334" s="13"/>
      <c r="K4334" s="13"/>
      <c r="L4334" s="15">
        <v>0</v>
      </c>
    </row>
    <row r="4335" spans="1:12">
      <c r="A4335" s="12"/>
      <c r="E4335" s="14"/>
      <c r="F4335" s="14"/>
      <c r="G4335" s="13">
        <v>0</v>
      </c>
      <c r="H4335" s="13">
        <v>0</v>
      </c>
      <c r="I4335" s="13"/>
      <c r="J4335" s="13"/>
      <c r="K4335" s="13"/>
      <c r="L4335" s="15">
        <v>0</v>
      </c>
    </row>
    <row r="4336" spans="1:12">
      <c r="A4336" s="12"/>
      <c r="E4336" s="14"/>
      <c r="F4336" s="14"/>
      <c r="G4336" s="13">
        <v>0</v>
      </c>
      <c r="H4336" s="13">
        <v>0</v>
      </c>
      <c r="I4336" s="13"/>
      <c r="J4336" s="13"/>
      <c r="K4336" s="13"/>
      <c r="L4336" s="15">
        <v>0</v>
      </c>
    </row>
    <row r="4337" spans="1:12">
      <c r="A4337" s="12"/>
      <c r="E4337" s="14"/>
      <c r="F4337" s="14"/>
      <c r="G4337" s="13">
        <v>0</v>
      </c>
      <c r="H4337" s="13">
        <v>0</v>
      </c>
      <c r="I4337" s="13"/>
      <c r="J4337" s="13"/>
      <c r="K4337" s="13"/>
      <c r="L4337" s="15">
        <v>0</v>
      </c>
    </row>
    <row r="4338" spans="1:12">
      <c r="A4338" s="12"/>
      <c r="E4338" s="14"/>
      <c r="F4338" s="14"/>
      <c r="G4338" s="13">
        <v>0</v>
      </c>
      <c r="H4338" s="13">
        <v>0</v>
      </c>
      <c r="I4338" s="13"/>
      <c r="J4338" s="13"/>
      <c r="K4338" s="13"/>
      <c r="L4338" s="15">
        <v>0</v>
      </c>
    </row>
    <row r="4339" spans="1:12">
      <c r="A4339" s="12"/>
      <c r="E4339" s="14"/>
      <c r="F4339" s="14"/>
      <c r="G4339" s="13">
        <v>0</v>
      </c>
      <c r="H4339" s="13">
        <v>0</v>
      </c>
      <c r="I4339" s="13"/>
      <c r="J4339" s="13"/>
      <c r="K4339" s="13"/>
      <c r="L4339" s="15">
        <v>0</v>
      </c>
    </row>
    <row r="4340" spans="1:12">
      <c r="A4340" s="12"/>
      <c r="E4340" s="14"/>
      <c r="F4340" s="14"/>
      <c r="G4340" s="13">
        <v>0</v>
      </c>
      <c r="H4340" s="13">
        <v>0</v>
      </c>
      <c r="I4340" s="13"/>
      <c r="J4340" s="13"/>
      <c r="K4340" s="13"/>
      <c r="L4340" s="15">
        <v>0</v>
      </c>
    </row>
    <row r="4341" spans="1:12">
      <c r="A4341" s="12"/>
      <c r="E4341" s="14"/>
      <c r="F4341" s="14"/>
      <c r="G4341" s="13">
        <v>0</v>
      </c>
      <c r="H4341" s="13">
        <v>0</v>
      </c>
      <c r="I4341" s="13"/>
      <c r="J4341" s="13"/>
      <c r="K4341" s="13"/>
      <c r="L4341" s="15">
        <v>0</v>
      </c>
    </row>
    <row r="4342" spans="1:12">
      <c r="A4342" s="12"/>
      <c r="E4342" s="14"/>
      <c r="F4342" s="14"/>
      <c r="G4342" s="13">
        <v>0</v>
      </c>
      <c r="H4342" s="13">
        <v>0</v>
      </c>
      <c r="I4342" s="13"/>
      <c r="J4342" s="13"/>
      <c r="K4342" s="13"/>
      <c r="L4342" s="15">
        <v>0</v>
      </c>
    </row>
    <row r="4343" spans="1:12">
      <c r="A4343" s="12"/>
      <c r="E4343" s="14"/>
      <c r="F4343" s="14"/>
      <c r="G4343" s="13">
        <v>0</v>
      </c>
      <c r="H4343" s="13">
        <v>0</v>
      </c>
      <c r="I4343" s="13"/>
      <c r="J4343" s="13"/>
      <c r="K4343" s="13"/>
      <c r="L4343" s="15">
        <v>0</v>
      </c>
    </row>
    <row r="4344" spans="1:12">
      <c r="A4344" s="12"/>
      <c r="E4344" s="14"/>
      <c r="F4344" s="14"/>
      <c r="G4344" s="13">
        <v>0</v>
      </c>
      <c r="H4344" s="13">
        <v>0</v>
      </c>
      <c r="I4344" s="13"/>
      <c r="J4344" s="13"/>
      <c r="K4344" s="13"/>
      <c r="L4344" s="15">
        <v>0</v>
      </c>
    </row>
    <row r="4345" spans="1:12">
      <c r="A4345" s="12"/>
      <c r="E4345" s="14"/>
      <c r="F4345" s="14"/>
      <c r="G4345" s="13">
        <v>0</v>
      </c>
      <c r="H4345" s="13">
        <v>0</v>
      </c>
      <c r="I4345" s="13"/>
      <c r="J4345" s="13"/>
      <c r="K4345" s="13"/>
      <c r="L4345" s="15">
        <v>0</v>
      </c>
    </row>
    <row r="4346" spans="1:12">
      <c r="A4346" s="12"/>
      <c r="E4346" s="14"/>
      <c r="F4346" s="14"/>
      <c r="G4346" s="13">
        <v>0</v>
      </c>
      <c r="H4346" s="13">
        <v>0</v>
      </c>
      <c r="I4346" s="13"/>
      <c r="J4346" s="13"/>
      <c r="K4346" s="13"/>
      <c r="L4346" s="15">
        <v>0</v>
      </c>
    </row>
    <row r="4347" spans="1:12">
      <c r="A4347" s="12"/>
      <c r="E4347" s="14"/>
      <c r="F4347" s="14"/>
      <c r="G4347" s="13">
        <v>0</v>
      </c>
      <c r="H4347" s="13">
        <v>0</v>
      </c>
      <c r="I4347" s="13"/>
      <c r="J4347" s="13"/>
      <c r="K4347" s="13"/>
      <c r="L4347" s="15">
        <v>0</v>
      </c>
    </row>
    <row r="4348" spans="1:12">
      <c r="A4348" s="12"/>
      <c r="E4348" s="14"/>
      <c r="F4348" s="14"/>
      <c r="G4348" s="13">
        <v>0</v>
      </c>
      <c r="H4348" s="13">
        <v>0</v>
      </c>
      <c r="I4348" s="13"/>
      <c r="J4348" s="13"/>
      <c r="K4348" s="13"/>
      <c r="L4348" s="15">
        <v>0</v>
      </c>
    </row>
    <row r="4349" spans="1:12">
      <c r="A4349" s="12"/>
      <c r="E4349" s="14"/>
      <c r="F4349" s="14"/>
      <c r="G4349" s="13">
        <v>0</v>
      </c>
      <c r="H4349" s="13">
        <v>0</v>
      </c>
      <c r="I4349" s="13"/>
      <c r="J4349" s="13"/>
      <c r="K4349" s="13"/>
      <c r="L4349" s="15">
        <v>0</v>
      </c>
    </row>
    <row r="4350" spans="1:12">
      <c r="A4350" s="12"/>
      <c r="E4350" s="14"/>
      <c r="F4350" s="14"/>
      <c r="G4350" s="13">
        <v>0</v>
      </c>
      <c r="H4350" s="13">
        <v>0</v>
      </c>
      <c r="I4350" s="13"/>
      <c r="J4350" s="13"/>
      <c r="K4350" s="13"/>
      <c r="L4350" s="15">
        <v>0</v>
      </c>
    </row>
    <row r="4351" spans="1:12">
      <c r="A4351" s="12"/>
      <c r="E4351" s="14"/>
      <c r="F4351" s="14"/>
      <c r="G4351" s="13">
        <v>0</v>
      </c>
      <c r="H4351" s="13">
        <v>0</v>
      </c>
      <c r="I4351" s="13"/>
      <c r="J4351" s="13"/>
      <c r="K4351" s="13"/>
      <c r="L4351" s="15">
        <v>0</v>
      </c>
    </row>
    <row r="4352" spans="1:12">
      <c r="A4352" s="12"/>
      <c r="E4352" s="14"/>
      <c r="F4352" s="14"/>
      <c r="G4352" s="13">
        <v>0</v>
      </c>
      <c r="H4352" s="13">
        <v>0</v>
      </c>
      <c r="I4352" s="13"/>
      <c r="J4352" s="13"/>
      <c r="K4352" s="13"/>
      <c r="L4352" s="15">
        <v>0</v>
      </c>
    </row>
    <row r="4353" spans="1:12">
      <c r="A4353" s="12"/>
      <c r="E4353" s="14"/>
      <c r="F4353" s="14"/>
      <c r="G4353" s="13">
        <v>0</v>
      </c>
      <c r="H4353" s="13">
        <v>0</v>
      </c>
      <c r="I4353" s="13"/>
      <c r="J4353" s="13"/>
      <c r="K4353" s="13"/>
      <c r="L4353" s="15">
        <v>0</v>
      </c>
    </row>
    <row r="4354" spans="1:12">
      <c r="A4354" s="12"/>
      <c r="E4354" s="14"/>
      <c r="F4354" s="14"/>
      <c r="G4354" s="13">
        <v>0</v>
      </c>
      <c r="H4354" s="13">
        <v>0</v>
      </c>
      <c r="I4354" s="13"/>
      <c r="J4354" s="13"/>
      <c r="K4354" s="13"/>
      <c r="L4354" s="15">
        <v>0</v>
      </c>
    </row>
    <row r="4355" spans="1:12">
      <c r="A4355" s="12"/>
      <c r="E4355" s="14"/>
      <c r="F4355" s="14"/>
      <c r="G4355" s="13">
        <v>0</v>
      </c>
      <c r="H4355" s="13">
        <v>0</v>
      </c>
      <c r="I4355" s="13"/>
      <c r="J4355" s="13"/>
      <c r="K4355" s="13"/>
      <c r="L4355" s="15">
        <v>0</v>
      </c>
    </row>
    <row r="4356" spans="1:12">
      <c r="A4356" s="12"/>
      <c r="E4356" s="14"/>
      <c r="F4356" s="14"/>
      <c r="G4356" s="13">
        <v>0</v>
      </c>
      <c r="H4356" s="13">
        <v>0</v>
      </c>
      <c r="I4356" s="13"/>
      <c r="J4356" s="13"/>
      <c r="K4356" s="13"/>
      <c r="L4356" s="15">
        <v>0</v>
      </c>
    </row>
    <row r="4357" spans="1:12">
      <c r="A4357" s="12"/>
      <c r="E4357" s="14"/>
      <c r="F4357" s="14"/>
      <c r="G4357" s="13">
        <v>0</v>
      </c>
      <c r="H4357" s="13">
        <v>0</v>
      </c>
      <c r="I4357" s="13"/>
      <c r="J4357" s="13"/>
      <c r="K4357" s="13"/>
      <c r="L4357" s="15">
        <v>0</v>
      </c>
    </row>
    <row r="4358" spans="1:12">
      <c r="A4358" s="12"/>
      <c r="E4358" s="14"/>
      <c r="F4358" s="14"/>
      <c r="G4358" s="13">
        <v>0</v>
      </c>
      <c r="H4358" s="13">
        <v>0</v>
      </c>
      <c r="I4358" s="13"/>
      <c r="J4358" s="13"/>
      <c r="K4358" s="13"/>
      <c r="L4358" s="15">
        <v>0</v>
      </c>
    </row>
    <row r="4359" spans="1:12">
      <c r="A4359" s="12"/>
      <c r="E4359" s="14"/>
      <c r="F4359" s="14"/>
      <c r="G4359" s="13">
        <v>0</v>
      </c>
      <c r="H4359" s="13">
        <v>0</v>
      </c>
      <c r="I4359" s="13"/>
      <c r="J4359" s="13"/>
      <c r="K4359" s="13"/>
      <c r="L4359" s="15">
        <v>0</v>
      </c>
    </row>
    <row r="4360" spans="1:12">
      <c r="A4360" s="12"/>
      <c r="E4360" s="14"/>
      <c r="F4360" s="14"/>
      <c r="G4360" s="13">
        <v>0</v>
      </c>
      <c r="H4360" s="13">
        <v>0</v>
      </c>
      <c r="I4360" s="13"/>
      <c r="J4360" s="13"/>
      <c r="K4360" s="13"/>
      <c r="L4360" s="15">
        <v>0</v>
      </c>
    </row>
    <row r="4361" spans="1:12">
      <c r="A4361" s="12"/>
      <c r="E4361" s="14"/>
      <c r="F4361" s="14"/>
      <c r="G4361" s="13">
        <v>0</v>
      </c>
      <c r="H4361" s="13">
        <v>0</v>
      </c>
      <c r="I4361" s="13"/>
      <c r="J4361" s="13"/>
      <c r="K4361" s="13"/>
      <c r="L4361" s="15">
        <v>0</v>
      </c>
    </row>
    <row r="4362" spans="1:12">
      <c r="A4362" s="12"/>
      <c r="E4362" s="14"/>
      <c r="F4362" s="14"/>
      <c r="G4362" s="13">
        <v>0</v>
      </c>
      <c r="H4362" s="13">
        <v>0</v>
      </c>
      <c r="I4362" s="13"/>
      <c r="J4362" s="13"/>
      <c r="K4362" s="13"/>
      <c r="L4362" s="15">
        <v>0</v>
      </c>
    </row>
    <row r="4363" spans="1:12">
      <c r="A4363" s="12"/>
      <c r="E4363" s="14"/>
      <c r="F4363" s="14"/>
      <c r="G4363" s="13">
        <v>0</v>
      </c>
      <c r="H4363" s="13">
        <v>0</v>
      </c>
      <c r="I4363" s="13"/>
      <c r="J4363" s="13"/>
      <c r="K4363" s="13"/>
      <c r="L4363" s="15">
        <v>0</v>
      </c>
    </row>
    <row r="4364" spans="1:12">
      <c r="A4364" s="12"/>
      <c r="E4364" s="14"/>
      <c r="F4364" s="14"/>
      <c r="G4364" s="13">
        <v>0</v>
      </c>
      <c r="H4364" s="13">
        <v>0</v>
      </c>
      <c r="I4364" s="13"/>
      <c r="J4364" s="13"/>
      <c r="K4364" s="13"/>
      <c r="L4364" s="15">
        <v>0</v>
      </c>
    </row>
    <row r="4365" spans="1:12">
      <c r="A4365" s="12"/>
      <c r="E4365" s="14"/>
      <c r="F4365" s="14"/>
      <c r="G4365" s="13">
        <v>0</v>
      </c>
      <c r="H4365" s="13">
        <v>0</v>
      </c>
      <c r="I4365" s="13"/>
      <c r="J4365" s="13"/>
      <c r="K4365" s="13"/>
      <c r="L4365" s="15">
        <v>0</v>
      </c>
    </row>
    <row r="4366" spans="1:12">
      <c r="A4366" s="12"/>
      <c r="E4366" s="14"/>
      <c r="F4366" s="14"/>
      <c r="G4366" s="13">
        <v>0</v>
      </c>
      <c r="H4366" s="13">
        <v>0</v>
      </c>
      <c r="I4366" s="13"/>
      <c r="J4366" s="13"/>
      <c r="K4366" s="13"/>
      <c r="L4366" s="15">
        <v>0</v>
      </c>
    </row>
    <row r="4367" spans="1:12">
      <c r="A4367" s="12"/>
      <c r="E4367" s="14"/>
      <c r="F4367" s="14"/>
      <c r="G4367" s="13">
        <v>0</v>
      </c>
      <c r="H4367" s="13">
        <v>0</v>
      </c>
      <c r="I4367" s="13"/>
      <c r="J4367" s="13"/>
      <c r="K4367" s="13"/>
      <c r="L4367" s="15">
        <v>0</v>
      </c>
    </row>
    <row r="4368" spans="1:12">
      <c r="A4368" s="12"/>
      <c r="E4368" s="14"/>
      <c r="F4368" s="14"/>
      <c r="G4368" s="13">
        <v>0</v>
      </c>
      <c r="H4368" s="13">
        <v>0</v>
      </c>
      <c r="I4368" s="13"/>
      <c r="J4368" s="13"/>
      <c r="K4368" s="13"/>
      <c r="L4368" s="15">
        <v>0</v>
      </c>
    </row>
    <row r="4369" spans="1:12">
      <c r="A4369" s="12"/>
      <c r="E4369" s="14"/>
      <c r="F4369" s="14"/>
      <c r="G4369" s="13">
        <v>0</v>
      </c>
      <c r="H4369" s="13">
        <v>0</v>
      </c>
      <c r="I4369" s="13"/>
      <c r="J4369" s="13"/>
      <c r="K4369" s="13"/>
      <c r="L4369" s="15">
        <v>0</v>
      </c>
    </row>
    <row r="4370" spans="1:12">
      <c r="A4370" s="12"/>
      <c r="E4370" s="14"/>
      <c r="F4370" s="14"/>
      <c r="G4370" s="13">
        <v>0</v>
      </c>
      <c r="H4370" s="13">
        <v>0</v>
      </c>
      <c r="I4370" s="13"/>
      <c r="J4370" s="13"/>
      <c r="K4370" s="13"/>
      <c r="L4370" s="15">
        <v>0</v>
      </c>
    </row>
    <row r="4371" spans="1:12">
      <c r="A4371" s="12"/>
      <c r="E4371" s="14"/>
      <c r="F4371" s="14"/>
      <c r="G4371" s="13">
        <v>0</v>
      </c>
      <c r="H4371" s="13">
        <v>0</v>
      </c>
      <c r="I4371" s="13"/>
      <c r="J4371" s="13"/>
      <c r="K4371" s="13"/>
      <c r="L4371" s="15">
        <v>0</v>
      </c>
    </row>
    <row r="4372" spans="1:12">
      <c r="A4372" s="12"/>
      <c r="E4372" s="14"/>
      <c r="F4372" s="14"/>
      <c r="G4372" s="13">
        <v>0</v>
      </c>
      <c r="H4372" s="13">
        <v>0</v>
      </c>
      <c r="I4372" s="13"/>
      <c r="J4372" s="13"/>
      <c r="K4372" s="13"/>
      <c r="L4372" s="15">
        <v>0</v>
      </c>
    </row>
    <row r="4373" spans="1:12">
      <c r="A4373" s="12"/>
      <c r="E4373" s="14"/>
      <c r="F4373" s="14"/>
      <c r="G4373" s="13">
        <v>0</v>
      </c>
      <c r="H4373" s="13">
        <v>0</v>
      </c>
      <c r="I4373" s="13"/>
      <c r="J4373" s="13"/>
      <c r="K4373" s="13"/>
      <c r="L4373" s="15">
        <v>0</v>
      </c>
    </row>
    <row r="4374" spans="1:12">
      <c r="A4374" s="12"/>
      <c r="E4374" s="14"/>
      <c r="F4374" s="14"/>
      <c r="G4374" s="13">
        <v>0</v>
      </c>
      <c r="H4374" s="13">
        <v>0</v>
      </c>
      <c r="I4374" s="13"/>
      <c r="J4374" s="13"/>
      <c r="K4374" s="13"/>
      <c r="L4374" s="15">
        <v>0</v>
      </c>
    </row>
    <row r="4375" spans="1:12">
      <c r="A4375" s="12"/>
      <c r="E4375" s="14"/>
      <c r="F4375" s="14"/>
      <c r="G4375" s="13">
        <v>0</v>
      </c>
      <c r="H4375" s="13">
        <v>0</v>
      </c>
      <c r="I4375" s="13"/>
      <c r="J4375" s="13"/>
      <c r="K4375" s="13"/>
      <c r="L4375" s="15">
        <v>0</v>
      </c>
    </row>
    <row r="4376" spans="1:12">
      <c r="A4376" s="12"/>
      <c r="E4376" s="14"/>
      <c r="F4376" s="14"/>
      <c r="G4376" s="13">
        <v>0</v>
      </c>
      <c r="H4376" s="13">
        <v>0</v>
      </c>
      <c r="I4376" s="13"/>
      <c r="J4376" s="13"/>
      <c r="K4376" s="13"/>
      <c r="L4376" s="15">
        <v>0</v>
      </c>
    </row>
    <row r="4377" spans="1:12">
      <c r="A4377" s="12"/>
      <c r="E4377" s="14"/>
      <c r="F4377" s="14"/>
      <c r="G4377" s="13">
        <v>0</v>
      </c>
      <c r="H4377" s="13">
        <v>0</v>
      </c>
      <c r="I4377" s="13"/>
      <c r="J4377" s="13"/>
      <c r="K4377" s="13"/>
      <c r="L4377" s="15">
        <v>0</v>
      </c>
    </row>
    <row r="4378" spans="1:12">
      <c r="A4378" s="12"/>
      <c r="E4378" s="14"/>
      <c r="F4378" s="14"/>
      <c r="G4378" s="13">
        <v>0</v>
      </c>
      <c r="H4378" s="13">
        <v>0</v>
      </c>
      <c r="I4378" s="13"/>
      <c r="J4378" s="13"/>
      <c r="K4378" s="13"/>
      <c r="L4378" s="15">
        <v>0</v>
      </c>
    </row>
    <row r="4379" spans="1:12">
      <c r="A4379" s="12"/>
      <c r="E4379" s="14"/>
      <c r="F4379" s="14"/>
      <c r="G4379" s="13">
        <v>0</v>
      </c>
      <c r="H4379" s="13">
        <v>0</v>
      </c>
      <c r="I4379" s="13"/>
      <c r="J4379" s="13"/>
      <c r="K4379" s="13"/>
      <c r="L4379" s="15">
        <v>0</v>
      </c>
    </row>
    <row r="4380" spans="1:12">
      <c r="A4380" s="12"/>
      <c r="E4380" s="14"/>
      <c r="F4380" s="14"/>
      <c r="G4380" s="13">
        <v>0</v>
      </c>
      <c r="H4380" s="13">
        <v>0</v>
      </c>
      <c r="I4380" s="13"/>
      <c r="J4380" s="13"/>
      <c r="K4380" s="13"/>
      <c r="L4380" s="15">
        <v>0</v>
      </c>
    </row>
    <row r="4381" spans="1:12">
      <c r="A4381" s="12"/>
      <c r="E4381" s="14"/>
      <c r="F4381" s="14"/>
      <c r="G4381" s="13">
        <v>0</v>
      </c>
      <c r="H4381" s="13">
        <v>0</v>
      </c>
      <c r="I4381" s="13"/>
      <c r="J4381" s="13"/>
      <c r="K4381" s="13"/>
      <c r="L4381" s="15">
        <v>0</v>
      </c>
    </row>
    <row r="4382" spans="1:12">
      <c r="A4382" s="12"/>
      <c r="E4382" s="14"/>
      <c r="F4382" s="14"/>
      <c r="G4382" s="13">
        <v>0</v>
      </c>
      <c r="H4382" s="13">
        <v>0</v>
      </c>
      <c r="I4382" s="13"/>
      <c r="J4382" s="13"/>
      <c r="K4382" s="13"/>
      <c r="L4382" s="15">
        <v>0</v>
      </c>
    </row>
    <row r="4383" spans="1:12">
      <c r="A4383" s="12"/>
      <c r="E4383" s="14"/>
      <c r="F4383" s="14"/>
      <c r="G4383" s="13">
        <v>0</v>
      </c>
      <c r="H4383" s="13">
        <v>0</v>
      </c>
      <c r="I4383" s="13"/>
      <c r="J4383" s="13"/>
      <c r="K4383" s="13"/>
      <c r="L4383" s="15">
        <v>0</v>
      </c>
    </row>
    <row r="4384" spans="1:12">
      <c r="A4384" s="12"/>
      <c r="E4384" s="14"/>
      <c r="F4384" s="14"/>
      <c r="G4384" s="13">
        <v>0</v>
      </c>
      <c r="H4384" s="13">
        <v>0</v>
      </c>
      <c r="I4384" s="13"/>
      <c r="J4384" s="13"/>
      <c r="K4384" s="13"/>
      <c r="L4384" s="15">
        <v>0</v>
      </c>
    </row>
    <row r="4385" spans="1:12">
      <c r="A4385" s="12"/>
      <c r="E4385" s="14"/>
      <c r="F4385" s="14"/>
      <c r="G4385" s="13">
        <v>0</v>
      </c>
      <c r="H4385" s="13">
        <v>0</v>
      </c>
      <c r="I4385" s="13"/>
      <c r="J4385" s="13"/>
      <c r="K4385" s="13"/>
      <c r="L4385" s="15">
        <v>0</v>
      </c>
    </row>
    <row r="4386" spans="1:12">
      <c r="A4386" s="12"/>
      <c r="E4386" s="14"/>
      <c r="F4386" s="14"/>
      <c r="G4386" s="13">
        <v>0</v>
      </c>
      <c r="H4386" s="13">
        <v>0</v>
      </c>
      <c r="I4386" s="13"/>
      <c r="J4386" s="13"/>
      <c r="K4386" s="13"/>
      <c r="L4386" s="15">
        <v>0</v>
      </c>
    </row>
    <row r="4387" spans="1:12">
      <c r="A4387" s="12"/>
      <c r="E4387" s="14"/>
      <c r="F4387" s="14"/>
      <c r="G4387" s="13">
        <v>0</v>
      </c>
      <c r="H4387" s="13">
        <v>0</v>
      </c>
      <c r="I4387" s="13"/>
      <c r="J4387" s="13"/>
      <c r="K4387" s="13"/>
      <c r="L4387" s="15">
        <v>0</v>
      </c>
    </row>
    <row r="4388" spans="1:12">
      <c r="A4388" s="12"/>
      <c r="E4388" s="14"/>
      <c r="F4388" s="14"/>
      <c r="G4388" s="13">
        <v>0</v>
      </c>
      <c r="H4388" s="13">
        <v>0</v>
      </c>
      <c r="I4388" s="13"/>
      <c r="J4388" s="13"/>
      <c r="K4388" s="13"/>
      <c r="L4388" s="15">
        <v>0</v>
      </c>
    </row>
    <row r="4389" spans="1:12">
      <c r="A4389" s="12"/>
      <c r="E4389" s="14"/>
      <c r="F4389" s="14"/>
      <c r="G4389" s="13">
        <v>0</v>
      </c>
      <c r="H4389" s="13">
        <v>0</v>
      </c>
      <c r="I4389" s="13"/>
      <c r="J4389" s="13"/>
      <c r="K4389" s="13"/>
      <c r="L4389" s="15">
        <v>0</v>
      </c>
    </row>
    <row r="4390" spans="1:12">
      <c r="A4390" s="12"/>
      <c r="E4390" s="14"/>
      <c r="F4390" s="14"/>
      <c r="G4390" s="13">
        <v>0</v>
      </c>
      <c r="H4390" s="13">
        <v>0</v>
      </c>
      <c r="I4390" s="13"/>
      <c r="J4390" s="13"/>
      <c r="K4390" s="13"/>
      <c r="L4390" s="15">
        <v>0</v>
      </c>
    </row>
    <row r="4391" spans="1:12">
      <c r="A4391" s="12"/>
      <c r="E4391" s="14"/>
      <c r="F4391" s="14"/>
      <c r="G4391" s="13">
        <v>0</v>
      </c>
      <c r="H4391" s="13">
        <v>0</v>
      </c>
      <c r="I4391" s="13"/>
      <c r="J4391" s="13"/>
      <c r="K4391" s="13"/>
      <c r="L4391" s="15">
        <v>0</v>
      </c>
    </row>
    <row r="4392" spans="1:12">
      <c r="A4392" s="12"/>
      <c r="E4392" s="14"/>
      <c r="F4392" s="14"/>
      <c r="G4392" s="13">
        <v>0</v>
      </c>
      <c r="H4392" s="13">
        <v>0</v>
      </c>
      <c r="I4392" s="13"/>
      <c r="J4392" s="13"/>
      <c r="K4392" s="13"/>
      <c r="L4392" s="15">
        <v>0</v>
      </c>
    </row>
    <row r="4393" spans="1:12">
      <c r="A4393" s="12"/>
      <c r="E4393" s="14"/>
      <c r="F4393" s="14"/>
      <c r="G4393" s="13">
        <v>0</v>
      </c>
      <c r="H4393" s="13">
        <v>0</v>
      </c>
      <c r="I4393" s="13"/>
      <c r="J4393" s="13"/>
      <c r="K4393" s="13"/>
      <c r="L4393" s="15">
        <v>0</v>
      </c>
    </row>
    <row r="4394" spans="1:12">
      <c r="A4394" s="12"/>
      <c r="E4394" s="14"/>
      <c r="F4394" s="14"/>
      <c r="G4394" s="13">
        <v>0</v>
      </c>
      <c r="H4394" s="13">
        <v>0</v>
      </c>
      <c r="I4394" s="13"/>
      <c r="J4394" s="13"/>
      <c r="K4394" s="13"/>
      <c r="L4394" s="15">
        <v>0</v>
      </c>
    </row>
    <row r="4395" spans="1:12">
      <c r="A4395" s="12"/>
      <c r="E4395" s="14"/>
      <c r="F4395" s="14"/>
      <c r="G4395" s="13">
        <v>0</v>
      </c>
      <c r="H4395" s="13">
        <v>0</v>
      </c>
      <c r="I4395" s="13"/>
      <c r="J4395" s="13"/>
      <c r="K4395" s="13"/>
      <c r="L4395" s="15">
        <v>0</v>
      </c>
    </row>
    <row r="4396" spans="1:12">
      <c r="A4396" s="12"/>
      <c r="E4396" s="14"/>
      <c r="F4396" s="14"/>
      <c r="G4396" s="13">
        <v>0</v>
      </c>
      <c r="H4396" s="13">
        <v>0</v>
      </c>
      <c r="I4396" s="13"/>
      <c r="J4396" s="13"/>
      <c r="K4396" s="13"/>
      <c r="L4396" s="15">
        <v>0</v>
      </c>
    </row>
    <row r="4397" spans="1:12">
      <c r="A4397" s="12"/>
      <c r="E4397" s="14"/>
      <c r="F4397" s="14"/>
      <c r="G4397" s="13">
        <v>0</v>
      </c>
      <c r="H4397" s="13">
        <v>0</v>
      </c>
      <c r="I4397" s="13"/>
      <c r="J4397" s="13"/>
      <c r="K4397" s="13"/>
      <c r="L4397" s="15">
        <v>0</v>
      </c>
    </row>
    <row r="4398" spans="1:12">
      <c r="A4398" s="12"/>
      <c r="E4398" s="14"/>
      <c r="F4398" s="14"/>
      <c r="G4398" s="13">
        <v>0</v>
      </c>
      <c r="H4398" s="13">
        <v>0</v>
      </c>
      <c r="I4398" s="13"/>
      <c r="J4398" s="13"/>
      <c r="K4398" s="13"/>
      <c r="L4398" s="15">
        <v>0</v>
      </c>
    </row>
    <row r="4399" spans="1:12">
      <c r="A4399" s="12"/>
      <c r="E4399" s="14"/>
      <c r="F4399" s="14"/>
      <c r="G4399" s="13">
        <v>0</v>
      </c>
      <c r="H4399" s="13">
        <v>0</v>
      </c>
      <c r="I4399" s="13"/>
      <c r="J4399" s="13"/>
      <c r="K4399" s="13"/>
      <c r="L4399" s="15">
        <v>0</v>
      </c>
    </row>
    <row r="4400" spans="1:12">
      <c r="A4400" s="12"/>
      <c r="E4400" s="14"/>
      <c r="F4400" s="14"/>
      <c r="G4400" s="13">
        <v>0</v>
      </c>
      <c r="H4400" s="13">
        <v>0</v>
      </c>
      <c r="I4400" s="13"/>
      <c r="J4400" s="13"/>
      <c r="K4400" s="13"/>
      <c r="L4400" s="15">
        <v>0</v>
      </c>
    </row>
    <row r="4401" spans="1:12">
      <c r="A4401" s="12"/>
      <c r="E4401" s="14"/>
      <c r="F4401" s="14"/>
      <c r="G4401" s="13">
        <v>0</v>
      </c>
      <c r="H4401" s="13">
        <v>0</v>
      </c>
      <c r="I4401" s="13"/>
      <c r="J4401" s="13"/>
      <c r="K4401" s="13"/>
      <c r="L4401" s="15">
        <v>0</v>
      </c>
    </row>
    <row r="4402" spans="1:12">
      <c r="A4402" s="12"/>
      <c r="E4402" s="14"/>
      <c r="F4402" s="14"/>
      <c r="G4402" s="13">
        <v>0</v>
      </c>
      <c r="H4402" s="13">
        <v>0</v>
      </c>
      <c r="I4402" s="13"/>
      <c r="J4402" s="13"/>
      <c r="K4402" s="13"/>
      <c r="L4402" s="15">
        <v>0</v>
      </c>
    </row>
    <row r="4403" spans="1:12">
      <c r="A4403" s="12"/>
      <c r="E4403" s="14"/>
      <c r="F4403" s="14"/>
      <c r="G4403" s="13">
        <v>0</v>
      </c>
      <c r="H4403" s="13">
        <v>0</v>
      </c>
      <c r="I4403" s="13"/>
      <c r="J4403" s="13"/>
      <c r="K4403" s="13"/>
      <c r="L4403" s="15">
        <v>0</v>
      </c>
    </row>
    <row r="4404" spans="1:12">
      <c r="A4404" s="12"/>
      <c r="E4404" s="14"/>
      <c r="F4404" s="14"/>
      <c r="G4404" s="13">
        <v>0</v>
      </c>
      <c r="H4404" s="13">
        <v>0</v>
      </c>
      <c r="I4404" s="13"/>
      <c r="J4404" s="13"/>
      <c r="K4404" s="13"/>
      <c r="L4404" s="15">
        <v>0</v>
      </c>
    </row>
    <row r="4405" spans="1:12">
      <c r="A4405" s="12"/>
      <c r="E4405" s="14"/>
      <c r="F4405" s="14"/>
      <c r="G4405" s="13">
        <v>0</v>
      </c>
      <c r="H4405" s="13">
        <v>0</v>
      </c>
      <c r="I4405" s="13"/>
      <c r="J4405" s="13"/>
      <c r="K4405" s="13"/>
      <c r="L4405" s="15">
        <v>0</v>
      </c>
    </row>
    <row r="4406" spans="1:12">
      <c r="A4406" s="12"/>
      <c r="E4406" s="14"/>
      <c r="F4406" s="14"/>
      <c r="G4406" s="13">
        <v>0</v>
      </c>
      <c r="H4406" s="13">
        <v>0</v>
      </c>
      <c r="I4406" s="13"/>
      <c r="J4406" s="13"/>
      <c r="K4406" s="13"/>
      <c r="L4406" s="15">
        <v>0</v>
      </c>
    </row>
    <row r="4407" spans="1:12">
      <c r="A4407" s="12"/>
      <c r="E4407" s="14"/>
      <c r="F4407" s="14"/>
      <c r="G4407" s="13">
        <v>0</v>
      </c>
      <c r="H4407" s="13">
        <v>0</v>
      </c>
      <c r="I4407" s="13"/>
      <c r="J4407" s="13"/>
      <c r="K4407" s="13"/>
      <c r="L4407" s="15">
        <v>0</v>
      </c>
    </row>
    <row r="4408" spans="1:12">
      <c r="A4408" s="12"/>
      <c r="E4408" s="14"/>
      <c r="F4408" s="14"/>
      <c r="G4408" s="13">
        <v>0</v>
      </c>
      <c r="H4408" s="13">
        <v>0</v>
      </c>
      <c r="I4408" s="13"/>
      <c r="J4408" s="13"/>
      <c r="K4408" s="13"/>
      <c r="L4408" s="15">
        <v>0</v>
      </c>
    </row>
    <row r="4409" spans="1:12">
      <c r="A4409" s="12"/>
      <c r="E4409" s="14"/>
      <c r="F4409" s="14"/>
      <c r="G4409" s="13">
        <v>0</v>
      </c>
      <c r="H4409" s="13">
        <v>0</v>
      </c>
      <c r="I4409" s="13"/>
      <c r="J4409" s="13"/>
      <c r="K4409" s="13"/>
      <c r="L4409" s="15">
        <v>0</v>
      </c>
    </row>
    <row r="4410" spans="1:12">
      <c r="A4410" s="12"/>
      <c r="E4410" s="14"/>
      <c r="F4410" s="14"/>
      <c r="G4410" s="13">
        <v>0</v>
      </c>
      <c r="H4410" s="13">
        <v>0</v>
      </c>
      <c r="I4410" s="13"/>
      <c r="J4410" s="13"/>
      <c r="K4410" s="13"/>
      <c r="L4410" s="15">
        <v>0</v>
      </c>
    </row>
    <row r="4411" spans="1:12">
      <c r="A4411" s="12"/>
      <c r="E4411" s="14"/>
      <c r="F4411" s="14"/>
      <c r="G4411" s="13">
        <v>0</v>
      </c>
      <c r="H4411" s="13">
        <v>0</v>
      </c>
      <c r="I4411" s="13"/>
      <c r="J4411" s="13"/>
      <c r="K4411" s="13"/>
      <c r="L4411" s="15">
        <v>0</v>
      </c>
    </row>
    <row r="4412" spans="1:12">
      <c r="A4412" s="12"/>
      <c r="E4412" s="14"/>
      <c r="F4412" s="14"/>
      <c r="G4412" s="13">
        <v>0</v>
      </c>
      <c r="H4412" s="13">
        <v>0</v>
      </c>
      <c r="I4412" s="13"/>
      <c r="J4412" s="13"/>
      <c r="K4412" s="13"/>
      <c r="L4412" s="15">
        <v>0</v>
      </c>
    </row>
    <row r="4413" spans="1:12">
      <c r="A4413" s="12"/>
      <c r="E4413" s="14"/>
      <c r="F4413" s="14"/>
      <c r="G4413" s="13">
        <v>0</v>
      </c>
      <c r="H4413" s="13">
        <v>0</v>
      </c>
      <c r="I4413" s="13"/>
      <c r="J4413" s="13"/>
      <c r="K4413" s="13"/>
      <c r="L4413" s="15">
        <v>0</v>
      </c>
    </row>
    <row r="4414" spans="1:12">
      <c r="A4414" s="12"/>
      <c r="E4414" s="14"/>
      <c r="F4414" s="14"/>
      <c r="G4414" s="13">
        <v>0</v>
      </c>
      <c r="H4414" s="13">
        <v>0</v>
      </c>
      <c r="I4414" s="13"/>
      <c r="J4414" s="13"/>
      <c r="K4414" s="13"/>
      <c r="L4414" s="15">
        <v>0</v>
      </c>
    </row>
    <row r="4415" spans="1:12">
      <c r="A4415" s="12"/>
      <c r="E4415" s="14"/>
      <c r="F4415" s="14"/>
      <c r="G4415" s="13">
        <v>0</v>
      </c>
      <c r="H4415" s="13">
        <v>0</v>
      </c>
      <c r="I4415" s="13"/>
      <c r="J4415" s="13"/>
      <c r="K4415" s="13"/>
      <c r="L4415" s="15">
        <v>0</v>
      </c>
    </row>
    <row r="4416" spans="1:12">
      <c r="A4416" s="12"/>
      <c r="E4416" s="14"/>
      <c r="F4416" s="14"/>
      <c r="G4416" s="13">
        <v>0</v>
      </c>
      <c r="H4416" s="13">
        <v>0</v>
      </c>
      <c r="I4416" s="13"/>
      <c r="J4416" s="13"/>
      <c r="K4416" s="13"/>
      <c r="L4416" s="15">
        <v>0</v>
      </c>
    </row>
    <row r="4417" spans="1:12">
      <c r="A4417" s="12"/>
      <c r="E4417" s="14"/>
      <c r="F4417" s="14"/>
      <c r="G4417" s="13">
        <v>0</v>
      </c>
      <c r="H4417" s="13">
        <v>0</v>
      </c>
      <c r="I4417" s="13"/>
      <c r="J4417" s="13"/>
      <c r="K4417" s="13"/>
      <c r="L4417" s="15">
        <v>0</v>
      </c>
    </row>
    <row r="4418" spans="1:12">
      <c r="A4418" s="12"/>
      <c r="E4418" s="14"/>
      <c r="F4418" s="14"/>
      <c r="G4418" s="13">
        <v>0</v>
      </c>
      <c r="H4418" s="13">
        <v>0</v>
      </c>
      <c r="I4418" s="13"/>
      <c r="J4418" s="13"/>
      <c r="K4418" s="13"/>
      <c r="L4418" s="15">
        <v>0</v>
      </c>
    </row>
    <row r="4419" spans="1:12">
      <c r="A4419" s="12"/>
      <c r="E4419" s="14"/>
      <c r="F4419" s="14"/>
      <c r="G4419" s="13">
        <v>0</v>
      </c>
      <c r="H4419" s="13">
        <v>0</v>
      </c>
      <c r="I4419" s="13"/>
      <c r="J4419" s="13"/>
      <c r="K4419" s="13"/>
      <c r="L4419" s="15">
        <v>0</v>
      </c>
    </row>
    <row r="4420" spans="1:12">
      <c r="A4420" s="12"/>
      <c r="E4420" s="14"/>
      <c r="F4420" s="14"/>
      <c r="G4420" s="13">
        <v>0</v>
      </c>
      <c r="H4420" s="13">
        <v>0</v>
      </c>
      <c r="I4420" s="13"/>
      <c r="J4420" s="13"/>
      <c r="K4420" s="13"/>
      <c r="L4420" s="15">
        <v>0</v>
      </c>
    </row>
    <row r="4421" spans="1:12">
      <c r="A4421" s="12"/>
      <c r="E4421" s="14"/>
      <c r="F4421" s="14"/>
      <c r="G4421" s="13">
        <v>0</v>
      </c>
      <c r="H4421" s="13">
        <v>0</v>
      </c>
      <c r="I4421" s="13"/>
      <c r="J4421" s="13"/>
      <c r="K4421" s="13"/>
      <c r="L4421" s="15">
        <v>0</v>
      </c>
    </row>
    <row r="4422" spans="1:12">
      <c r="A4422" s="12"/>
      <c r="E4422" s="14"/>
      <c r="F4422" s="14"/>
      <c r="G4422" s="13">
        <v>0</v>
      </c>
      <c r="H4422" s="13">
        <v>0</v>
      </c>
      <c r="I4422" s="13"/>
      <c r="J4422" s="13"/>
      <c r="K4422" s="13"/>
      <c r="L4422" s="15">
        <v>0</v>
      </c>
    </row>
    <row r="4423" spans="1:12">
      <c r="A4423" s="12"/>
      <c r="E4423" s="14"/>
      <c r="F4423" s="14"/>
      <c r="G4423" s="13">
        <v>0</v>
      </c>
      <c r="H4423" s="13">
        <v>0</v>
      </c>
      <c r="I4423" s="13"/>
      <c r="J4423" s="13"/>
      <c r="K4423" s="13"/>
      <c r="L4423" s="15">
        <v>0</v>
      </c>
    </row>
    <row r="4424" spans="1:12">
      <c r="A4424" s="12"/>
      <c r="E4424" s="14"/>
      <c r="F4424" s="14"/>
      <c r="G4424" s="13">
        <v>0</v>
      </c>
      <c r="H4424" s="13">
        <v>0</v>
      </c>
      <c r="I4424" s="13"/>
      <c r="J4424" s="13"/>
      <c r="K4424" s="13"/>
      <c r="L4424" s="15">
        <v>0</v>
      </c>
    </row>
    <row r="4425" spans="1:12">
      <c r="A4425" s="12"/>
      <c r="E4425" s="14"/>
      <c r="F4425" s="14"/>
      <c r="G4425" s="13">
        <v>0</v>
      </c>
      <c r="H4425" s="13">
        <v>0</v>
      </c>
      <c r="I4425" s="13"/>
      <c r="J4425" s="13"/>
      <c r="K4425" s="13"/>
      <c r="L4425" s="15">
        <v>0</v>
      </c>
    </row>
    <row r="4426" spans="1:12">
      <c r="A4426" s="12"/>
      <c r="E4426" s="14"/>
      <c r="F4426" s="14"/>
      <c r="G4426" s="13">
        <v>0</v>
      </c>
      <c r="H4426" s="13">
        <v>0</v>
      </c>
      <c r="I4426" s="13"/>
      <c r="J4426" s="13"/>
      <c r="K4426" s="13"/>
      <c r="L4426" s="15">
        <v>0</v>
      </c>
    </row>
    <row r="4427" spans="1:12">
      <c r="A4427" s="12"/>
      <c r="E4427" s="14"/>
      <c r="F4427" s="14"/>
      <c r="G4427" s="13">
        <v>0</v>
      </c>
      <c r="H4427" s="13">
        <v>0</v>
      </c>
      <c r="I4427" s="13"/>
      <c r="J4427" s="13"/>
      <c r="K4427" s="13"/>
      <c r="L4427" s="15">
        <v>0</v>
      </c>
    </row>
    <row r="4428" spans="1:12">
      <c r="A4428" s="12"/>
      <c r="E4428" s="14"/>
      <c r="F4428" s="14"/>
      <c r="G4428" s="13">
        <v>0</v>
      </c>
      <c r="H4428" s="13">
        <v>0</v>
      </c>
      <c r="I4428" s="13"/>
      <c r="J4428" s="13"/>
      <c r="K4428" s="13"/>
      <c r="L4428" s="15">
        <v>0</v>
      </c>
    </row>
    <row r="4429" spans="1:12">
      <c r="A4429" s="12"/>
      <c r="E4429" s="14"/>
      <c r="F4429" s="14"/>
      <c r="G4429" s="13">
        <v>0</v>
      </c>
      <c r="H4429" s="13">
        <v>0</v>
      </c>
      <c r="I4429" s="13"/>
      <c r="J4429" s="13"/>
      <c r="K4429" s="13"/>
      <c r="L4429" s="15">
        <v>0</v>
      </c>
    </row>
    <row r="4430" spans="1:12">
      <c r="A4430" s="12"/>
      <c r="E4430" s="14"/>
      <c r="F4430" s="14"/>
      <c r="G4430" s="13">
        <v>0</v>
      </c>
      <c r="H4430" s="13">
        <v>0</v>
      </c>
      <c r="I4430" s="13"/>
      <c r="J4430" s="13"/>
      <c r="K4430" s="13"/>
      <c r="L4430" s="15">
        <v>0</v>
      </c>
    </row>
    <row r="4431" spans="1:12">
      <c r="A4431" s="12"/>
      <c r="E4431" s="14"/>
      <c r="F4431" s="14"/>
      <c r="G4431" s="13">
        <v>0</v>
      </c>
      <c r="H4431" s="13">
        <v>0</v>
      </c>
      <c r="I4431" s="13"/>
      <c r="J4431" s="13"/>
      <c r="K4431" s="13"/>
      <c r="L4431" s="15">
        <v>0</v>
      </c>
    </row>
    <row r="4432" spans="1:12">
      <c r="A4432" s="12"/>
      <c r="E4432" s="14"/>
      <c r="F4432" s="14"/>
      <c r="G4432" s="13">
        <v>0</v>
      </c>
      <c r="H4432" s="13">
        <v>0</v>
      </c>
      <c r="I4432" s="13"/>
      <c r="J4432" s="13"/>
      <c r="K4432" s="13"/>
      <c r="L4432" s="15">
        <v>0</v>
      </c>
    </row>
    <row r="4433" spans="1:12">
      <c r="A4433" s="12"/>
      <c r="E4433" s="14"/>
      <c r="F4433" s="14"/>
      <c r="G4433" s="13">
        <v>0</v>
      </c>
      <c r="H4433" s="13">
        <v>0</v>
      </c>
      <c r="I4433" s="13"/>
      <c r="J4433" s="13"/>
      <c r="K4433" s="13"/>
      <c r="L4433" s="15">
        <v>0</v>
      </c>
    </row>
    <row r="4434" spans="1:12">
      <c r="A4434" s="12"/>
      <c r="E4434" s="14"/>
      <c r="F4434" s="14"/>
      <c r="G4434" s="13">
        <v>0</v>
      </c>
      <c r="H4434" s="13">
        <v>0</v>
      </c>
      <c r="I4434" s="13"/>
      <c r="J4434" s="13"/>
      <c r="K4434" s="13"/>
      <c r="L4434" s="15">
        <v>0</v>
      </c>
    </row>
    <row r="4435" spans="1:12">
      <c r="A4435" s="12"/>
      <c r="E4435" s="14"/>
      <c r="F4435" s="14"/>
      <c r="G4435" s="13">
        <v>0</v>
      </c>
      <c r="H4435" s="13">
        <v>0</v>
      </c>
      <c r="I4435" s="13"/>
      <c r="J4435" s="13"/>
      <c r="K4435" s="13"/>
      <c r="L4435" s="15">
        <v>0</v>
      </c>
    </row>
    <row r="4436" spans="1:12">
      <c r="A4436" s="12"/>
      <c r="E4436" s="14"/>
      <c r="F4436" s="14"/>
      <c r="G4436" s="13">
        <v>0</v>
      </c>
      <c r="H4436" s="13">
        <v>0</v>
      </c>
      <c r="I4436" s="13"/>
      <c r="J4436" s="13"/>
      <c r="K4436" s="13"/>
      <c r="L4436" s="15">
        <v>0</v>
      </c>
    </row>
    <row r="4437" spans="1:12">
      <c r="A4437" s="12"/>
      <c r="E4437" s="14"/>
      <c r="F4437" s="14"/>
      <c r="G4437" s="13">
        <v>0</v>
      </c>
      <c r="H4437" s="13">
        <v>0</v>
      </c>
      <c r="I4437" s="13"/>
      <c r="J4437" s="13"/>
      <c r="K4437" s="13"/>
      <c r="L4437" s="15">
        <v>0</v>
      </c>
    </row>
    <row r="4438" spans="1:12">
      <c r="A4438" s="12"/>
      <c r="E4438" s="14"/>
      <c r="F4438" s="14"/>
      <c r="G4438" s="13">
        <v>0</v>
      </c>
      <c r="H4438" s="13">
        <v>0</v>
      </c>
      <c r="I4438" s="13"/>
      <c r="J4438" s="13"/>
      <c r="K4438" s="13"/>
      <c r="L4438" s="15">
        <v>0</v>
      </c>
    </row>
    <row r="4439" spans="1:12">
      <c r="A4439" s="12"/>
      <c r="E4439" s="14"/>
      <c r="F4439" s="14"/>
      <c r="G4439" s="13">
        <v>0</v>
      </c>
      <c r="H4439" s="13">
        <v>0</v>
      </c>
      <c r="I4439" s="13"/>
      <c r="J4439" s="13"/>
      <c r="K4439" s="13"/>
      <c r="L4439" s="15">
        <v>0</v>
      </c>
    </row>
    <row r="4440" spans="1:12">
      <c r="A4440" s="12"/>
      <c r="E4440" s="14"/>
      <c r="F4440" s="14"/>
      <c r="G4440" s="13">
        <v>0</v>
      </c>
      <c r="H4440" s="13">
        <v>0</v>
      </c>
      <c r="I4440" s="13"/>
      <c r="J4440" s="13"/>
      <c r="K4440" s="13"/>
      <c r="L4440" s="15">
        <v>0</v>
      </c>
    </row>
    <row r="4441" spans="1:12">
      <c r="A4441" s="12"/>
      <c r="E4441" s="14"/>
      <c r="F4441" s="14"/>
      <c r="G4441" s="13">
        <v>0</v>
      </c>
      <c r="H4441" s="13">
        <v>0</v>
      </c>
      <c r="I4441" s="13"/>
      <c r="J4441" s="13"/>
      <c r="K4441" s="13"/>
      <c r="L4441" s="15">
        <v>0</v>
      </c>
    </row>
    <row r="4442" spans="1:12">
      <c r="A4442" s="12"/>
      <c r="E4442" s="14"/>
      <c r="F4442" s="14"/>
      <c r="G4442" s="13">
        <v>0</v>
      </c>
      <c r="H4442" s="13">
        <v>0</v>
      </c>
      <c r="I4442" s="13"/>
      <c r="J4442" s="13"/>
      <c r="K4442" s="13"/>
      <c r="L4442" s="15">
        <v>0</v>
      </c>
    </row>
    <row r="4443" spans="1:12">
      <c r="A4443" s="12"/>
      <c r="E4443" s="14"/>
      <c r="F4443" s="14"/>
      <c r="G4443" s="13">
        <v>0</v>
      </c>
      <c r="H4443" s="13">
        <v>0</v>
      </c>
      <c r="I4443" s="13"/>
      <c r="J4443" s="13"/>
      <c r="K4443" s="13"/>
      <c r="L4443" s="15">
        <v>0</v>
      </c>
    </row>
    <row r="4444" spans="1:12">
      <c r="A4444" s="12"/>
      <c r="E4444" s="14"/>
      <c r="F4444" s="14"/>
      <c r="G4444" s="13">
        <v>0</v>
      </c>
      <c r="H4444" s="13">
        <v>0</v>
      </c>
      <c r="I4444" s="13"/>
      <c r="J4444" s="13"/>
      <c r="K4444" s="13"/>
      <c r="L4444" s="15">
        <v>0</v>
      </c>
    </row>
    <row r="4445" spans="1:12">
      <c r="A4445" s="12"/>
      <c r="E4445" s="14"/>
      <c r="F4445" s="14"/>
      <c r="G4445" s="13">
        <v>0</v>
      </c>
      <c r="H4445" s="13">
        <v>0</v>
      </c>
      <c r="I4445" s="13"/>
      <c r="J4445" s="13"/>
      <c r="K4445" s="13"/>
      <c r="L4445" s="15">
        <v>0</v>
      </c>
    </row>
    <row r="4446" spans="1:12">
      <c r="A4446" s="12"/>
      <c r="E4446" s="14"/>
      <c r="F4446" s="14"/>
      <c r="G4446" s="13">
        <v>0</v>
      </c>
      <c r="H4446" s="13">
        <v>0</v>
      </c>
      <c r="I4446" s="13"/>
      <c r="J4446" s="13"/>
      <c r="K4446" s="13"/>
      <c r="L4446" s="15">
        <v>0</v>
      </c>
    </row>
    <row r="4447" spans="1:12">
      <c r="A4447" s="12"/>
      <c r="E4447" s="14"/>
      <c r="F4447" s="14"/>
      <c r="G4447" s="13">
        <v>0</v>
      </c>
      <c r="H4447" s="13">
        <v>0</v>
      </c>
      <c r="I4447" s="13"/>
      <c r="J4447" s="13"/>
      <c r="K4447" s="13"/>
      <c r="L4447" s="15">
        <v>0</v>
      </c>
    </row>
    <row r="4448" spans="1:12">
      <c r="A4448" s="12"/>
      <c r="E4448" s="14"/>
      <c r="F4448" s="14"/>
      <c r="G4448" s="13">
        <v>0</v>
      </c>
      <c r="H4448" s="13">
        <v>0</v>
      </c>
      <c r="I4448" s="13"/>
      <c r="J4448" s="13"/>
      <c r="K4448" s="13"/>
      <c r="L4448" s="15">
        <v>0</v>
      </c>
    </row>
    <row r="4449" spans="1:12">
      <c r="A4449" s="12"/>
      <c r="E4449" s="14"/>
      <c r="F4449" s="14"/>
      <c r="G4449" s="13">
        <v>0</v>
      </c>
      <c r="H4449" s="13">
        <v>0</v>
      </c>
      <c r="I4449" s="13"/>
      <c r="J4449" s="13"/>
      <c r="K4449" s="13"/>
      <c r="L4449" s="15">
        <v>0</v>
      </c>
    </row>
    <row r="4450" spans="1:12">
      <c r="A4450" s="12"/>
      <c r="E4450" s="14"/>
      <c r="F4450" s="14"/>
      <c r="G4450" s="13">
        <v>0</v>
      </c>
      <c r="H4450" s="13">
        <v>0</v>
      </c>
      <c r="I4450" s="13"/>
      <c r="J4450" s="13"/>
      <c r="K4450" s="13"/>
      <c r="L4450" s="15">
        <v>0</v>
      </c>
    </row>
    <row r="4451" spans="1:12">
      <c r="A4451" s="12"/>
      <c r="E4451" s="14"/>
      <c r="F4451" s="14"/>
      <c r="G4451" s="13">
        <v>0</v>
      </c>
      <c r="H4451" s="13">
        <v>0</v>
      </c>
      <c r="I4451" s="13"/>
      <c r="J4451" s="13"/>
      <c r="K4451" s="13"/>
      <c r="L4451" s="15">
        <v>0</v>
      </c>
    </row>
    <row r="4452" spans="1:12">
      <c r="A4452" s="12"/>
      <c r="E4452" s="14"/>
      <c r="F4452" s="14"/>
      <c r="G4452" s="13">
        <v>0</v>
      </c>
      <c r="H4452" s="13">
        <v>0</v>
      </c>
      <c r="I4452" s="13"/>
      <c r="J4452" s="13"/>
      <c r="K4452" s="13"/>
      <c r="L4452" s="15">
        <v>0</v>
      </c>
    </row>
    <row r="4453" spans="1:12">
      <c r="A4453" s="12"/>
      <c r="E4453" s="14"/>
      <c r="F4453" s="14"/>
      <c r="G4453" s="13">
        <v>0</v>
      </c>
      <c r="H4453" s="13">
        <v>0</v>
      </c>
      <c r="I4453" s="13"/>
      <c r="J4453" s="13"/>
      <c r="K4453" s="13"/>
      <c r="L4453" s="15">
        <v>0</v>
      </c>
    </row>
    <row r="4454" spans="1:12">
      <c r="A4454" s="12"/>
      <c r="E4454" s="14"/>
      <c r="F4454" s="14"/>
      <c r="G4454" s="13">
        <v>0</v>
      </c>
      <c r="H4454" s="13">
        <v>0</v>
      </c>
      <c r="I4454" s="13"/>
      <c r="J4454" s="13"/>
      <c r="K4454" s="13"/>
      <c r="L4454" s="15">
        <v>0</v>
      </c>
    </row>
    <row r="4455" spans="1:12">
      <c r="A4455" s="12"/>
      <c r="E4455" s="14"/>
      <c r="F4455" s="14"/>
      <c r="G4455" s="13">
        <v>0</v>
      </c>
      <c r="H4455" s="13">
        <v>0</v>
      </c>
      <c r="I4455" s="13"/>
      <c r="J4455" s="13"/>
      <c r="K4455" s="13"/>
      <c r="L4455" s="15">
        <v>0</v>
      </c>
    </row>
    <row r="4456" spans="1:12">
      <c r="A4456" s="12"/>
      <c r="E4456" s="14"/>
      <c r="F4456" s="14"/>
      <c r="G4456" s="13">
        <v>0</v>
      </c>
      <c r="H4456" s="13">
        <v>0</v>
      </c>
      <c r="I4456" s="13"/>
      <c r="J4456" s="13"/>
      <c r="K4456" s="13"/>
      <c r="L4456" s="15">
        <v>0</v>
      </c>
    </row>
    <row r="4457" spans="1:12">
      <c r="A4457" s="12"/>
      <c r="E4457" s="14"/>
      <c r="F4457" s="14"/>
      <c r="G4457" s="13">
        <v>0</v>
      </c>
      <c r="H4457" s="13">
        <v>0</v>
      </c>
      <c r="I4457" s="13"/>
      <c r="J4457" s="13"/>
      <c r="K4457" s="13"/>
      <c r="L4457" s="15">
        <v>0</v>
      </c>
    </row>
    <row r="4458" spans="1:12">
      <c r="A4458" s="12"/>
      <c r="E4458" s="14"/>
      <c r="F4458" s="14"/>
      <c r="G4458" s="13">
        <v>0</v>
      </c>
      <c r="H4458" s="13">
        <v>0</v>
      </c>
      <c r="I4458" s="13"/>
      <c r="J4458" s="13"/>
      <c r="K4458" s="13"/>
      <c r="L4458" s="15">
        <v>0</v>
      </c>
    </row>
    <row r="4459" spans="1:12">
      <c r="A4459" s="12"/>
      <c r="E4459" s="14"/>
      <c r="F4459" s="14"/>
      <c r="G4459" s="13">
        <v>0</v>
      </c>
      <c r="H4459" s="13">
        <v>0</v>
      </c>
      <c r="I4459" s="13"/>
      <c r="J4459" s="13"/>
      <c r="K4459" s="13"/>
      <c r="L4459" s="15">
        <v>0</v>
      </c>
    </row>
    <row r="4460" spans="1:12">
      <c r="A4460" s="12"/>
      <c r="E4460" s="14"/>
      <c r="F4460" s="14"/>
      <c r="G4460" s="13">
        <v>0</v>
      </c>
      <c r="H4460" s="13">
        <v>0</v>
      </c>
      <c r="I4460" s="13"/>
      <c r="J4460" s="13"/>
      <c r="K4460" s="13"/>
      <c r="L4460" s="15">
        <v>0</v>
      </c>
    </row>
    <row r="4461" spans="1:12">
      <c r="A4461" s="12"/>
      <c r="E4461" s="14"/>
      <c r="F4461" s="14"/>
      <c r="G4461" s="13">
        <v>0</v>
      </c>
      <c r="H4461" s="13">
        <v>0</v>
      </c>
      <c r="I4461" s="13"/>
      <c r="J4461" s="13"/>
      <c r="K4461" s="13"/>
      <c r="L4461" s="15">
        <v>0</v>
      </c>
    </row>
    <row r="4462" spans="1:12">
      <c r="A4462" s="12"/>
      <c r="E4462" s="14"/>
      <c r="F4462" s="14"/>
      <c r="G4462" s="13">
        <v>0</v>
      </c>
      <c r="H4462" s="13">
        <v>0</v>
      </c>
      <c r="I4462" s="13"/>
      <c r="J4462" s="13"/>
      <c r="K4462" s="13"/>
      <c r="L4462" s="15">
        <v>0</v>
      </c>
    </row>
    <row r="4463" spans="1:12">
      <c r="A4463" s="12"/>
      <c r="E4463" s="14"/>
      <c r="F4463" s="14"/>
      <c r="G4463" s="13">
        <v>0</v>
      </c>
      <c r="H4463" s="13">
        <v>0</v>
      </c>
      <c r="I4463" s="13"/>
      <c r="J4463" s="13"/>
      <c r="K4463" s="13"/>
      <c r="L4463" s="15">
        <v>0</v>
      </c>
    </row>
    <row r="4464" spans="1:12">
      <c r="A4464" s="12"/>
      <c r="E4464" s="14"/>
      <c r="F4464" s="14"/>
      <c r="G4464" s="13">
        <v>0</v>
      </c>
      <c r="H4464" s="13">
        <v>0</v>
      </c>
      <c r="I4464" s="13"/>
      <c r="J4464" s="13"/>
      <c r="K4464" s="13"/>
      <c r="L4464" s="15">
        <v>0</v>
      </c>
    </row>
    <row r="4465" spans="1:12">
      <c r="A4465" s="12"/>
      <c r="E4465" s="14"/>
      <c r="F4465" s="14"/>
      <c r="G4465" s="13">
        <v>0</v>
      </c>
      <c r="H4465" s="13">
        <v>0</v>
      </c>
      <c r="I4465" s="13"/>
      <c r="J4465" s="13"/>
      <c r="K4465" s="13"/>
      <c r="L4465" s="15">
        <v>0</v>
      </c>
    </row>
    <row r="4466" spans="1:12">
      <c r="A4466" s="12"/>
      <c r="E4466" s="14"/>
      <c r="F4466" s="14"/>
      <c r="G4466" s="13">
        <v>0</v>
      </c>
      <c r="H4466" s="13">
        <v>0</v>
      </c>
      <c r="I4466" s="13"/>
      <c r="J4466" s="13"/>
      <c r="K4466" s="13"/>
      <c r="L4466" s="15">
        <v>0</v>
      </c>
    </row>
    <row r="4467" spans="1:12">
      <c r="A4467" s="12"/>
      <c r="E4467" s="14"/>
      <c r="F4467" s="14"/>
      <c r="G4467" s="13">
        <v>0</v>
      </c>
      <c r="H4467" s="13">
        <v>0</v>
      </c>
      <c r="I4467" s="13"/>
      <c r="J4467" s="13"/>
      <c r="K4467" s="13"/>
      <c r="L4467" s="15">
        <v>0</v>
      </c>
    </row>
    <row r="4468" spans="1:12">
      <c r="A4468" s="12"/>
      <c r="E4468" s="14"/>
      <c r="F4468" s="14"/>
      <c r="G4468" s="13">
        <v>0</v>
      </c>
      <c r="H4468" s="13">
        <v>0</v>
      </c>
      <c r="I4468" s="13"/>
      <c r="J4468" s="13"/>
      <c r="K4468" s="13"/>
      <c r="L4468" s="15">
        <v>0</v>
      </c>
    </row>
    <row r="4469" spans="1:12">
      <c r="A4469" s="12"/>
      <c r="E4469" s="14"/>
      <c r="F4469" s="14"/>
      <c r="G4469" s="13">
        <v>0</v>
      </c>
      <c r="H4469" s="13">
        <v>0</v>
      </c>
      <c r="I4469" s="13"/>
      <c r="J4469" s="13"/>
      <c r="K4469" s="13"/>
      <c r="L4469" s="15">
        <v>0</v>
      </c>
    </row>
    <row r="4470" spans="1:12">
      <c r="A4470" s="12"/>
      <c r="E4470" s="14"/>
      <c r="F4470" s="14"/>
      <c r="G4470" s="13">
        <v>0</v>
      </c>
      <c r="H4470" s="13">
        <v>0</v>
      </c>
      <c r="I4470" s="13"/>
      <c r="J4470" s="13"/>
      <c r="K4470" s="13"/>
      <c r="L4470" s="15">
        <v>0</v>
      </c>
    </row>
    <row r="4471" spans="1:12">
      <c r="A4471" s="12"/>
      <c r="E4471" s="14"/>
      <c r="F4471" s="14"/>
      <c r="G4471" s="13">
        <v>0</v>
      </c>
      <c r="H4471" s="13">
        <v>0</v>
      </c>
      <c r="I4471" s="13"/>
      <c r="J4471" s="13"/>
      <c r="K4471" s="13"/>
      <c r="L4471" s="15">
        <v>0</v>
      </c>
    </row>
    <row r="4472" spans="1:12">
      <c r="A4472" s="12"/>
      <c r="E4472" s="14"/>
      <c r="F4472" s="14"/>
      <c r="G4472" s="13">
        <v>0</v>
      </c>
      <c r="H4472" s="13">
        <v>0</v>
      </c>
      <c r="I4472" s="13"/>
      <c r="J4472" s="13"/>
      <c r="K4472" s="13"/>
      <c r="L4472" s="15">
        <v>0</v>
      </c>
    </row>
    <row r="4473" spans="1:12">
      <c r="A4473" s="12"/>
      <c r="E4473" s="14"/>
      <c r="F4473" s="14"/>
      <c r="G4473" s="13">
        <v>0</v>
      </c>
      <c r="H4473" s="13">
        <v>0</v>
      </c>
      <c r="I4473" s="13"/>
      <c r="J4473" s="13"/>
      <c r="K4473" s="13"/>
      <c r="L4473" s="15">
        <v>0</v>
      </c>
    </row>
    <row r="4474" spans="1:12">
      <c r="A4474" s="12"/>
      <c r="E4474" s="14"/>
      <c r="F4474" s="14"/>
      <c r="G4474" s="13">
        <v>0</v>
      </c>
      <c r="H4474" s="13">
        <v>0</v>
      </c>
      <c r="I4474" s="13"/>
      <c r="J4474" s="13"/>
      <c r="K4474" s="13"/>
      <c r="L4474" s="15">
        <v>0</v>
      </c>
    </row>
    <row r="4475" spans="1:12">
      <c r="A4475" s="12"/>
      <c r="E4475" s="14"/>
      <c r="F4475" s="14"/>
      <c r="G4475" s="13">
        <v>0</v>
      </c>
      <c r="H4475" s="13">
        <v>0</v>
      </c>
      <c r="I4475" s="13"/>
      <c r="J4475" s="13"/>
      <c r="K4475" s="13"/>
      <c r="L4475" s="15">
        <v>0</v>
      </c>
    </row>
    <row r="4476" spans="1:12">
      <c r="A4476" s="12"/>
      <c r="E4476" s="14"/>
      <c r="F4476" s="14"/>
      <c r="G4476" s="13">
        <v>0</v>
      </c>
      <c r="H4476" s="13">
        <v>0</v>
      </c>
      <c r="I4476" s="13"/>
      <c r="J4476" s="13"/>
      <c r="K4476" s="13"/>
      <c r="L4476" s="15">
        <v>0</v>
      </c>
    </row>
    <row r="4477" spans="1:12">
      <c r="A4477" s="12"/>
      <c r="E4477" s="14"/>
      <c r="F4477" s="14"/>
      <c r="G4477" s="13">
        <v>0</v>
      </c>
      <c r="H4477" s="13">
        <v>0</v>
      </c>
      <c r="I4477" s="13"/>
      <c r="J4477" s="13"/>
      <c r="K4477" s="13"/>
      <c r="L4477" s="15">
        <v>0</v>
      </c>
    </row>
    <row r="4478" spans="1:12">
      <c r="A4478" s="12"/>
      <c r="E4478" s="14"/>
      <c r="F4478" s="14"/>
      <c r="G4478" s="13">
        <v>0</v>
      </c>
      <c r="H4478" s="13">
        <v>0</v>
      </c>
      <c r="I4478" s="13"/>
      <c r="J4478" s="13"/>
      <c r="K4478" s="13"/>
      <c r="L4478" s="15">
        <v>0</v>
      </c>
    </row>
    <row r="4479" spans="1:12">
      <c r="A4479" s="12"/>
      <c r="E4479" s="14"/>
      <c r="F4479" s="14"/>
      <c r="G4479" s="13">
        <v>0</v>
      </c>
      <c r="H4479" s="13">
        <v>0</v>
      </c>
      <c r="I4479" s="13"/>
      <c r="J4479" s="13"/>
      <c r="K4479" s="13"/>
      <c r="L4479" s="15">
        <v>0</v>
      </c>
    </row>
    <row r="4480" spans="1:12">
      <c r="A4480" s="12"/>
      <c r="E4480" s="14"/>
      <c r="F4480" s="14"/>
      <c r="G4480" s="13">
        <v>0</v>
      </c>
      <c r="H4480" s="13">
        <v>0</v>
      </c>
      <c r="I4480" s="13"/>
      <c r="J4480" s="13"/>
      <c r="K4480" s="13"/>
      <c r="L4480" s="15">
        <v>0</v>
      </c>
    </row>
    <row r="4481" spans="1:12">
      <c r="A4481" s="12"/>
      <c r="E4481" s="14"/>
      <c r="F4481" s="14"/>
      <c r="G4481" s="13">
        <v>0</v>
      </c>
      <c r="H4481" s="13">
        <v>0</v>
      </c>
      <c r="I4481" s="13"/>
      <c r="J4481" s="13"/>
      <c r="K4481" s="13"/>
      <c r="L4481" s="15">
        <v>0</v>
      </c>
    </row>
    <row r="4482" spans="1:12">
      <c r="A4482" s="12"/>
      <c r="E4482" s="14"/>
      <c r="F4482" s="14"/>
      <c r="G4482" s="13">
        <v>0</v>
      </c>
      <c r="H4482" s="13">
        <v>0</v>
      </c>
      <c r="I4482" s="13"/>
      <c r="J4482" s="13"/>
      <c r="K4482" s="13"/>
      <c r="L4482" s="15">
        <v>0</v>
      </c>
    </row>
    <row r="4483" spans="1:12">
      <c r="A4483" s="12"/>
      <c r="E4483" s="14"/>
      <c r="F4483" s="14"/>
      <c r="G4483" s="13">
        <v>0</v>
      </c>
      <c r="H4483" s="13">
        <v>0</v>
      </c>
      <c r="I4483" s="13"/>
      <c r="J4483" s="13"/>
      <c r="K4483" s="13"/>
      <c r="L4483" s="15">
        <v>0</v>
      </c>
    </row>
    <row r="4484" spans="1:12">
      <c r="A4484" s="12"/>
      <c r="E4484" s="14"/>
      <c r="F4484" s="14"/>
      <c r="G4484" s="13">
        <v>0</v>
      </c>
      <c r="H4484" s="13">
        <v>0</v>
      </c>
      <c r="I4484" s="13"/>
      <c r="J4484" s="13"/>
      <c r="K4484" s="13"/>
      <c r="L4484" s="15">
        <v>0</v>
      </c>
    </row>
    <row r="4485" spans="1:12">
      <c r="A4485" s="12"/>
      <c r="E4485" s="14"/>
      <c r="F4485" s="14"/>
      <c r="G4485" s="13">
        <v>0</v>
      </c>
      <c r="H4485" s="13">
        <v>0</v>
      </c>
      <c r="I4485" s="13"/>
      <c r="J4485" s="13"/>
      <c r="K4485" s="13"/>
      <c r="L4485" s="15">
        <v>0</v>
      </c>
    </row>
    <row r="4486" spans="1:12">
      <c r="A4486" s="12"/>
      <c r="E4486" s="14"/>
      <c r="F4486" s="14"/>
      <c r="G4486" s="13">
        <v>0</v>
      </c>
      <c r="H4486" s="13">
        <v>0</v>
      </c>
      <c r="I4486" s="13"/>
      <c r="J4486" s="13"/>
      <c r="K4486" s="13"/>
      <c r="L4486" s="15">
        <v>0</v>
      </c>
    </row>
    <row r="4487" spans="1:12">
      <c r="A4487" s="12"/>
      <c r="E4487" s="14"/>
      <c r="F4487" s="14"/>
      <c r="G4487" s="13">
        <v>0</v>
      </c>
      <c r="H4487" s="13">
        <v>0</v>
      </c>
      <c r="I4487" s="13"/>
      <c r="J4487" s="13"/>
      <c r="K4487" s="13"/>
      <c r="L4487" s="15">
        <v>0</v>
      </c>
    </row>
    <row r="4488" spans="1:12">
      <c r="A4488" s="12"/>
      <c r="E4488" s="14"/>
      <c r="F4488" s="14"/>
      <c r="G4488" s="13">
        <v>0</v>
      </c>
      <c r="H4488" s="13">
        <v>0</v>
      </c>
      <c r="I4488" s="13"/>
      <c r="J4488" s="13"/>
      <c r="K4488" s="13"/>
      <c r="L4488" s="15">
        <v>0</v>
      </c>
    </row>
    <row r="4489" spans="1:12">
      <c r="A4489" s="12"/>
      <c r="E4489" s="14"/>
      <c r="F4489" s="14"/>
      <c r="G4489" s="13">
        <v>0</v>
      </c>
      <c r="H4489" s="13">
        <v>0</v>
      </c>
      <c r="I4489" s="13"/>
      <c r="J4489" s="13"/>
      <c r="K4489" s="13"/>
      <c r="L4489" s="15">
        <v>0</v>
      </c>
    </row>
    <row r="4490" spans="1:12">
      <c r="A4490" s="12"/>
      <c r="E4490" s="14"/>
      <c r="F4490" s="14"/>
      <c r="G4490" s="13">
        <v>0</v>
      </c>
      <c r="H4490" s="13">
        <v>0</v>
      </c>
      <c r="I4490" s="13"/>
      <c r="J4490" s="13"/>
      <c r="K4490" s="13"/>
      <c r="L4490" s="15">
        <v>0</v>
      </c>
    </row>
    <row r="4491" spans="1:12">
      <c r="A4491" s="12"/>
      <c r="E4491" s="14"/>
      <c r="F4491" s="14"/>
      <c r="G4491" s="13">
        <v>0</v>
      </c>
      <c r="H4491" s="13">
        <v>0</v>
      </c>
      <c r="I4491" s="13"/>
      <c r="J4491" s="13"/>
      <c r="K4491" s="13"/>
      <c r="L4491" s="15">
        <v>0</v>
      </c>
    </row>
    <row r="4492" spans="1:12">
      <c r="A4492" s="12"/>
      <c r="E4492" s="14"/>
      <c r="F4492" s="14"/>
      <c r="G4492" s="13">
        <v>0</v>
      </c>
      <c r="H4492" s="13">
        <v>0</v>
      </c>
      <c r="I4492" s="13"/>
      <c r="J4492" s="13"/>
      <c r="K4492" s="13"/>
      <c r="L4492" s="15">
        <v>0</v>
      </c>
    </row>
    <row r="4493" spans="1:12">
      <c r="A4493" s="12"/>
      <c r="E4493" s="14"/>
      <c r="F4493" s="14"/>
      <c r="G4493" s="13">
        <v>0</v>
      </c>
      <c r="H4493" s="13">
        <v>0</v>
      </c>
      <c r="I4493" s="13"/>
      <c r="J4493" s="13"/>
      <c r="K4493" s="13"/>
      <c r="L4493" s="15">
        <v>0</v>
      </c>
    </row>
    <row r="4494" spans="1:12">
      <c r="A4494" s="12"/>
      <c r="E4494" s="14"/>
      <c r="F4494" s="14"/>
      <c r="G4494" s="13">
        <v>0</v>
      </c>
      <c r="H4494" s="13">
        <v>0</v>
      </c>
      <c r="I4494" s="13"/>
      <c r="J4494" s="13"/>
      <c r="K4494" s="13"/>
      <c r="L4494" s="15">
        <v>0</v>
      </c>
    </row>
    <row r="4495" spans="1:12">
      <c r="A4495" s="12"/>
      <c r="E4495" s="14"/>
      <c r="F4495" s="14"/>
      <c r="G4495" s="13">
        <v>0</v>
      </c>
      <c r="H4495" s="13">
        <v>0</v>
      </c>
      <c r="I4495" s="13"/>
      <c r="J4495" s="13"/>
      <c r="K4495" s="13"/>
      <c r="L4495" s="15">
        <v>0</v>
      </c>
    </row>
    <row r="4496" spans="1:12">
      <c r="A4496" s="12"/>
      <c r="E4496" s="14"/>
      <c r="F4496" s="14"/>
      <c r="G4496" s="13">
        <v>0</v>
      </c>
      <c r="H4496" s="13">
        <v>0</v>
      </c>
      <c r="I4496" s="13"/>
      <c r="J4496" s="13"/>
      <c r="K4496" s="13"/>
      <c r="L4496" s="15">
        <v>0</v>
      </c>
    </row>
    <row r="4497" spans="1:12">
      <c r="A4497" s="12"/>
      <c r="E4497" s="14"/>
      <c r="F4497" s="14"/>
      <c r="G4497" s="13">
        <v>0</v>
      </c>
      <c r="H4497" s="13">
        <v>0</v>
      </c>
      <c r="I4497" s="13"/>
      <c r="J4497" s="13"/>
      <c r="K4497" s="13"/>
      <c r="L4497" s="15">
        <v>0</v>
      </c>
    </row>
    <row r="4498" spans="1:12">
      <c r="A4498" s="12"/>
      <c r="E4498" s="14"/>
      <c r="F4498" s="14"/>
      <c r="G4498" s="13">
        <v>0</v>
      </c>
      <c r="H4498" s="13">
        <v>0</v>
      </c>
      <c r="I4498" s="13"/>
      <c r="J4498" s="13"/>
      <c r="K4498" s="13"/>
      <c r="L4498" s="15">
        <v>0</v>
      </c>
    </row>
    <row r="4499" spans="1:12">
      <c r="A4499" s="12"/>
      <c r="E4499" s="14"/>
      <c r="F4499" s="14"/>
      <c r="G4499" s="13">
        <v>0</v>
      </c>
      <c r="H4499" s="13">
        <v>0</v>
      </c>
      <c r="I4499" s="13"/>
      <c r="J4499" s="13"/>
      <c r="K4499" s="13"/>
      <c r="L4499" s="15">
        <v>0</v>
      </c>
    </row>
    <row r="4500" spans="1:12">
      <c r="A4500" s="12"/>
      <c r="E4500" s="14"/>
      <c r="F4500" s="14"/>
      <c r="G4500" s="13">
        <v>0</v>
      </c>
      <c r="H4500" s="13">
        <v>0</v>
      </c>
      <c r="I4500" s="13"/>
      <c r="J4500" s="13"/>
      <c r="K4500" s="13"/>
      <c r="L4500" s="15">
        <v>0</v>
      </c>
    </row>
    <row r="4501" spans="1:12">
      <c r="A4501" s="12"/>
      <c r="E4501" s="14"/>
      <c r="F4501" s="14"/>
      <c r="G4501" s="13">
        <v>0</v>
      </c>
      <c r="H4501" s="13">
        <v>0</v>
      </c>
      <c r="I4501" s="13"/>
      <c r="J4501" s="13"/>
      <c r="K4501" s="13"/>
      <c r="L4501" s="15">
        <v>0</v>
      </c>
    </row>
    <row r="4502" spans="1:12">
      <c r="A4502" s="12"/>
      <c r="E4502" s="14"/>
      <c r="F4502" s="14"/>
      <c r="G4502" s="13">
        <v>0</v>
      </c>
      <c r="H4502" s="13">
        <v>0</v>
      </c>
      <c r="I4502" s="13"/>
      <c r="J4502" s="13"/>
      <c r="K4502" s="13"/>
      <c r="L4502" s="15">
        <v>0</v>
      </c>
    </row>
    <row r="4503" spans="1:12">
      <c r="A4503" s="12"/>
      <c r="E4503" s="14"/>
      <c r="F4503" s="14"/>
      <c r="G4503" s="13">
        <v>0</v>
      </c>
      <c r="H4503" s="13">
        <v>0</v>
      </c>
      <c r="I4503" s="13"/>
      <c r="J4503" s="13"/>
      <c r="K4503" s="13"/>
      <c r="L4503" s="15">
        <v>0</v>
      </c>
    </row>
    <row r="4504" spans="1:12">
      <c r="A4504" s="12"/>
      <c r="E4504" s="14"/>
      <c r="F4504" s="14"/>
      <c r="G4504" s="13">
        <v>0</v>
      </c>
      <c r="H4504" s="13">
        <v>0</v>
      </c>
      <c r="I4504" s="13"/>
      <c r="J4504" s="13"/>
      <c r="K4504" s="13"/>
      <c r="L4504" s="15">
        <v>0</v>
      </c>
    </row>
    <row r="4505" spans="1:12">
      <c r="A4505" s="12"/>
      <c r="E4505" s="14"/>
      <c r="F4505" s="14"/>
      <c r="G4505" s="13">
        <v>0</v>
      </c>
      <c r="H4505" s="13">
        <v>0</v>
      </c>
      <c r="I4505" s="13"/>
      <c r="J4505" s="13"/>
      <c r="K4505" s="13"/>
      <c r="L4505" s="15">
        <v>0</v>
      </c>
    </row>
    <row r="4506" spans="1:12">
      <c r="A4506" s="12"/>
      <c r="E4506" s="14"/>
      <c r="F4506" s="14"/>
      <c r="G4506" s="13">
        <v>0</v>
      </c>
      <c r="H4506" s="13">
        <v>0</v>
      </c>
      <c r="I4506" s="13"/>
      <c r="J4506" s="13"/>
      <c r="K4506" s="13"/>
      <c r="L4506" s="15">
        <v>0</v>
      </c>
    </row>
    <row r="4507" spans="1:12">
      <c r="A4507" s="12"/>
      <c r="E4507" s="14"/>
      <c r="F4507" s="14"/>
      <c r="G4507" s="13">
        <v>0</v>
      </c>
      <c r="H4507" s="13">
        <v>0</v>
      </c>
      <c r="I4507" s="13"/>
      <c r="J4507" s="13"/>
      <c r="K4507" s="13"/>
      <c r="L4507" s="15">
        <v>0</v>
      </c>
    </row>
    <row r="4508" spans="1:12">
      <c r="A4508" s="12"/>
      <c r="E4508" s="14"/>
      <c r="F4508" s="14"/>
      <c r="G4508" s="13">
        <v>0</v>
      </c>
      <c r="H4508" s="13">
        <v>0</v>
      </c>
      <c r="I4508" s="13"/>
      <c r="J4508" s="13"/>
      <c r="K4508" s="13"/>
      <c r="L4508" s="15">
        <v>0</v>
      </c>
    </row>
    <row r="4509" spans="1:12">
      <c r="A4509" s="12"/>
      <c r="E4509" s="14"/>
      <c r="F4509" s="14"/>
      <c r="G4509" s="13">
        <v>0</v>
      </c>
      <c r="H4509" s="13">
        <v>0</v>
      </c>
      <c r="I4509" s="13"/>
      <c r="J4509" s="13"/>
      <c r="K4509" s="13"/>
      <c r="L4509" s="15">
        <v>0</v>
      </c>
    </row>
    <row r="4510" spans="1:12">
      <c r="A4510" s="12"/>
      <c r="E4510" s="14"/>
      <c r="F4510" s="14"/>
      <c r="G4510" s="13">
        <v>0</v>
      </c>
      <c r="H4510" s="13">
        <v>0</v>
      </c>
      <c r="I4510" s="13"/>
      <c r="J4510" s="13"/>
      <c r="K4510" s="13"/>
      <c r="L4510" s="15">
        <v>0</v>
      </c>
    </row>
    <row r="4511" spans="1:12">
      <c r="A4511" s="12"/>
      <c r="E4511" s="14"/>
      <c r="F4511" s="14"/>
      <c r="G4511" s="13">
        <v>0</v>
      </c>
      <c r="H4511" s="13">
        <v>0</v>
      </c>
      <c r="I4511" s="13"/>
      <c r="J4511" s="13"/>
      <c r="K4511" s="13"/>
      <c r="L4511" s="15">
        <v>0</v>
      </c>
    </row>
    <row r="4512" spans="1:12">
      <c r="A4512" s="12"/>
      <c r="E4512" s="14"/>
      <c r="F4512" s="14"/>
      <c r="G4512" s="13">
        <v>0</v>
      </c>
      <c r="H4512" s="13">
        <v>0</v>
      </c>
      <c r="I4512" s="13"/>
      <c r="J4512" s="13"/>
      <c r="K4512" s="13"/>
      <c r="L4512" s="15">
        <v>0</v>
      </c>
    </row>
    <row r="4513" spans="1:12">
      <c r="A4513" s="12"/>
      <c r="E4513" s="14"/>
      <c r="F4513" s="14"/>
      <c r="G4513" s="13">
        <v>0</v>
      </c>
      <c r="H4513" s="13">
        <v>0</v>
      </c>
      <c r="I4513" s="13"/>
      <c r="J4513" s="13"/>
      <c r="K4513" s="13"/>
      <c r="L4513" s="15">
        <v>0</v>
      </c>
    </row>
    <row r="4514" spans="1:12">
      <c r="A4514" s="12"/>
      <c r="E4514" s="14"/>
      <c r="F4514" s="14"/>
      <c r="G4514" s="13">
        <v>0</v>
      </c>
      <c r="H4514" s="13">
        <v>0</v>
      </c>
      <c r="I4514" s="13"/>
      <c r="J4514" s="13"/>
      <c r="K4514" s="13"/>
      <c r="L4514" s="15">
        <v>0</v>
      </c>
    </row>
    <row r="4515" spans="1:12">
      <c r="A4515" s="12"/>
      <c r="E4515" s="14"/>
      <c r="F4515" s="14"/>
      <c r="G4515" s="13">
        <v>0</v>
      </c>
      <c r="H4515" s="13">
        <v>0</v>
      </c>
      <c r="I4515" s="13"/>
      <c r="J4515" s="13"/>
      <c r="K4515" s="13"/>
      <c r="L4515" s="15">
        <v>0</v>
      </c>
    </row>
    <row r="4516" spans="1:12">
      <c r="A4516" s="12"/>
      <c r="E4516" s="14"/>
      <c r="F4516" s="14"/>
      <c r="G4516" s="13">
        <v>0</v>
      </c>
      <c r="H4516" s="13">
        <v>0</v>
      </c>
      <c r="I4516" s="13"/>
      <c r="J4516" s="13"/>
      <c r="K4516" s="13"/>
      <c r="L4516" s="15">
        <v>0</v>
      </c>
    </row>
    <row r="4517" spans="1:12">
      <c r="A4517" s="12"/>
      <c r="E4517" s="14"/>
      <c r="F4517" s="14"/>
      <c r="G4517" s="13">
        <v>0</v>
      </c>
      <c r="H4517" s="13">
        <v>0</v>
      </c>
      <c r="I4517" s="13"/>
      <c r="J4517" s="13"/>
      <c r="K4517" s="13"/>
      <c r="L4517" s="15">
        <v>0</v>
      </c>
    </row>
    <row r="4518" spans="1:12">
      <c r="A4518" s="12"/>
      <c r="E4518" s="14"/>
      <c r="F4518" s="14"/>
      <c r="G4518" s="13">
        <v>0</v>
      </c>
      <c r="H4518" s="13">
        <v>0</v>
      </c>
      <c r="I4518" s="13"/>
      <c r="J4518" s="13"/>
      <c r="K4518" s="13"/>
      <c r="L4518" s="15">
        <v>0</v>
      </c>
    </row>
    <row r="4519" spans="1:12">
      <c r="A4519" s="12"/>
      <c r="E4519" s="14"/>
      <c r="F4519" s="14"/>
      <c r="G4519" s="13">
        <v>0</v>
      </c>
      <c r="H4519" s="13">
        <v>0</v>
      </c>
      <c r="I4519" s="13"/>
      <c r="J4519" s="13"/>
      <c r="K4519" s="13"/>
      <c r="L4519" s="15">
        <v>0</v>
      </c>
    </row>
    <row r="4520" spans="1:12">
      <c r="A4520" s="12"/>
      <c r="E4520" s="14"/>
      <c r="F4520" s="14"/>
      <c r="G4520" s="13">
        <v>0</v>
      </c>
      <c r="H4520" s="13">
        <v>0</v>
      </c>
      <c r="I4520" s="13"/>
      <c r="J4520" s="13"/>
      <c r="K4520" s="13"/>
      <c r="L4520" s="15">
        <v>0</v>
      </c>
    </row>
    <row r="4521" spans="1:12">
      <c r="A4521" s="12"/>
      <c r="E4521" s="14"/>
      <c r="F4521" s="14"/>
      <c r="G4521" s="13">
        <v>0</v>
      </c>
      <c r="H4521" s="13">
        <v>0</v>
      </c>
      <c r="I4521" s="13"/>
      <c r="J4521" s="13"/>
      <c r="K4521" s="13"/>
      <c r="L4521" s="15">
        <v>0</v>
      </c>
    </row>
    <row r="4522" spans="1:12">
      <c r="A4522" s="12"/>
      <c r="E4522" s="14"/>
      <c r="F4522" s="14"/>
      <c r="G4522" s="13">
        <v>0</v>
      </c>
      <c r="H4522" s="13">
        <v>0</v>
      </c>
      <c r="I4522" s="13"/>
      <c r="J4522" s="13"/>
      <c r="K4522" s="13"/>
      <c r="L4522" s="15">
        <v>0</v>
      </c>
    </row>
    <row r="4523" spans="1:12">
      <c r="A4523" s="12"/>
      <c r="E4523" s="14"/>
      <c r="F4523" s="14"/>
      <c r="G4523" s="13">
        <v>0</v>
      </c>
      <c r="H4523" s="13">
        <v>0</v>
      </c>
      <c r="I4523" s="13"/>
      <c r="J4523" s="13"/>
      <c r="K4523" s="13"/>
      <c r="L4523" s="15">
        <v>0</v>
      </c>
    </row>
    <row r="4524" spans="1:12">
      <c r="A4524" s="12"/>
      <c r="E4524" s="14"/>
      <c r="F4524" s="14"/>
      <c r="G4524" s="13">
        <v>0</v>
      </c>
      <c r="H4524" s="13">
        <v>0</v>
      </c>
      <c r="I4524" s="13"/>
      <c r="J4524" s="13"/>
      <c r="K4524" s="13"/>
      <c r="L4524" s="15">
        <v>0</v>
      </c>
    </row>
    <row r="4525" spans="1:12">
      <c r="A4525" s="12"/>
      <c r="E4525" s="14"/>
      <c r="F4525" s="14"/>
      <c r="G4525" s="13">
        <v>0</v>
      </c>
      <c r="H4525" s="13">
        <v>0</v>
      </c>
      <c r="I4525" s="13"/>
      <c r="J4525" s="13"/>
      <c r="K4525" s="13"/>
      <c r="L4525" s="15">
        <v>0</v>
      </c>
    </row>
    <row r="4526" spans="1:12">
      <c r="A4526" s="12"/>
      <c r="E4526" s="14"/>
      <c r="F4526" s="14"/>
      <c r="G4526" s="13">
        <v>0</v>
      </c>
      <c r="H4526" s="13">
        <v>0</v>
      </c>
      <c r="I4526" s="13"/>
      <c r="J4526" s="13"/>
      <c r="K4526" s="13"/>
      <c r="L4526" s="15">
        <v>0</v>
      </c>
    </row>
    <row r="4527" spans="1:12">
      <c r="A4527" s="12"/>
      <c r="E4527" s="14"/>
      <c r="F4527" s="14"/>
      <c r="G4527" s="13">
        <v>0</v>
      </c>
      <c r="H4527" s="13">
        <v>0</v>
      </c>
      <c r="I4527" s="13"/>
      <c r="J4527" s="13"/>
      <c r="K4527" s="13"/>
      <c r="L4527" s="15">
        <v>0</v>
      </c>
    </row>
    <row r="4528" spans="1:12">
      <c r="A4528" s="12"/>
      <c r="E4528" s="14"/>
      <c r="F4528" s="14"/>
      <c r="G4528" s="13">
        <v>0</v>
      </c>
      <c r="H4528" s="13">
        <v>0</v>
      </c>
      <c r="I4528" s="13"/>
      <c r="J4528" s="13"/>
      <c r="K4528" s="13"/>
      <c r="L4528" s="15">
        <v>0</v>
      </c>
    </row>
    <row r="4529" spans="1:12">
      <c r="A4529" s="12"/>
      <c r="E4529" s="14"/>
      <c r="F4529" s="14"/>
      <c r="G4529" s="13">
        <v>0</v>
      </c>
      <c r="H4529" s="13">
        <v>0</v>
      </c>
      <c r="I4529" s="13"/>
      <c r="J4529" s="13"/>
      <c r="K4529" s="13"/>
      <c r="L4529" s="15">
        <v>0</v>
      </c>
    </row>
    <row r="4530" spans="1:12">
      <c r="A4530" s="12"/>
      <c r="E4530" s="14"/>
      <c r="F4530" s="14"/>
      <c r="G4530" s="13">
        <v>0</v>
      </c>
      <c r="H4530" s="13">
        <v>0</v>
      </c>
      <c r="I4530" s="13"/>
      <c r="J4530" s="13"/>
      <c r="K4530" s="13"/>
      <c r="L4530" s="15">
        <v>0</v>
      </c>
    </row>
    <row r="4531" spans="1:12">
      <c r="A4531" s="12"/>
      <c r="E4531" s="14"/>
      <c r="F4531" s="14"/>
      <c r="G4531" s="13">
        <v>0</v>
      </c>
      <c r="H4531" s="13">
        <v>0</v>
      </c>
      <c r="I4531" s="13"/>
      <c r="J4531" s="13"/>
      <c r="K4531" s="13"/>
      <c r="L4531" s="15">
        <v>0</v>
      </c>
    </row>
    <row r="4532" spans="1:12">
      <c r="A4532" s="12"/>
      <c r="E4532" s="14"/>
      <c r="F4532" s="14"/>
      <c r="G4532" s="13">
        <v>0</v>
      </c>
      <c r="H4532" s="13">
        <v>0</v>
      </c>
      <c r="I4532" s="13"/>
      <c r="J4532" s="13"/>
      <c r="K4532" s="13"/>
      <c r="L4532" s="15">
        <v>0</v>
      </c>
    </row>
    <row r="4533" spans="1:12">
      <c r="A4533" s="12"/>
      <c r="E4533" s="14"/>
      <c r="F4533" s="14"/>
      <c r="G4533" s="13">
        <v>0</v>
      </c>
      <c r="H4533" s="13">
        <v>0</v>
      </c>
      <c r="I4533" s="13"/>
      <c r="J4533" s="13"/>
      <c r="K4533" s="13"/>
      <c r="L4533" s="15">
        <v>0</v>
      </c>
    </row>
    <row r="4534" spans="1:12">
      <c r="A4534" s="12"/>
      <c r="E4534" s="14"/>
      <c r="F4534" s="14"/>
      <c r="G4534" s="13">
        <v>0</v>
      </c>
      <c r="H4534" s="13">
        <v>0</v>
      </c>
      <c r="I4534" s="13"/>
      <c r="J4534" s="13"/>
      <c r="K4534" s="13"/>
      <c r="L4534" s="15">
        <v>0</v>
      </c>
    </row>
    <row r="4535" spans="1:12">
      <c r="A4535" s="12"/>
      <c r="E4535" s="14"/>
      <c r="F4535" s="14"/>
      <c r="G4535" s="13">
        <v>0</v>
      </c>
      <c r="H4535" s="13">
        <v>0</v>
      </c>
      <c r="I4535" s="13"/>
      <c r="J4535" s="13"/>
      <c r="K4535" s="13"/>
      <c r="L4535" s="15">
        <v>0</v>
      </c>
    </row>
    <row r="4536" spans="1:12">
      <c r="A4536" s="12"/>
      <c r="E4536" s="14"/>
      <c r="F4536" s="14"/>
      <c r="G4536" s="13">
        <v>0</v>
      </c>
      <c r="H4536" s="13">
        <v>0</v>
      </c>
      <c r="I4536" s="13"/>
      <c r="J4536" s="13"/>
      <c r="K4536" s="13"/>
      <c r="L4536" s="15">
        <v>0</v>
      </c>
    </row>
    <row r="4537" spans="1:12">
      <c r="A4537" s="12"/>
      <c r="E4537" s="14"/>
      <c r="F4537" s="14"/>
      <c r="G4537" s="13">
        <v>0</v>
      </c>
      <c r="H4537" s="13">
        <v>0</v>
      </c>
      <c r="I4537" s="13"/>
      <c r="J4537" s="13"/>
      <c r="K4537" s="13"/>
      <c r="L4537" s="15">
        <v>0</v>
      </c>
    </row>
    <row r="4538" spans="1:12">
      <c r="A4538" s="12"/>
      <c r="E4538" s="14"/>
      <c r="F4538" s="14"/>
      <c r="G4538" s="13">
        <v>0</v>
      </c>
      <c r="H4538" s="13">
        <v>0</v>
      </c>
      <c r="I4538" s="13"/>
      <c r="J4538" s="13"/>
      <c r="K4538" s="13"/>
      <c r="L4538" s="15">
        <v>0</v>
      </c>
    </row>
    <row r="4539" spans="1:12">
      <c r="A4539" s="12"/>
      <c r="E4539" s="14"/>
      <c r="F4539" s="14"/>
      <c r="G4539" s="13">
        <v>0</v>
      </c>
      <c r="H4539" s="13">
        <v>0</v>
      </c>
      <c r="I4539" s="13"/>
      <c r="J4539" s="13"/>
      <c r="K4539" s="13"/>
      <c r="L4539" s="15">
        <v>0</v>
      </c>
    </row>
    <row r="4540" spans="1:12">
      <c r="A4540" s="12"/>
      <c r="E4540" s="14"/>
      <c r="F4540" s="14"/>
      <c r="G4540" s="13">
        <v>0</v>
      </c>
      <c r="H4540" s="13">
        <v>0</v>
      </c>
      <c r="I4540" s="13"/>
      <c r="J4540" s="13"/>
      <c r="K4540" s="13"/>
      <c r="L4540" s="15">
        <v>0</v>
      </c>
    </row>
    <row r="4541" spans="1:12">
      <c r="A4541" s="12"/>
      <c r="E4541" s="14"/>
      <c r="F4541" s="14"/>
      <c r="G4541" s="13">
        <v>0</v>
      </c>
      <c r="H4541" s="13">
        <v>0</v>
      </c>
      <c r="I4541" s="13"/>
      <c r="J4541" s="13"/>
      <c r="K4541" s="13"/>
      <c r="L4541" s="15">
        <v>0</v>
      </c>
    </row>
    <row r="4542" spans="1:12">
      <c r="A4542" s="12"/>
      <c r="E4542" s="14"/>
      <c r="F4542" s="14"/>
      <c r="G4542" s="13">
        <v>0</v>
      </c>
      <c r="H4542" s="13">
        <v>0</v>
      </c>
      <c r="I4542" s="13"/>
      <c r="J4542" s="13"/>
      <c r="K4542" s="13"/>
      <c r="L4542" s="15">
        <v>0</v>
      </c>
    </row>
    <row r="4543" spans="1:12">
      <c r="A4543" s="12"/>
      <c r="E4543" s="14"/>
      <c r="F4543" s="14"/>
      <c r="G4543" s="13">
        <v>0</v>
      </c>
      <c r="H4543" s="13">
        <v>0</v>
      </c>
      <c r="I4543" s="13"/>
      <c r="J4543" s="13"/>
      <c r="K4543" s="13"/>
      <c r="L4543" s="15">
        <v>0</v>
      </c>
    </row>
    <row r="4544" spans="1:12">
      <c r="A4544" s="12"/>
      <c r="E4544" s="14"/>
      <c r="F4544" s="14"/>
      <c r="G4544" s="13">
        <v>0</v>
      </c>
      <c r="H4544" s="13">
        <v>0</v>
      </c>
      <c r="I4544" s="13"/>
      <c r="J4544" s="13"/>
      <c r="K4544" s="13"/>
      <c r="L4544" s="15">
        <v>0</v>
      </c>
    </row>
    <row r="4545" spans="1:12">
      <c r="A4545" s="12"/>
      <c r="E4545" s="14"/>
      <c r="F4545" s="14"/>
      <c r="G4545" s="13">
        <v>0</v>
      </c>
      <c r="H4545" s="13">
        <v>0</v>
      </c>
      <c r="I4545" s="13"/>
      <c r="J4545" s="13"/>
      <c r="K4545" s="13"/>
      <c r="L4545" s="15">
        <v>0</v>
      </c>
    </row>
    <row r="4546" spans="1:12">
      <c r="A4546" s="12"/>
      <c r="E4546" s="14"/>
      <c r="F4546" s="14"/>
      <c r="G4546" s="13">
        <v>0</v>
      </c>
      <c r="H4546" s="13">
        <v>0</v>
      </c>
      <c r="I4546" s="13"/>
      <c r="J4546" s="13"/>
      <c r="K4546" s="13"/>
      <c r="L4546" s="15">
        <v>0</v>
      </c>
    </row>
    <row r="4547" spans="1:12">
      <c r="A4547" s="12"/>
      <c r="E4547" s="14"/>
      <c r="F4547" s="14"/>
      <c r="G4547" s="13">
        <v>0</v>
      </c>
      <c r="H4547" s="13">
        <v>0</v>
      </c>
      <c r="I4547" s="13"/>
      <c r="J4547" s="13"/>
      <c r="K4547" s="13"/>
      <c r="L4547" s="15">
        <v>0</v>
      </c>
    </row>
    <row r="4548" spans="1:12">
      <c r="A4548" s="12"/>
      <c r="E4548" s="14"/>
      <c r="F4548" s="14"/>
      <c r="G4548" s="13">
        <v>0</v>
      </c>
      <c r="H4548" s="13">
        <v>0</v>
      </c>
      <c r="I4548" s="13"/>
      <c r="J4548" s="13"/>
      <c r="K4548" s="13"/>
      <c r="L4548" s="15">
        <v>0</v>
      </c>
    </row>
    <row r="4549" spans="1:12">
      <c r="A4549" s="12"/>
      <c r="E4549" s="14"/>
      <c r="F4549" s="14"/>
      <c r="G4549" s="13">
        <v>0</v>
      </c>
      <c r="H4549" s="13">
        <v>0</v>
      </c>
      <c r="I4549" s="13"/>
      <c r="J4549" s="13"/>
      <c r="K4549" s="13"/>
      <c r="L4549" s="15">
        <v>0</v>
      </c>
    </row>
    <row r="4550" spans="1:12">
      <c r="A4550" s="12"/>
      <c r="E4550" s="14"/>
      <c r="F4550" s="14"/>
      <c r="G4550" s="13">
        <v>0</v>
      </c>
      <c r="H4550" s="13">
        <v>0</v>
      </c>
      <c r="I4550" s="13"/>
      <c r="J4550" s="13"/>
      <c r="K4550" s="13"/>
      <c r="L4550" s="15">
        <v>0</v>
      </c>
    </row>
    <row r="4551" spans="1:12">
      <c r="A4551" s="12"/>
      <c r="E4551" s="14"/>
      <c r="F4551" s="14"/>
      <c r="G4551" s="13">
        <v>0</v>
      </c>
      <c r="H4551" s="13">
        <v>0</v>
      </c>
      <c r="I4551" s="13"/>
      <c r="J4551" s="13"/>
      <c r="K4551" s="13"/>
      <c r="L4551" s="15">
        <v>0</v>
      </c>
    </row>
    <row r="4552" spans="1:12">
      <c r="A4552" s="12"/>
      <c r="E4552" s="14"/>
      <c r="F4552" s="14"/>
      <c r="G4552" s="13">
        <v>0</v>
      </c>
      <c r="H4552" s="13">
        <v>0</v>
      </c>
      <c r="I4552" s="13"/>
      <c r="J4552" s="13"/>
      <c r="K4552" s="13"/>
      <c r="L4552" s="15">
        <v>0</v>
      </c>
    </row>
    <row r="4553" spans="1:12">
      <c r="A4553" s="12"/>
      <c r="E4553" s="14"/>
      <c r="F4553" s="14"/>
      <c r="G4553" s="13">
        <v>0</v>
      </c>
      <c r="H4553" s="13">
        <v>0</v>
      </c>
      <c r="I4553" s="13"/>
      <c r="J4553" s="13"/>
      <c r="K4553" s="13"/>
      <c r="L4553" s="15">
        <v>0</v>
      </c>
    </row>
    <row r="4554" spans="1:12">
      <c r="A4554" s="12"/>
      <c r="E4554" s="14"/>
      <c r="F4554" s="14"/>
      <c r="G4554" s="13">
        <v>0</v>
      </c>
      <c r="H4554" s="13">
        <v>0</v>
      </c>
      <c r="I4554" s="13"/>
      <c r="J4554" s="13"/>
      <c r="K4554" s="13"/>
      <c r="L4554" s="15">
        <v>0</v>
      </c>
    </row>
    <row r="4555" spans="1:12">
      <c r="A4555" s="12"/>
      <c r="E4555" s="14"/>
      <c r="F4555" s="14"/>
      <c r="G4555" s="13">
        <v>0</v>
      </c>
      <c r="H4555" s="13">
        <v>0</v>
      </c>
      <c r="I4555" s="13"/>
      <c r="J4555" s="13"/>
      <c r="K4555" s="13"/>
      <c r="L4555" s="15">
        <v>0</v>
      </c>
    </row>
    <row r="4556" spans="1:12">
      <c r="A4556" s="12"/>
      <c r="E4556" s="14"/>
      <c r="F4556" s="14"/>
      <c r="G4556" s="13">
        <v>0</v>
      </c>
      <c r="H4556" s="13">
        <v>0</v>
      </c>
      <c r="I4556" s="13"/>
      <c r="J4556" s="13"/>
      <c r="K4556" s="13"/>
      <c r="L4556" s="15">
        <v>0</v>
      </c>
    </row>
    <row r="4557" spans="1:12">
      <c r="A4557" s="12"/>
      <c r="E4557" s="14"/>
      <c r="F4557" s="14"/>
      <c r="G4557" s="13">
        <v>0</v>
      </c>
      <c r="H4557" s="13">
        <v>0</v>
      </c>
      <c r="I4557" s="13"/>
      <c r="J4557" s="13"/>
      <c r="K4557" s="13"/>
      <c r="L4557" s="15">
        <v>0</v>
      </c>
    </row>
    <row r="4558" spans="1:12">
      <c r="A4558" s="12"/>
      <c r="E4558" s="14"/>
      <c r="F4558" s="14"/>
      <c r="G4558" s="13">
        <v>0</v>
      </c>
      <c r="H4558" s="13">
        <v>0</v>
      </c>
      <c r="I4558" s="13"/>
      <c r="J4558" s="13"/>
      <c r="K4558" s="13"/>
      <c r="L4558" s="15">
        <v>0</v>
      </c>
    </row>
    <row r="4559" spans="1:12">
      <c r="A4559" s="12"/>
      <c r="E4559" s="14"/>
      <c r="F4559" s="14"/>
      <c r="G4559" s="13">
        <v>0</v>
      </c>
      <c r="H4559" s="13">
        <v>0</v>
      </c>
      <c r="I4559" s="13"/>
      <c r="J4559" s="13"/>
      <c r="K4559" s="13"/>
      <c r="L4559" s="15">
        <v>0</v>
      </c>
    </row>
    <row r="4560" spans="1:12">
      <c r="A4560" s="12"/>
      <c r="E4560" s="14"/>
      <c r="F4560" s="14"/>
      <c r="G4560" s="13">
        <v>0</v>
      </c>
      <c r="H4560" s="13">
        <v>0</v>
      </c>
      <c r="I4560" s="13"/>
      <c r="J4560" s="13"/>
      <c r="K4560" s="13"/>
      <c r="L4560" s="15">
        <v>0</v>
      </c>
    </row>
    <row r="4561" spans="1:12">
      <c r="A4561" s="12"/>
      <c r="E4561" s="14"/>
      <c r="F4561" s="14"/>
      <c r="G4561" s="13">
        <v>0</v>
      </c>
      <c r="H4561" s="13">
        <v>0</v>
      </c>
      <c r="I4561" s="13"/>
      <c r="J4561" s="13"/>
      <c r="K4561" s="13"/>
      <c r="L4561" s="15">
        <v>0</v>
      </c>
    </row>
    <row r="4562" spans="1:12">
      <c r="A4562" s="12"/>
      <c r="E4562" s="14"/>
      <c r="F4562" s="14"/>
      <c r="G4562" s="13">
        <v>0</v>
      </c>
      <c r="H4562" s="13">
        <v>0</v>
      </c>
      <c r="I4562" s="13"/>
      <c r="J4562" s="13"/>
      <c r="K4562" s="13"/>
      <c r="L4562" s="15">
        <v>0</v>
      </c>
    </row>
    <row r="4563" spans="1:12">
      <c r="A4563" s="12"/>
      <c r="E4563" s="14"/>
      <c r="F4563" s="14"/>
      <c r="G4563" s="13">
        <v>0</v>
      </c>
      <c r="H4563" s="13">
        <v>0</v>
      </c>
      <c r="I4563" s="13"/>
      <c r="J4563" s="13"/>
      <c r="K4563" s="13"/>
      <c r="L4563" s="15">
        <v>0</v>
      </c>
    </row>
    <row r="4564" spans="1:12">
      <c r="A4564" s="12"/>
      <c r="E4564" s="14"/>
      <c r="F4564" s="14"/>
      <c r="G4564" s="13">
        <v>0</v>
      </c>
      <c r="H4564" s="13">
        <v>0</v>
      </c>
      <c r="I4564" s="13"/>
      <c r="J4564" s="13"/>
      <c r="K4564" s="13"/>
      <c r="L4564" s="15">
        <v>0</v>
      </c>
    </row>
    <row r="4565" spans="1:12">
      <c r="A4565" s="12"/>
      <c r="E4565" s="14"/>
      <c r="F4565" s="14"/>
      <c r="G4565" s="13">
        <v>0</v>
      </c>
      <c r="H4565" s="13">
        <v>0</v>
      </c>
      <c r="I4565" s="13"/>
      <c r="J4565" s="13"/>
      <c r="K4565" s="13"/>
      <c r="L4565" s="15">
        <v>0</v>
      </c>
    </row>
    <row r="4566" spans="1:12">
      <c r="A4566" s="12"/>
      <c r="E4566" s="14"/>
      <c r="F4566" s="14"/>
      <c r="G4566" s="13">
        <v>0</v>
      </c>
      <c r="H4566" s="13">
        <v>0</v>
      </c>
      <c r="I4566" s="13"/>
      <c r="J4566" s="13"/>
      <c r="K4566" s="13"/>
      <c r="L4566" s="15">
        <v>0</v>
      </c>
    </row>
    <row r="4567" spans="1:12">
      <c r="A4567" s="12"/>
      <c r="E4567" s="14"/>
      <c r="F4567" s="14"/>
      <c r="G4567" s="13">
        <v>0</v>
      </c>
      <c r="H4567" s="13">
        <v>0</v>
      </c>
      <c r="I4567" s="13"/>
      <c r="J4567" s="13"/>
      <c r="K4567" s="13"/>
      <c r="L4567" s="15">
        <v>0</v>
      </c>
    </row>
    <row r="4568" spans="1:12">
      <c r="A4568" s="12"/>
      <c r="E4568" s="14"/>
      <c r="F4568" s="14"/>
      <c r="G4568" s="13">
        <v>0</v>
      </c>
      <c r="H4568" s="13">
        <v>0</v>
      </c>
      <c r="I4568" s="13"/>
      <c r="J4568" s="13"/>
      <c r="K4568" s="13"/>
      <c r="L4568" s="15">
        <v>0</v>
      </c>
    </row>
    <row r="4569" spans="1:12">
      <c r="A4569" s="12"/>
      <c r="E4569" s="14"/>
      <c r="F4569" s="14"/>
      <c r="G4569" s="13">
        <v>0</v>
      </c>
      <c r="H4569" s="13">
        <v>0</v>
      </c>
      <c r="I4569" s="13"/>
      <c r="J4569" s="13"/>
      <c r="K4569" s="13"/>
      <c r="L4569" s="15">
        <v>0</v>
      </c>
    </row>
    <row r="4570" spans="1:12">
      <c r="A4570" s="12"/>
      <c r="E4570" s="14"/>
      <c r="F4570" s="14"/>
      <c r="G4570" s="13">
        <v>0</v>
      </c>
      <c r="H4570" s="13">
        <v>0</v>
      </c>
      <c r="I4570" s="13"/>
      <c r="J4570" s="13"/>
      <c r="K4570" s="13"/>
      <c r="L4570" s="15">
        <v>0</v>
      </c>
    </row>
    <row r="4571" spans="1:12">
      <c r="A4571" s="12"/>
      <c r="E4571" s="14"/>
      <c r="F4571" s="14"/>
      <c r="G4571" s="13">
        <v>0</v>
      </c>
      <c r="H4571" s="13">
        <v>0</v>
      </c>
      <c r="I4571" s="13"/>
      <c r="J4571" s="13"/>
      <c r="K4571" s="13"/>
      <c r="L4571" s="15">
        <v>0</v>
      </c>
    </row>
    <row r="4572" spans="1:12">
      <c r="A4572" s="12"/>
      <c r="E4572" s="14"/>
      <c r="F4572" s="14"/>
      <c r="G4572" s="13">
        <v>0</v>
      </c>
      <c r="H4572" s="13">
        <v>0</v>
      </c>
      <c r="I4572" s="13"/>
      <c r="J4572" s="13"/>
      <c r="K4572" s="13"/>
      <c r="L4572" s="15">
        <v>0</v>
      </c>
    </row>
    <row r="4573" spans="1:12">
      <c r="A4573" s="12"/>
      <c r="E4573" s="14"/>
      <c r="F4573" s="14"/>
      <c r="G4573" s="13">
        <v>0</v>
      </c>
      <c r="H4573" s="13">
        <v>0</v>
      </c>
      <c r="I4573" s="13"/>
      <c r="J4573" s="13"/>
      <c r="K4573" s="13"/>
      <c r="L4573" s="15">
        <v>0</v>
      </c>
    </row>
    <row r="4574" spans="1:12">
      <c r="A4574" s="12"/>
      <c r="E4574" s="14"/>
      <c r="F4574" s="14"/>
      <c r="G4574" s="13">
        <v>0</v>
      </c>
      <c r="H4574" s="13">
        <v>0</v>
      </c>
      <c r="I4574" s="13"/>
      <c r="J4574" s="13"/>
      <c r="K4574" s="13"/>
      <c r="L4574" s="15">
        <v>0</v>
      </c>
    </row>
    <row r="4575" spans="1:12">
      <c r="A4575" s="12"/>
      <c r="E4575" s="14"/>
      <c r="F4575" s="14"/>
      <c r="G4575" s="13">
        <v>0</v>
      </c>
      <c r="H4575" s="13">
        <v>0</v>
      </c>
      <c r="I4575" s="13"/>
      <c r="J4575" s="13"/>
      <c r="K4575" s="13"/>
      <c r="L4575" s="15">
        <v>0</v>
      </c>
    </row>
    <row r="4576" spans="1:12">
      <c r="A4576" s="12"/>
      <c r="E4576" s="14"/>
      <c r="F4576" s="14"/>
      <c r="G4576" s="13">
        <v>0</v>
      </c>
      <c r="H4576" s="13">
        <v>0</v>
      </c>
      <c r="I4576" s="13"/>
      <c r="J4576" s="13"/>
      <c r="K4576" s="13"/>
      <c r="L4576" s="15">
        <v>0</v>
      </c>
    </row>
    <row r="4577" spans="1:12">
      <c r="A4577" s="12"/>
      <c r="E4577" s="14"/>
      <c r="F4577" s="14"/>
      <c r="G4577" s="13">
        <v>0</v>
      </c>
      <c r="H4577" s="13">
        <v>0</v>
      </c>
      <c r="I4577" s="13"/>
      <c r="J4577" s="13"/>
      <c r="K4577" s="13"/>
      <c r="L4577" s="15">
        <v>0</v>
      </c>
    </row>
    <row r="4578" spans="1:12">
      <c r="A4578" s="12"/>
      <c r="E4578" s="14"/>
      <c r="F4578" s="14"/>
      <c r="G4578" s="13">
        <v>0</v>
      </c>
      <c r="H4578" s="13">
        <v>0</v>
      </c>
      <c r="I4578" s="13"/>
      <c r="J4578" s="13"/>
      <c r="K4578" s="13"/>
      <c r="L4578" s="15">
        <v>0</v>
      </c>
    </row>
    <row r="4579" spans="1:12">
      <c r="A4579" s="12"/>
      <c r="E4579" s="14"/>
      <c r="F4579" s="14"/>
      <c r="G4579" s="13">
        <v>0</v>
      </c>
      <c r="H4579" s="13">
        <v>0</v>
      </c>
      <c r="I4579" s="13"/>
      <c r="J4579" s="13"/>
      <c r="K4579" s="13"/>
      <c r="L4579" s="15">
        <v>0</v>
      </c>
    </row>
    <row r="4580" spans="1:12">
      <c r="A4580" s="12"/>
      <c r="E4580" s="14"/>
      <c r="F4580" s="14"/>
      <c r="G4580" s="13">
        <v>0</v>
      </c>
      <c r="H4580" s="13">
        <v>0</v>
      </c>
      <c r="I4580" s="13"/>
      <c r="J4580" s="13"/>
      <c r="K4580" s="13"/>
      <c r="L4580" s="15">
        <v>0</v>
      </c>
    </row>
    <row r="4581" spans="1:12">
      <c r="A4581" s="12"/>
      <c r="E4581" s="14"/>
      <c r="F4581" s="14"/>
      <c r="G4581" s="13">
        <v>0</v>
      </c>
      <c r="H4581" s="13">
        <v>0</v>
      </c>
      <c r="I4581" s="13"/>
      <c r="J4581" s="13"/>
      <c r="K4581" s="13"/>
      <c r="L4581" s="15">
        <v>0</v>
      </c>
    </row>
    <row r="4582" spans="1:12">
      <c r="A4582" s="12"/>
      <c r="E4582" s="14"/>
      <c r="F4582" s="14"/>
      <c r="G4582" s="13">
        <v>0</v>
      </c>
      <c r="H4582" s="13">
        <v>0</v>
      </c>
      <c r="I4582" s="13"/>
      <c r="J4582" s="13"/>
      <c r="K4582" s="13"/>
      <c r="L4582" s="15">
        <v>0</v>
      </c>
    </row>
    <row r="4583" spans="1:12">
      <c r="A4583" s="12"/>
      <c r="E4583" s="14"/>
      <c r="F4583" s="14"/>
      <c r="G4583" s="13">
        <v>0</v>
      </c>
      <c r="H4583" s="13">
        <v>0</v>
      </c>
      <c r="I4583" s="13"/>
      <c r="J4583" s="13"/>
      <c r="K4583" s="13"/>
      <c r="L4583" s="15">
        <v>0</v>
      </c>
    </row>
    <row r="4584" spans="1:12">
      <c r="A4584" s="12"/>
      <c r="E4584" s="14"/>
      <c r="F4584" s="14"/>
      <c r="G4584" s="13">
        <v>0</v>
      </c>
      <c r="H4584" s="13">
        <v>0</v>
      </c>
      <c r="I4584" s="13"/>
      <c r="J4584" s="13"/>
      <c r="K4584" s="13"/>
      <c r="L4584" s="15">
        <v>0</v>
      </c>
    </row>
    <row r="4585" spans="1:12">
      <c r="A4585" s="12"/>
      <c r="E4585" s="14"/>
      <c r="F4585" s="14"/>
      <c r="G4585" s="13">
        <v>0</v>
      </c>
      <c r="H4585" s="13">
        <v>0</v>
      </c>
      <c r="I4585" s="13"/>
      <c r="J4585" s="13"/>
      <c r="K4585" s="13"/>
      <c r="L4585" s="15">
        <v>0</v>
      </c>
    </row>
    <row r="4586" spans="1:12">
      <c r="A4586" s="12"/>
      <c r="E4586" s="14"/>
      <c r="F4586" s="14"/>
      <c r="G4586" s="13">
        <v>0</v>
      </c>
      <c r="H4586" s="13">
        <v>0</v>
      </c>
      <c r="I4586" s="13"/>
      <c r="J4586" s="13"/>
      <c r="K4586" s="13"/>
      <c r="L4586" s="15">
        <v>0</v>
      </c>
    </row>
    <row r="4587" spans="1:12">
      <c r="A4587" s="12"/>
      <c r="E4587" s="14"/>
      <c r="F4587" s="14"/>
      <c r="G4587" s="13">
        <v>0</v>
      </c>
      <c r="H4587" s="13">
        <v>0</v>
      </c>
      <c r="I4587" s="13"/>
      <c r="J4587" s="13"/>
      <c r="K4587" s="13"/>
      <c r="L4587" s="15">
        <v>0</v>
      </c>
    </row>
    <row r="4588" spans="1:12">
      <c r="A4588" s="12"/>
      <c r="E4588" s="14"/>
      <c r="F4588" s="14"/>
      <c r="G4588" s="13">
        <v>0</v>
      </c>
      <c r="H4588" s="13">
        <v>0</v>
      </c>
      <c r="I4588" s="13"/>
      <c r="J4588" s="13"/>
      <c r="K4588" s="13"/>
      <c r="L4588" s="15">
        <v>0</v>
      </c>
    </row>
    <row r="4589" spans="1:12">
      <c r="A4589" s="12"/>
      <c r="E4589" s="14"/>
      <c r="F4589" s="14"/>
      <c r="G4589" s="13">
        <v>0</v>
      </c>
      <c r="H4589" s="13">
        <v>0</v>
      </c>
      <c r="I4589" s="13"/>
      <c r="J4589" s="13"/>
      <c r="K4589" s="13"/>
      <c r="L4589" s="15">
        <v>0</v>
      </c>
    </row>
    <row r="4590" spans="1:12">
      <c r="A4590" s="12"/>
      <c r="E4590" s="14"/>
      <c r="F4590" s="14"/>
      <c r="G4590" s="13">
        <v>0</v>
      </c>
      <c r="H4590" s="13">
        <v>0</v>
      </c>
      <c r="I4590" s="13"/>
      <c r="J4590" s="13"/>
      <c r="K4590" s="13"/>
      <c r="L4590" s="15">
        <v>0</v>
      </c>
    </row>
    <row r="4591" spans="1:12">
      <c r="A4591" s="12"/>
      <c r="E4591" s="14"/>
      <c r="F4591" s="14"/>
      <c r="G4591" s="13">
        <v>0</v>
      </c>
      <c r="H4591" s="13">
        <v>0</v>
      </c>
      <c r="I4591" s="13"/>
      <c r="J4591" s="13"/>
      <c r="K4591" s="13"/>
      <c r="L4591" s="15">
        <v>0</v>
      </c>
    </row>
    <row r="4592" spans="1:12">
      <c r="A4592" s="12"/>
      <c r="E4592" s="14"/>
      <c r="F4592" s="14"/>
      <c r="G4592" s="13">
        <v>0</v>
      </c>
      <c r="H4592" s="13">
        <v>0</v>
      </c>
      <c r="I4592" s="13"/>
      <c r="J4592" s="13"/>
      <c r="K4592" s="13"/>
      <c r="L4592" s="15">
        <v>0</v>
      </c>
    </row>
    <row r="4593" spans="1:12">
      <c r="A4593" s="12"/>
      <c r="E4593" s="14"/>
      <c r="F4593" s="14"/>
      <c r="G4593" s="13">
        <v>0</v>
      </c>
      <c r="H4593" s="13">
        <v>0</v>
      </c>
      <c r="I4593" s="13"/>
      <c r="J4593" s="13"/>
      <c r="K4593" s="13"/>
      <c r="L4593" s="15">
        <v>0</v>
      </c>
    </row>
    <row r="4594" spans="1:12">
      <c r="A4594" s="12"/>
      <c r="E4594" s="14"/>
      <c r="F4594" s="14"/>
      <c r="G4594" s="13">
        <v>0</v>
      </c>
      <c r="H4594" s="13">
        <v>0</v>
      </c>
      <c r="I4594" s="13"/>
      <c r="J4594" s="13"/>
      <c r="K4594" s="13"/>
      <c r="L4594" s="15">
        <v>0</v>
      </c>
    </row>
    <row r="4595" spans="1:12">
      <c r="A4595" s="12"/>
      <c r="E4595" s="14"/>
      <c r="F4595" s="14"/>
      <c r="G4595" s="13">
        <v>0</v>
      </c>
      <c r="H4595" s="13">
        <v>0</v>
      </c>
      <c r="I4595" s="13"/>
      <c r="J4595" s="13"/>
      <c r="K4595" s="13"/>
      <c r="L4595" s="15">
        <v>0</v>
      </c>
    </row>
    <row r="4596" spans="1:12">
      <c r="A4596" s="12"/>
      <c r="E4596" s="14"/>
      <c r="F4596" s="14"/>
      <c r="G4596" s="13">
        <v>0</v>
      </c>
      <c r="H4596" s="13">
        <v>0</v>
      </c>
      <c r="I4596" s="13"/>
      <c r="J4596" s="13"/>
      <c r="K4596" s="13"/>
      <c r="L4596" s="15">
        <v>0</v>
      </c>
    </row>
    <row r="4597" spans="1:12">
      <c r="A4597" s="12"/>
      <c r="E4597" s="14"/>
      <c r="F4597" s="14"/>
      <c r="G4597" s="13">
        <v>0</v>
      </c>
      <c r="H4597" s="13">
        <v>0</v>
      </c>
      <c r="I4597" s="13"/>
      <c r="J4597" s="13"/>
      <c r="K4597" s="13"/>
      <c r="L4597" s="15">
        <v>0</v>
      </c>
    </row>
    <row r="4598" spans="1:12">
      <c r="A4598" s="12"/>
      <c r="E4598" s="14"/>
      <c r="F4598" s="14"/>
      <c r="G4598" s="13">
        <v>0</v>
      </c>
      <c r="H4598" s="13">
        <v>0</v>
      </c>
      <c r="I4598" s="13"/>
      <c r="J4598" s="13"/>
      <c r="K4598" s="13"/>
      <c r="L4598" s="15">
        <v>0</v>
      </c>
    </row>
    <row r="4599" spans="1:12">
      <c r="A4599" s="12"/>
      <c r="E4599" s="14"/>
      <c r="F4599" s="14"/>
      <c r="G4599" s="13">
        <v>0</v>
      </c>
      <c r="H4599" s="13">
        <v>0</v>
      </c>
      <c r="I4599" s="13"/>
      <c r="J4599" s="13"/>
      <c r="K4599" s="13"/>
      <c r="L4599" s="15">
        <v>0</v>
      </c>
    </row>
    <row r="4600" spans="1:12">
      <c r="A4600" s="12"/>
      <c r="E4600" s="14"/>
      <c r="F4600" s="14"/>
      <c r="G4600" s="13">
        <v>0</v>
      </c>
      <c r="H4600" s="13">
        <v>0</v>
      </c>
      <c r="I4600" s="13"/>
      <c r="J4600" s="13"/>
      <c r="K4600" s="13"/>
      <c r="L4600" s="15">
        <v>0</v>
      </c>
    </row>
    <row r="4601" spans="1:12">
      <c r="A4601" s="12"/>
      <c r="E4601" s="14"/>
      <c r="F4601" s="14"/>
      <c r="G4601" s="13">
        <v>0</v>
      </c>
      <c r="H4601" s="13">
        <v>0</v>
      </c>
      <c r="I4601" s="13"/>
      <c r="J4601" s="13"/>
      <c r="K4601" s="13"/>
      <c r="L4601" s="15">
        <v>0</v>
      </c>
    </row>
    <row r="4602" spans="1:12">
      <c r="A4602" s="12"/>
      <c r="E4602" s="14"/>
      <c r="F4602" s="14"/>
      <c r="G4602" s="13">
        <v>0</v>
      </c>
      <c r="H4602" s="13">
        <v>0</v>
      </c>
      <c r="I4602" s="13"/>
      <c r="J4602" s="13"/>
      <c r="K4602" s="13"/>
      <c r="L4602" s="15">
        <v>0</v>
      </c>
    </row>
    <row r="4603" spans="1:12">
      <c r="A4603" s="12"/>
      <c r="E4603" s="14"/>
      <c r="F4603" s="14"/>
      <c r="G4603" s="13">
        <v>0</v>
      </c>
      <c r="H4603" s="13">
        <v>0</v>
      </c>
      <c r="I4603" s="13"/>
      <c r="J4603" s="13"/>
      <c r="K4603" s="13"/>
      <c r="L4603" s="15">
        <v>0</v>
      </c>
    </row>
    <row r="4604" spans="1:12">
      <c r="A4604" s="12"/>
      <c r="E4604" s="14"/>
      <c r="F4604" s="14"/>
      <c r="G4604" s="13">
        <v>0</v>
      </c>
      <c r="H4604" s="13">
        <v>0</v>
      </c>
      <c r="I4604" s="13"/>
      <c r="J4604" s="13"/>
      <c r="K4604" s="13"/>
      <c r="L4604" s="15">
        <v>0</v>
      </c>
    </row>
    <row r="4605" spans="1:12">
      <c r="A4605" s="12"/>
      <c r="E4605" s="14"/>
      <c r="F4605" s="14"/>
      <c r="G4605" s="13">
        <v>0</v>
      </c>
      <c r="H4605" s="13">
        <v>0</v>
      </c>
      <c r="I4605" s="13"/>
      <c r="J4605" s="13"/>
      <c r="K4605" s="13"/>
      <c r="L4605" s="15">
        <v>0</v>
      </c>
    </row>
    <row r="4606" spans="1:12">
      <c r="A4606" s="12"/>
      <c r="E4606" s="14"/>
      <c r="F4606" s="14"/>
      <c r="G4606" s="13">
        <v>0</v>
      </c>
      <c r="H4606" s="13">
        <v>0</v>
      </c>
      <c r="I4606" s="13"/>
      <c r="J4606" s="13"/>
      <c r="K4606" s="13"/>
      <c r="L4606" s="15">
        <v>0</v>
      </c>
    </row>
    <row r="4607" spans="1:12">
      <c r="A4607" s="12"/>
      <c r="E4607" s="14"/>
      <c r="F4607" s="14"/>
      <c r="G4607" s="13">
        <v>0</v>
      </c>
      <c r="H4607" s="13">
        <v>0</v>
      </c>
      <c r="I4607" s="13"/>
      <c r="J4607" s="13"/>
      <c r="K4607" s="13"/>
      <c r="L4607" s="15">
        <v>0</v>
      </c>
    </row>
    <row r="4608" spans="1:12">
      <c r="A4608" s="12"/>
      <c r="E4608" s="14"/>
      <c r="F4608" s="14"/>
      <c r="G4608" s="13">
        <v>0</v>
      </c>
      <c r="H4608" s="13">
        <v>0</v>
      </c>
      <c r="I4608" s="13"/>
      <c r="J4608" s="13"/>
      <c r="K4608" s="13"/>
      <c r="L4608" s="15">
        <v>0</v>
      </c>
    </row>
    <row r="4609" spans="1:12">
      <c r="A4609" s="12"/>
      <c r="E4609" s="14"/>
      <c r="F4609" s="14"/>
      <c r="G4609" s="13">
        <v>0</v>
      </c>
      <c r="H4609" s="13">
        <v>0</v>
      </c>
      <c r="I4609" s="13"/>
      <c r="J4609" s="13"/>
      <c r="K4609" s="13"/>
      <c r="L4609" s="15">
        <v>0</v>
      </c>
    </row>
    <row r="4610" spans="1:12">
      <c r="A4610" s="12"/>
      <c r="E4610" s="14"/>
      <c r="F4610" s="14"/>
      <c r="G4610" s="13">
        <v>0</v>
      </c>
      <c r="H4610" s="13">
        <v>0</v>
      </c>
      <c r="I4610" s="13"/>
      <c r="J4610" s="13"/>
      <c r="K4610" s="13"/>
      <c r="L4610" s="15">
        <v>0</v>
      </c>
    </row>
    <row r="4611" spans="1:12">
      <c r="A4611" s="12"/>
      <c r="E4611" s="14"/>
      <c r="F4611" s="14"/>
      <c r="G4611" s="13">
        <v>0</v>
      </c>
      <c r="H4611" s="13">
        <v>0</v>
      </c>
      <c r="I4611" s="13"/>
      <c r="J4611" s="13"/>
      <c r="K4611" s="13"/>
      <c r="L4611" s="15">
        <v>0</v>
      </c>
    </row>
    <row r="4612" spans="1:12">
      <c r="A4612" s="12"/>
      <c r="E4612" s="14"/>
      <c r="F4612" s="14"/>
      <c r="G4612" s="13">
        <v>0</v>
      </c>
      <c r="H4612" s="13">
        <v>0</v>
      </c>
      <c r="I4612" s="13"/>
      <c r="J4612" s="13"/>
      <c r="K4612" s="13"/>
      <c r="L4612" s="15">
        <v>0</v>
      </c>
    </row>
    <row r="4613" spans="1:12">
      <c r="A4613" s="12"/>
      <c r="E4613" s="14"/>
      <c r="F4613" s="14"/>
      <c r="G4613" s="13">
        <v>0</v>
      </c>
      <c r="H4613" s="13">
        <v>0</v>
      </c>
      <c r="I4613" s="13"/>
      <c r="J4613" s="13"/>
      <c r="K4613" s="13"/>
      <c r="L4613" s="15">
        <v>0</v>
      </c>
    </row>
    <row r="4614" spans="1:12">
      <c r="A4614" s="12"/>
      <c r="E4614" s="14"/>
      <c r="F4614" s="14"/>
      <c r="G4614" s="13">
        <v>0</v>
      </c>
      <c r="H4614" s="13">
        <v>0</v>
      </c>
      <c r="I4614" s="13"/>
      <c r="J4614" s="13"/>
      <c r="K4614" s="13"/>
      <c r="L4614" s="15">
        <v>0</v>
      </c>
    </row>
    <row r="4615" spans="1:12">
      <c r="A4615" s="12"/>
      <c r="E4615" s="14"/>
      <c r="F4615" s="14"/>
      <c r="G4615" s="13">
        <v>0</v>
      </c>
      <c r="H4615" s="13">
        <v>0</v>
      </c>
      <c r="I4615" s="13"/>
      <c r="J4615" s="13"/>
      <c r="K4615" s="13"/>
      <c r="L4615" s="15">
        <v>0</v>
      </c>
    </row>
    <row r="4616" spans="1:12">
      <c r="A4616" s="12"/>
      <c r="E4616" s="14"/>
      <c r="F4616" s="14"/>
      <c r="G4616" s="13">
        <v>0</v>
      </c>
      <c r="H4616" s="13">
        <v>0</v>
      </c>
      <c r="I4616" s="13"/>
      <c r="J4616" s="13"/>
      <c r="K4616" s="13"/>
      <c r="L4616" s="15">
        <v>0</v>
      </c>
    </row>
    <row r="4617" spans="1:12">
      <c r="A4617" s="12"/>
      <c r="E4617" s="14"/>
      <c r="F4617" s="14"/>
      <c r="G4617" s="13">
        <v>0</v>
      </c>
      <c r="H4617" s="13">
        <v>0</v>
      </c>
      <c r="I4617" s="13"/>
      <c r="J4617" s="13"/>
      <c r="K4617" s="13"/>
      <c r="L4617" s="15">
        <v>0</v>
      </c>
    </row>
    <row r="4618" spans="1:12">
      <c r="A4618" s="12"/>
      <c r="E4618" s="14"/>
      <c r="F4618" s="14"/>
      <c r="G4618" s="13">
        <v>0</v>
      </c>
      <c r="H4618" s="13">
        <v>0</v>
      </c>
      <c r="I4618" s="13"/>
      <c r="J4618" s="13"/>
      <c r="K4618" s="13"/>
      <c r="L4618" s="15">
        <v>0</v>
      </c>
    </row>
    <row r="4619" spans="1:12">
      <c r="A4619" s="12"/>
      <c r="E4619" s="14"/>
      <c r="F4619" s="14"/>
      <c r="G4619" s="13">
        <v>0</v>
      </c>
      <c r="H4619" s="13">
        <v>0</v>
      </c>
      <c r="I4619" s="13"/>
      <c r="J4619" s="13"/>
      <c r="K4619" s="13"/>
      <c r="L4619" s="15">
        <v>0</v>
      </c>
    </row>
    <row r="4620" spans="1:12">
      <c r="A4620" s="12"/>
      <c r="E4620" s="14"/>
      <c r="F4620" s="14"/>
      <c r="G4620" s="13">
        <v>0</v>
      </c>
      <c r="H4620" s="13">
        <v>0</v>
      </c>
      <c r="I4620" s="13"/>
      <c r="J4620" s="13"/>
      <c r="K4620" s="13"/>
      <c r="L4620" s="15">
        <v>0</v>
      </c>
    </row>
    <row r="4621" spans="1:12">
      <c r="A4621" s="12"/>
      <c r="E4621" s="14"/>
      <c r="F4621" s="14"/>
      <c r="G4621" s="13">
        <v>0</v>
      </c>
      <c r="H4621" s="13">
        <v>0</v>
      </c>
      <c r="I4621" s="13"/>
      <c r="J4621" s="13"/>
      <c r="K4621" s="13"/>
      <c r="L4621" s="15">
        <v>0</v>
      </c>
    </row>
    <row r="4622" spans="1:12">
      <c r="A4622" s="12"/>
      <c r="E4622" s="14"/>
      <c r="F4622" s="14"/>
      <c r="G4622" s="13">
        <v>0</v>
      </c>
      <c r="H4622" s="13">
        <v>0</v>
      </c>
      <c r="I4622" s="13"/>
      <c r="J4622" s="13"/>
      <c r="K4622" s="13"/>
      <c r="L4622" s="15">
        <v>0</v>
      </c>
    </row>
    <row r="4623" spans="1:12">
      <c r="A4623" s="12"/>
      <c r="E4623" s="14"/>
      <c r="F4623" s="14"/>
      <c r="G4623" s="13">
        <v>0</v>
      </c>
      <c r="H4623" s="13">
        <v>0</v>
      </c>
      <c r="I4623" s="13"/>
      <c r="J4623" s="13"/>
      <c r="K4623" s="13"/>
      <c r="L4623" s="15">
        <v>0</v>
      </c>
    </row>
    <row r="4624" spans="1:12">
      <c r="A4624" s="12"/>
      <c r="E4624" s="14"/>
      <c r="F4624" s="14"/>
      <c r="G4624" s="13">
        <v>0</v>
      </c>
      <c r="H4624" s="13">
        <v>0</v>
      </c>
      <c r="I4624" s="13"/>
      <c r="J4624" s="13"/>
      <c r="K4624" s="13"/>
      <c r="L4624" s="15">
        <v>0</v>
      </c>
    </row>
    <row r="4625" spans="1:12">
      <c r="A4625" s="12"/>
      <c r="E4625" s="14"/>
      <c r="F4625" s="14"/>
      <c r="G4625" s="13">
        <v>0</v>
      </c>
      <c r="H4625" s="13">
        <v>0</v>
      </c>
      <c r="I4625" s="13"/>
      <c r="J4625" s="13"/>
      <c r="K4625" s="13"/>
      <c r="L4625" s="15">
        <v>0</v>
      </c>
    </row>
    <row r="4626" spans="1:12">
      <c r="A4626" s="12"/>
      <c r="E4626" s="14"/>
      <c r="F4626" s="14"/>
      <c r="G4626" s="13">
        <v>0</v>
      </c>
      <c r="H4626" s="13">
        <v>0</v>
      </c>
      <c r="I4626" s="13"/>
      <c r="J4626" s="13"/>
      <c r="K4626" s="13"/>
      <c r="L4626" s="15">
        <v>0</v>
      </c>
    </row>
    <row r="4627" spans="1:12">
      <c r="A4627" s="12"/>
      <c r="E4627" s="14"/>
      <c r="F4627" s="14"/>
      <c r="G4627" s="13">
        <v>0</v>
      </c>
      <c r="H4627" s="13">
        <v>0</v>
      </c>
      <c r="I4627" s="13"/>
      <c r="J4627" s="13"/>
      <c r="K4627" s="13"/>
      <c r="L4627" s="15">
        <v>0</v>
      </c>
    </row>
    <row r="4628" spans="1:12">
      <c r="A4628" s="12"/>
      <c r="E4628" s="14"/>
      <c r="F4628" s="14"/>
      <c r="G4628" s="13">
        <v>0</v>
      </c>
      <c r="H4628" s="13">
        <v>0</v>
      </c>
      <c r="I4628" s="13"/>
      <c r="J4628" s="13"/>
      <c r="K4628" s="13"/>
      <c r="L4628" s="15">
        <v>0</v>
      </c>
    </row>
    <row r="4629" spans="1:12">
      <c r="A4629" s="12"/>
      <c r="E4629" s="14"/>
      <c r="F4629" s="14"/>
      <c r="G4629" s="13">
        <v>0</v>
      </c>
      <c r="H4629" s="13">
        <v>0</v>
      </c>
      <c r="I4629" s="13"/>
      <c r="J4629" s="13"/>
      <c r="K4629" s="13"/>
      <c r="L4629" s="15">
        <v>0</v>
      </c>
    </row>
    <row r="4630" spans="1:12">
      <c r="A4630" s="12"/>
      <c r="E4630" s="14"/>
      <c r="F4630" s="14"/>
      <c r="G4630" s="13">
        <v>0</v>
      </c>
      <c r="H4630" s="13">
        <v>0</v>
      </c>
      <c r="I4630" s="13"/>
      <c r="J4630" s="13"/>
      <c r="K4630" s="13"/>
      <c r="L4630" s="15">
        <v>0</v>
      </c>
    </row>
    <row r="4631" spans="1:12">
      <c r="A4631" s="12"/>
      <c r="E4631" s="14"/>
      <c r="F4631" s="14"/>
      <c r="G4631" s="13">
        <v>0</v>
      </c>
      <c r="H4631" s="13">
        <v>0</v>
      </c>
      <c r="I4631" s="13"/>
      <c r="J4631" s="13"/>
      <c r="K4631" s="13"/>
      <c r="L4631" s="15">
        <v>0</v>
      </c>
    </row>
    <row r="4632" spans="1:12">
      <c r="A4632" s="12"/>
      <c r="E4632" s="14"/>
      <c r="F4632" s="14"/>
      <c r="G4632" s="13">
        <v>0</v>
      </c>
      <c r="H4632" s="13">
        <v>0</v>
      </c>
      <c r="I4632" s="13"/>
      <c r="J4632" s="13"/>
      <c r="K4632" s="13"/>
      <c r="L4632" s="15">
        <v>0</v>
      </c>
    </row>
    <row r="4633" spans="1:12">
      <c r="A4633" s="12"/>
      <c r="E4633" s="14"/>
      <c r="F4633" s="14"/>
      <c r="G4633" s="13">
        <v>0</v>
      </c>
      <c r="H4633" s="13">
        <v>0</v>
      </c>
      <c r="I4633" s="13"/>
      <c r="J4633" s="13"/>
      <c r="K4633" s="13"/>
      <c r="L4633" s="15">
        <v>0</v>
      </c>
    </row>
    <row r="4634" spans="1:12">
      <c r="A4634" s="12"/>
      <c r="E4634" s="14"/>
      <c r="F4634" s="14"/>
      <c r="G4634" s="13">
        <v>0</v>
      </c>
      <c r="H4634" s="13">
        <v>0</v>
      </c>
      <c r="I4634" s="13"/>
      <c r="J4634" s="13"/>
      <c r="K4634" s="13"/>
      <c r="L4634" s="15">
        <v>0</v>
      </c>
    </row>
    <row r="4635" spans="1:12">
      <c r="A4635" s="12"/>
      <c r="E4635" s="14"/>
      <c r="F4635" s="14"/>
      <c r="G4635" s="13">
        <v>0</v>
      </c>
      <c r="H4635" s="13">
        <v>0</v>
      </c>
      <c r="I4635" s="13"/>
      <c r="J4635" s="13"/>
      <c r="K4635" s="13"/>
      <c r="L4635" s="15">
        <v>0</v>
      </c>
    </row>
    <row r="4636" spans="1:12">
      <c r="A4636" s="12"/>
      <c r="E4636" s="14"/>
      <c r="F4636" s="14"/>
      <c r="G4636" s="13">
        <v>0</v>
      </c>
      <c r="H4636" s="13">
        <v>0</v>
      </c>
      <c r="I4636" s="13"/>
      <c r="J4636" s="13"/>
      <c r="K4636" s="13"/>
      <c r="L4636" s="15">
        <v>0</v>
      </c>
    </row>
    <row r="4637" spans="1:12">
      <c r="A4637" s="12"/>
      <c r="E4637" s="14"/>
      <c r="F4637" s="14"/>
      <c r="G4637" s="13">
        <v>0</v>
      </c>
      <c r="H4637" s="13">
        <v>0</v>
      </c>
      <c r="I4637" s="13"/>
      <c r="J4637" s="13"/>
      <c r="K4637" s="13"/>
      <c r="L4637" s="15">
        <v>0</v>
      </c>
    </row>
    <row r="4638" spans="1:12">
      <c r="A4638" s="12"/>
      <c r="E4638" s="14"/>
      <c r="F4638" s="14"/>
      <c r="G4638" s="13">
        <v>0</v>
      </c>
      <c r="H4638" s="13">
        <v>0</v>
      </c>
      <c r="I4638" s="13"/>
      <c r="J4638" s="13"/>
      <c r="K4638" s="13"/>
      <c r="L4638" s="15">
        <v>0</v>
      </c>
    </row>
    <row r="4639" spans="1:12">
      <c r="A4639" s="12"/>
      <c r="E4639" s="14"/>
      <c r="F4639" s="14"/>
      <c r="G4639" s="13">
        <v>0</v>
      </c>
      <c r="H4639" s="13">
        <v>0</v>
      </c>
      <c r="I4639" s="13"/>
      <c r="J4639" s="13"/>
      <c r="K4639" s="13"/>
      <c r="L4639" s="15">
        <v>0</v>
      </c>
    </row>
    <row r="4640" spans="1:12">
      <c r="A4640" s="12"/>
      <c r="E4640" s="14"/>
      <c r="F4640" s="14"/>
      <c r="G4640" s="13">
        <v>0</v>
      </c>
      <c r="H4640" s="13">
        <v>0</v>
      </c>
      <c r="I4640" s="13"/>
      <c r="J4640" s="13"/>
      <c r="K4640" s="13"/>
      <c r="L4640" s="15">
        <v>0</v>
      </c>
    </row>
    <row r="4641" spans="1:12">
      <c r="A4641" s="12"/>
      <c r="E4641" s="14"/>
      <c r="F4641" s="14"/>
      <c r="G4641" s="13">
        <v>0</v>
      </c>
      <c r="H4641" s="13">
        <v>0</v>
      </c>
      <c r="I4641" s="13"/>
      <c r="J4641" s="13"/>
      <c r="K4641" s="13"/>
      <c r="L4641" s="15">
        <v>0</v>
      </c>
    </row>
    <row r="4642" spans="1:12">
      <c r="A4642" s="12"/>
      <c r="E4642" s="14"/>
      <c r="F4642" s="14"/>
      <c r="G4642" s="13">
        <v>0</v>
      </c>
      <c r="H4642" s="13">
        <v>0</v>
      </c>
      <c r="I4642" s="13"/>
      <c r="J4642" s="13"/>
      <c r="K4642" s="13"/>
      <c r="L4642" s="15">
        <v>0</v>
      </c>
    </row>
    <row r="4643" spans="1:12">
      <c r="A4643" s="12"/>
      <c r="E4643" s="14"/>
      <c r="F4643" s="14"/>
      <c r="G4643" s="13">
        <v>0</v>
      </c>
      <c r="H4643" s="13">
        <v>0</v>
      </c>
      <c r="I4643" s="13"/>
      <c r="J4643" s="13"/>
      <c r="K4643" s="13"/>
      <c r="L4643" s="15">
        <v>0</v>
      </c>
    </row>
    <row r="4644" spans="1:12">
      <c r="A4644" s="12"/>
      <c r="E4644" s="14"/>
      <c r="F4644" s="14"/>
      <c r="G4644" s="13">
        <v>0</v>
      </c>
      <c r="H4644" s="13">
        <v>0</v>
      </c>
      <c r="I4644" s="13"/>
      <c r="J4644" s="13"/>
      <c r="K4644" s="13"/>
      <c r="L4644" s="15">
        <v>0</v>
      </c>
    </row>
    <row r="4645" spans="1:12">
      <c r="A4645" s="12"/>
      <c r="E4645" s="14"/>
      <c r="F4645" s="14"/>
      <c r="G4645" s="13">
        <v>0</v>
      </c>
      <c r="H4645" s="13">
        <v>0</v>
      </c>
      <c r="I4645" s="13"/>
      <c r="J4645" s="13"/>
      <c r="K4645" s="13"/>
      <c r="L4645" s="15">
        <v>0</v>
      </c>
    </row>
    <row r="4646" spans="1:12">
      <c r="A4646" s="12"/>
      <c r="E4646" s="14"/>
      <c r="F4646" s="14"/>
      <c r="G4646" s="13">
        <v>0</v>
      </c>
      <c r="H4646" s="13">
        <v>0</v>
      </c>
      <c r="I4646" s="13"/>
      <c r="J4646" s="13"/>
      <c r="K4646" s="13"/>
      <c r="L4646" s="15">
        <v>0</v>
      </c>
    </row>
    <row r="4647" spans="1:12">
      <c r="A4647" s="12"/>
      <c r="E4647" s="14"/>
      <c r="F4647" s="14"/>
      <c r="G4647" s="13">
        <v>0</v>
      </c>
      <c r="H4647" s="13">
        <v>0</v>
      </c>
      <c r="I4647" s="13"/>
      <c r="J4647" s="13"/>
      <c r="K4647" s="13"/>
      <c r="L4647" s="15">
        <v>0</v>
      </c>
    </row>
    <row r="4648" spans="1:12">
      <c r="A4648" s="12"/>
      <c r="E4648" s="14"/>
      <c r="F4648" s="14"/>
      <c r="G4648" s="13">
        <v>0</v>
      </c>
      <c r="H4648" s="13">
        <v>0</v>
      </c>
      <c r="I4648" s="13"/>
      <c r="J4648" s="13"/>
      <c r="K4648" s="13"/>
      <c r="L4648" s="15">
        <v>0</v>
      </c>
    </row>
    <row r="4649" spans="1:12">
      <c r="A4649" s="12"/>
      <c r="E4649" s="14"/>
      <c r="F4649" s="14"/>
      <c r="G4649" s="13">
        <v>0</v>
      </c>
      <c r="H4649" s="13">
        <v>0</v>
      </c>
      <c r="I4649" s="13"/>
      <c r="J4649" s="13"/>
      <c r="K4649" s="13"/>
      <c r="L4649" s="15">
        <v>0</v>
      </c>
    </row>
    <row r="4650" spans="1:12">
      <c r="A4650" s="12"/>
      <c r="E4650" s="14"/>
      <c r="F4650" s="14"/>
      <c r="G4650" s="13">
        <v>0</v>
      </c>
      <c r="H4650" s="13">
        <v>0</v>
      </c>
      <c r="I4650" s="13"/>
      <c r="J4650" s="13"/>
      <c r="K4650" s="13"/>
      <c r="L4650" s="15">
        <v>0</v>
      </c>
    </row>
    <row r="4651" spans="1:12">
      <c r="A4651" s="12"/>
      <c r="E4651" s="14"/>
      <c r="F4651" s="14"/>
      <c r="G4651" s="13">
        <v>0</v>
      </c>
      <c r="H4651" s="13">
        <v>0</v>
      </c>
      <c r="I4651" s="13"/>
      <c r="J4651" s="13"/>
      <c r="K4651" s="13"/>
      <c r="L4651" s="15">
        <v>0</v>
      </c>
    </row>
    <row r="4652" spans="1:12">
      <c r="A4652" s="12"/>
      <c r="E4652" s="14"/>
      <c r="F4652" s="14"/>
      <c r="G4652" s="13">
        <v>0</v>
      </c>
      <c r="H4652" s="13">
        <v>0</v>
      </c>
      <c r="I4652" s="13"/>
      <c r="J4652" s="13"/>
      <c r="K4652" s="13"/>
      <c r="L4652" s="15">
        <v>0</v>
      </c>
    </row>
    <row r="4653" spans="1:12">
      <c r="A4653" s="12"/>
      <c r="E4653" s="14"/>
      <c r="F4653" s="14"/>
      <c r="G4653" s="13">
        <v>0</v>
      </c>
      <c r="H4653" s="13">
        <v>0</v>
      </c>
      <c r="I4653" s="13"/>
      <c r="J4653" s="13"/>
      <c r="K4653" s="13"/>
      <c r="L4653" s="15">
        <v>0</v>
      </c>
    </row>
    <row r="4654" spans="1:12">
      <c r="A4654" s="12"/>
      <c r="E4654" s="14"/>
      <c r="F4654" s="14"/>
      <c r="G4654" s="13">
        <v>0</v>
      </c>
      <c r="H4654" s="13">
        <v>0</v>
      </c>
      <c r="I4654" s="13"/>
      <c r="J4654" s="13"/>
      <c r="K4654" s="13"/>
      <c r="L4654" s="15">
        <v>0</v>
      </c>
    </row>
    <row r="4655" spans="1:12">
      <c r="A4655" s="12"/>
      <c r="E4655" s="14"/>
      <c r="F4655" s="14"/>
      <c r="G4655" s="13">
        <v>0</v>
      </c>
      <c r="H4655" s="13">
        <v>0</v>
      </c>
      <c r="I4655" s="13"/>
      <c r="J4655" s="13"/>
      <c r="K4655" s="13"/>
      <c r="L4655" s="15">
        <v>0</v>
      </c>
    </row>
    <row r="4656" spans="1:12">
      <c r="A4656" s="12"/>
      <c r="E4656" s="14"/>
      <c r="F4656" s="14"/>
      <c r="G4656" s="13">
        <v>0</v>
      </c>
      <c r="H4656" s="13">
        <v>0</v>
      </c>
      <c r="I4656" s="13"/>
      <c r="J4656" s="13"/>
      <c r="K4656" s="13"/>
      <c r="L4656" s="15">
        <v>0</v>
      </c>
    </row>
    <row r="4657" spans="1:12">
      <c r="A4657" s="12"/>
      <c r="E4657" s="14"/>
      <c r="F4657" s="14"/>
      <c r="G4657" s="13">
        <v>0</v>
      </c>
      <c r="H4657" s="13">
        <v>0</v>
      </c>
      <c r="I4657" s="13"/>
      <c r="J4657" s="13"/>
      <c r="K4657" s="13"/>
      <c r="L4657" s="15">
        <v>0</v>
      </c>
    </row>
    <row r="4658" spans="1:12">
      <c r="A4658" s="12"/>
      <c r="E4658" s="14"/>
      <c r="F4658" s="14"/>
      <c r="G4658" s="13">
        <v>0</v>
      </c>
      <c r="H4658" s="13">
        <v>0</v>
      </c>
      <c r="I4658" s="13"/>
      <c r="J4658" s="13"/>
      <c r="K4658" s="13"/>
      <c r="L4658" s="15">
        <v>0</v>
      </c>
    </row>
    <row r="4659" spans="1:12">
      <c r="A4659" s="12"/>
      <c r="E4659" s="14"/>
      <c r="F4659" s="14"/>
      <c r="G4659" s="13">
        <v>0</v>
      </c>
      <c r="H4659" s="13">
        <v>0</v>
      </c>
      <c r="I4659" s="13"/>
      <c r="J4659" s="13"/>
      <c r="K4659" s="13"/>
      <c r="L4659" s="15">
        <v>0</v>
      </c>
    </row>
    <row r="4660" spans="1:12">
      <c r="A4660" s="12"/>
      <c r="E4660" s="14"/>
      <c r="F4660" s="14"/>
      <c r="G4660" s="13">
        <v>0</v>
      </c>
      <c r="H4660" s="13">
        <v>0</v>
      </c>
      <c r="I4660" s="13"/>
      <c r="J4660" s="13"/>
      <c r="K4660" s="13"/>
      <c r="L4660" s="15">
        <v>0</v>
      </c>
    </row>
    <row r="4661" spans="1:12">
      <c r="A4661" s="12"/>
      <c r="E4661" s="14"/>
      <c r="F4661" s="14"/>
      <c r="G4661" s="13">
        <v>0</v>
      </c>
      <c r="H4661" s="13">
        <v>0</v>
      </c>
      <c r="I4661" s="13"/>
      <c r="J4661" s="13"/>
      <c r="K4661" s="13"/>
      <c r="L4661" s="15">
        <v>0</v>
      </c>
    </row>
    <row r="4662" spans="1:12">
      <c r="A4662" s="12"/>
      <c r="E4662" s="14"/>
      <c r="F4662" s="14"/>
      <c r="G4662" s="13">
        <v>0</v>
      </c>
      <c r="H4662" s="13">
        <v>0</v>
      </c>
      <c r="I4662" s="13"/>
      <c r="J4662" s="13"/>
      <c r="K4662" s="13"/>
      <c r="L4662" s="15">
        <v>0</v>
      </c>
    </row>
    <row r="4663" spans="1:12">
      <c r="A4663" s="12"/>
      <c r="E4663" s="14"/>
      <c r="F4663" s="14"/>
      <c r="G4663" s="13">
        <v>0</v>
      </c>
      <c r="H4663" s="13">
        <v>0</v>
      </c>
      <c r="I4663" s="13"/>
      <c r="J4663" s="13"/>
      <c r="K4663" s="13"/>
      <c r="L4663" s="15">
        <v>0</v>
      </c>
    </row>
    <row r="4664" spans="1:12">
      <c r="A4664" s="12"/>
      <c r="E4664" s="14"/>
      <c r="F4664" s="14"/>
      <c r="G4664" s="13">
        <v>0</v>
      </c>
      <c r="H4664" s="13">
        <v>0</v>
      </c>
      <c r="I4664" s="13"/>
      <c r="J4664" s="13"/>
      <c r="K4664" s="13"/>
      <c r="L4664" s="15">
        <v>0</v>
      </c>
    </row>
    <row r="4665" spans="1:12">
      <c r="A4665" s="12"/>
      <c r="E4665" s="14"/>
      <c r="F4665" s="14"/>
      <c r="G4665" s="13">
        <v>0</v>
      </c>
      <c r="H4665" s="13">
        <v>0</v>
      </c>
      <c r="I4665" s="13"/>
      <c r="J4665" s="13"/>
      <c r="K4665" s="13"/>
      <c r="L4665" s="15">
        <v>0</v>
      </c>
    </row>
    <row r="4666" spans="1:12">
      <c r="A4666" s="12"/>
      <c r="E4666" s="14"/>
      <c r="F4666" s="14"/>
      <c r="G4666" s="13">
        <v>0</v>
      </c>
      <c r="H4666" s="13">
        <v>0</v>
      </c>
      <c r="I4666" s="13"/>
      <c r="J4666" s="13"/>
      <c r="K4666" s="13"/>
      <c r="L4666" s="15">
        <v>0</v>
      </c>
    </row>
    <row r="4667" spans="1:12">
      <c r="A4667" s="12"/>
      <c r="E4667" s="14"/>
      <c r="F4667" s="14"/>
      <c r="G4667" s="13">
        <v>0</v>
      </c>
      <c r="H4667" s="13">
        <v>0</v>
      </c>
      <c r="I4667" s="13"/>
      <c r="J4667" s="13"/>
      <c r="K4667" s="13"/>
      <c r="L4667" s="15">
        <v>0</v>
      </c>
    </row>
    <row r="4668" spans="1:12">
      <c r="A4668" s="12"/>
      <c r="E4668" s="14"/>
      <c r="F4668" s="14"/>
      <c r="G4668" s="13">
        <v>0</v>
      </c>
      <c r="H4668" s="13">
        <v>0</v>
      </c>
      <c r="I4668" s="13"/>
      <c r="J4668" s="13"/>
      <c r="K4668" s="13"/>
      <c r="L4668" s="15">
        <v>0</v>
      </c>
    </row>
    <row r="4669" spans="1:12">
      <c r="A4669" s="12"/>
      <c r="E4669" s="14"/>
      <c r="F4669" s="14"/>
      <c r="G4669" s="13">
        <v>0</v>
      </c>
      <c r="H4669" s="13">
        <v>0</v>
      </c>
      <c r="I4669" s="13"/>
      <c r="J4669" s="13"/>
      <c r="K4669" s="13"/>
      <c r="L4669" s="15">
        <v>0</v>
      </c>
    </row>
    <row r="4670" spans="1:12">
      <c r="A4670" s="12"/>
      <c r="E4670" s="14"/>
      <c r="F4670" s="14"/>
      <c r="G4670" s="13">
        <v>0</v>
      </c>
      <c r="H4670" s="13">
        <v>0</v>
      </c>
      <c r="I4670" s="13"/>
      <c r="J4670" s="13"/>
      <c r="K4670" s="13"/>
      <c r="L4670" s="15">
        <v>0</v>
      </c>
    </row>
    <row r="4671" spans="1:12">
      <c r="A4671" s="12"/>
      <c r="E4671" s="14"/>
      <c r="F4671" s="14"/>
      <c r="G4671" s="13">
        <v>0</v>
      </c>
      <c r="H4671" s="13">
        <v>0</v>
      </c>
      <c r="I4671" s="13"/>
      <c r="J4671" s="13"/>
      <c r="K4671" s="13"/>
      <c r="L4671" s="15">
        <v>0</v>
      </c>
    </row>
    <row r="4672" spans="1:12">
      <c r="A4672" s="12"/>
      <c r="E4672" s="14"/>
      <c r="F4672" s="14"/>
      <c r="G4672" s="13">
        <v>0</v>
      </c>
      <c r="H4672" s="13">
        <v>0</v>
      </c>
      <c r="I4672" s="13"/>
      <c r="J4672" s="13"/>
      <c r="K4672" s="13"/>
      <c r="L4672" s="15">
        <v>0</v>
      </c>
    </row>
    <row r="4673" spans="1:12">
      <c r="A4673" s="12"/>
      <c r="E4673" s="14"/>
      <c r="F4673" s="14"/>
      <c r="G4673" s="13">
        <v>0</v>
      </c>
      <c r="H4673" s="13">
        <v>0</v>
      </c>
      <c r="I4673" s="13"/>
      <c r="J4673" s="13"/>
      <c r="K4673" s="13"/>
      <c r="L4673" s="15">
        <v>0</v>
      </c>
    </row>
    <row r="4674" spans="1:12">
      <c r="A4674" s="12"/>
      <c r="E4674" s="14"/>
      <c r="F4674" s="14"/>
      <c r="G4674" s="13">
        <v>0</v>
      </c>
      <c r="H4674" s="13">
        <v>0</v>
      </c>
      <c r="I4674" s="13"/>
      <c r="J4674" s="13"/>
      <c r="K4674" s="13"/>
      <c r="L4674" s="15">
        <v>0</v>
      </c>
    </row>
    <row r="4675" spans="1:12">
      <c r="A4675" s="12"/>
      <c r="E4675" s="14"/>
      <c r="F4675" s="14"/>
      <c r="G4675" s="13">
        <v>0</v>
      </c>
      <c r="H4675" s="13">
        <v>0</v>
      </c>
      <c r="I4675" s="13"/>
      <c r="J4675" s="13"/>
      <c r="K4675" s="13"/>
      <c r="L4675" s="15">
        <v>0</v>
      </c>
    </row>
    <row r="4676" spans="1:12">
      <c r="A4676" s="12"/>
      <c r="E4676" s="14"/>
      <c r="F4676" s="14"/>
      <c r="G4676" s="13">
        <v>0</v>
      </c>
      <c r="H4676" s="13">
        <v>0</v>
      </c>
      <c r="I4676" s="13"/>
      <c r="J4676" s="13"/>
      <c r="K4676" s="13"/>
      <c r="L4676" s="15">
        <v>0</v>
      </c>
    </row>
    <row r="4677" spans="1:12">
      <c r="A4677" s="12"/>
      <c r="E4677" s="14"/>
      <c r="F4677" s="14"/>
      <c r="G4677" s="13">
        <v>0</v>
      </c>
      <c r="H4677" s="13">
        <v>0</v>
      </c>
      <c r="I4677" s="13"/>
      <c r="J4677" s="13"/>
      <c r="K4677" s="13"/>
      <c r="L4677" s="15">
        <v>0</v>
      </c>
    </row>
    <row r="4678" spans="1:12">
      <c r="A4678" s="12"/>
      <c r="E4678" s="14"/>
      <c r="F4678" s="14"/>
      <c r="G4678" s="13">
        <v>0</v>
      </c>
      <c r="H4678" s="13">
        <v>0</v>
      </c>
      <c r="I4678" s="13"/>
      <c r="J4678" s="13"/>
      <c r="K4678" s="13"/>
      <c r="L4678" s="15">
        <v>0</v>
      </c>
    </row>
    <row r="4679" spans="1:12">
      <c r="A4679" s="12"/>
      <c r="E4679" s="14"/>
      <c r="F4679" s="14"/>
      <c r="G4679" s="13">
        <v>0</v>
      </c>
      <c r="H4679" s="13">
        <v>0</v>
      </c>
      <c r="I4679" s="13"/>
      <c r="J4679" s="13"/>
      <c r="K4679" s="13"/>
      <c r="L4679" s="15">
        <v>0</v>
      </c>
    </row>
    <row r="4680" spans="1:12">
      <c r="A4680" s="12"/>
      <c r="E4680" s="14"/>
      <c r="F4680" s="14"/>
      <c r="G4680" s="13">
        <v>0</v>
      </c>
      <c r="H4680" s="13">
        <v>0</v>
      </c>
      <c r="I4680" s="13"/>
      <c r="J4680" s="13"/>
      <c r="K4680" s="13"/>
      <c r="L4680" s="15">
        <v>0</v>
      </c>
    </row>
    <row r="4681" spans="1:12">
      <c r="A4681" s="12"/>
      <c r="E4681" s="14"/>
      <c r="F4681" s="14"/>
      <c r="G4681" s="13">
        <v>0</v>
      </c>
      <c r="H4681" s="13">
        <v>0</v>
      </c>
      <c r="I4681" s="13"/>
      <c r="J4681" s="13"/>
      <c r="K4681" s="13"/>
      <c r="L4681" s="15">
        <v>0</v>
      </c>
    </row>
    <row r="4682" spans="1:12">
      <c r="A4682" s="12"/>
      <c r="E4682" s="14"/>
      <c r="F4682" s="14"/>
      <c r="G4682" s="13">
        <v>0</v>
      </c>
      <c r="H4682" s="13">
        <v>0</v>
      </c>
      <c r="I4682" s="13"/>
      <c r="J4682" s="13"/>
      <c r="K4682" s="13"/>
      <c r="L4682" s="15">
        <v>0</v>
      </c>
    </row>
    <row r="4683" spans="1:12">
      <c r="A4683" s="12"/>
      <c r="E4683" s="14"/>
      <c r="F4683" s="14"/>
      <c r="G4683" s="13">
        <v>0</v>
      </c>
      <c r="H4683" s="13">
        <v>0</v>
      </c>
      <c r="I4683" s="13"/>
      <c r="J4683" s="13"/>
      <c r="K4683" s="13"/>
      <c r="L4683" s="15">
        <v>0</v>
      </c>
    </row>
    <row r="4684" spans="1:12">
      <c r="A4684" s="12"/>
      <c r="E4684" s="14"/>
      <c r="F4684" s="14"/>
      <c r="G4684" s="13">
        <v>0</v>
      </c>
      <c r="H4684" s="13">
        <v>0</v>
      </c>
      <c r="I4684" s="13"/>
      <c r="J4684" s="13"/>
      <c r="K4684" s="13"/>
      <c r="L4684" s="15">
        <v>0</v>
      </c>
    </row>
    <row r="4685" spans="1:12">
      <c r="A4685" s="12"/>
      <c r="E4685" s="14"/>
      <c r="F4685" s="14"/>
      <c r="G4685" s="13">
        <v>0</v>
      </c>
      <c r="H4685" s="13">
        <v>0</v>
      </c>
      <c r="I4685" s="13"/>
      <c r="J4685" s="13"/>
      <c r="K4685" s="13"/>
      <c r="L4685" s="15">
        <v>0</v>
      </c>
    </row>
    <row r="4686" spans="1:12">
      <c r="A4686" s="12"/>
      <c r="E4686" s="14"/>
      <c r="F4686" s="14"/>
      <c r="G4686" s="13">
        <v>0</v>
      </c>
      <c r="H4686" s="13">
        <v>0</v>
      </c>
      <c r="I4686" s="13"/>
      <c r="J4686" s="13"/>
      <c r="K4686" s="13"/>
      <c r="L4686" s="15">
        <v>0</v>
      </c>
    </row>
    <row r="4687" spans="1:12">
      <c r="A4687" s="12"/>
      <c r="E4687" s="14"/>
      <c r="F4687" s="14"/>
      <c r="G4687" s="13">
        <v>0</v>
      </c>
      <c r="H4687" s="13">
        <v>0</v>
      </c>
      <c r="I4687" s="13"/>
      <c r="J4687" s="13"/>
      <c r="K4687" s="13"/>
      <c r="L4687" s="15">
        <v>0</v>
      </c>
    </row>
    <row r="4688" spans="1:12">
      <c r="A4688" s="12"/>
      <c r="E4688" s="14"/>
      <c r="F4688" s="14"/>
      <c r="G4688" s="13">
        <v>0</v>
      </c>
      <c r="H4688" s="13">
        <v>0</v>
      </c>
      <c r="I4688" s="13"/>
      <c r="J4688" s="13"/>
      <c r="K4688" s="13"/>
      <c r="L4688" s="15">
        <v>0</v>
      </c>
    </row>
    <row r="4689" spans="1:12">
      <c r="A4689" s="12"/>
      <c r="E4689" s="14"/>
      <c r="F4689" s="14"/>
      <c r="G4689" s="13">
        <v>0</v>
      </c>
      <c r="H4689" s="13">
        <v>0</v>
      </c>
      <c r="I4689" s="13"/>
      <c r="J4689" s="13"/>
      <c r="K4689" s="13"/>
      <c r="L4689" s="15">
        <v>0</v>
      </c>
    </row>
    <row r="4690" spans="1:12">
      <c r="A4690" s="12"/>
      <c r="E4690" s="14"/>
      <c r="F4690" s="14"/>
      <c r="G4690" s="13">
        <v>0</v>
      </c>
      <c r="H4690" s="13">
        <v>0</v>
      </c>
      <c r="I4690" s="13"/>
      <c r="J4690" s="13"/>
      <c r="K4690" s="13"/>
      <c r="L4690" s="15">
        <v>0</v>
      </c>
    </row>
    <row r="4691" spans="1:12">
      <c r="A4691" s="12"/>
      <c r="E4691" s="14"/>
      <c r="F4691" s="14"/>
      <c r="G4691" s="13">
        <v>0</v>
      </c>
      <c r="H4691" s="13">
        <v>0</v>
      </c>
      <c r="I4691" s="13"/>
      <c r="J4691" s="13"/>
      <c r="K4691" s="13"/>
      <c r="L4691" s="15">
        <v>0</v>
      </c>
    </row>
    <row r="4692" spans="1:12">
      <c r="A4692" s="12"/>
      <c r="E4692" s="14"/>
      <c r="F4692" s="14"/>
      <c r="G4692" s="13">
        <v>0</v>
      </c>
      <c r="H4692" s="13">
        <v>0</v>
      </c>
      <c r="I4692" s="13"/>
      <c r="J4692" s="13"/>
      <c r="K4692" s="13"/>
      <c r="L4692" s="15">
        <v>0</v>
      </c>
    </row>
    <row r="4693" spans="1:12">
      <c r="A4693" s="12"/>
      <c r="E4693" s="14"/>
      <c r="F4693" s="14"/>
      <c r="G4693" s="13">
        <v>0</v>
      </c>
      <c r="H4693" s="13">
        <v>0</v>
      </c>
      <c r="I4693" s="13"/>
      <c r="J4693" s="13"/>
      <c r="K4693" s="13"/>
      <c r="L4693" s="15">
        <v>0</v>
      </c>
    </row>
    <row r="4694" spans="1:12">
      <c r="A4694" s="12"/>
      <c r="E4694" s="14"/>
      <c r="F4694" s="14"/>
      <c r="G4694" s="13">
        <v>0</v>
      </c>
      <c r="H4694" s="13">
        <v>0</v>
      </c>
      <c r="I4694" s="13"/>
      <c r="J4694" s="13"/>
      <c r="K4694" s="13"/>
      <c r="L4694" s="15">
        <v>0</v>
      </c>
    </row>
    <row r="4695" spans="1:12">
      <c r="A4695" s="12"/>
      <c r="E4695" s="14"/>
      <c r="F4695" s="14"/>
      <c r="G4695" s="13">
        <v>0</v>
      </c>
      <c r="H4695" s="13">
        <v>0</v>
      </c>
      <c r="I4695" s="13"/>
      <c r="J4695" s="13"/>
      <c r="K4695" s="13"/>
      <c r="L4695" s="15">
        <v>0</v>
      </c>
    </row>
    <row r="4696" spans="1:12">
      <c r="A4696" s="12"/>
      <c r="E4696" s="14"/>
      <c r="F4696" s="14"/>
      <c r="G4696" s="13">
        <v>0</v>
      </c>
      <c r="H4696" s="13">
        <v>0</v>
      </c>
      <c r="I4696" s="13"/>
      <c r="J4696" s="13"/>
      <c r="K4696" s="13"/>
      <c r="L4696" s="15">
        <v>0</v>
      </c>
    </row>
    <row r="4697" spans="1:12">
      <c r="A4697" s="12"/>
      <c r="E4697" s="14"/>
      <c r="F4697" s="14"/>
      <c r="G4697" s="13">
        <v>0</v>
      </c>
      <c r="H4697" s="13">
        <v>0</v>
      </c>
      <c r="I4697" s="13"/>
      <c r="J4697" s="13"/>
      <c r="K4697" s="13"/>
      <c r="L4697" s="15">
        <v>0</v>
      </c>
    </row>
    <row r="4698" spans="1:12">
      <c r="A4698" s="12"/>
      <c r="E4698" s="14"/>
      <c r="F4698" s="14"/>
      <c r="G4698" s="13">
        <v>0</v>
      </c>
      <c r="H4698" s="13">
        <v>0</v>
      </c>
      <c r="I4698" s="13"/>
      <c r="J4698" s="13"/>
      <c r="K4698" s="13"/>
      <c r="L4698" s="15">
        <v>0</v>
      </c>
    </row>
    <row r="4699" spans="1:12">
      <c r="A4699" s="12"/>
      <c r="E4699" s="14"/>
      <c r="F4699" s="14"/>
      <c r="G4699" s="13">
        <v>0</v>
      </c>
      <c r="H4699" s="13">
        <v>0</v>
      </c>
      <c r="I4699" s="13"/>
      <c r="J4699" s="13"/>
      <c r="K4699" s="13"/>
      <c r="L4699" s="15">
        <v>0</v>
      </c>
    </row>
    <row r="4700" spans="1:12">
      <c r="A4700" s="12"/>
      <c r="E4700" s="14"/>
      <c r="F4700" s="14"/>
      <c r="G4700" s="13">
        <v>0</v>
      </c>
      <c r="H4700" s="13">
        <v>0</v>
      </c>
      <c r="I4700" s="13"/>
      <c r="J4700" s="13"/>
      <c r="K4700" s="13"/>
      <c r="L4700" s="15">
        <v>0</v>
      </c>
    </row>
    <row r="4701" spans="1:12">
      <c r="A4701" s="12"/>
      <c r="E4701" s="14"/>
      <c r="F4701" s="14"/>
      <c r="G4701" s="13">
        <v>0</v>
      </c>
      <c r="H4701" s="13">
        <v>0</v>
      </c>
      <c r="I4701" s="13"/>
      <c r="J4701" s="13"/>
      <c r="K4701" s="13"/>
      <c r="L4701" s="15">
        <v>0</v>
      </c>
    </row>
    <row r="4702" spans="1:12">
      <c r="A4702" s="12"/>
      <c r="E4702" s="14"/>
      <c r="F4702" s="14"/>
      <c r="G4702" s="13">
        <v>0</v>
      </c>
      <c r="H4702" s="13">
        <v>0</v>
      </c>
      <c r="I4702" s="13"/>
      <c r="J4702" s="13"/>
      <c r="K4702" s="13"/>
      <c r="L4702" s="15">
        <v>0</v>
      </c>
    </row>
    <row r="4703" spans="1:12">
      <c r="A4703" s="12"/>
      <c r="E4703" s="14"/>
      <c r="F4703" s="14"/>
      <c r="G4703" s="13">
        <v>0</v>
      </c>
      <c r="H4703" s="13">
        <v>0</v>
      </c>
      <c r="I4703" s="13"/>
      <c r="J4703" s="13"/>
      <c r="K4703" s="13"/>
      <c r="L4703" s="15">
        <v>0</v>
      </c>
    </row>
    <row r="4704" spans="1:12">
      <c r="A4704" s="12"/>
      <c r="E4704" s="14"/>
      <c r="F4704" s="14"/>
      <c r="G4704" s="13">
        <v>0</v>
      </c>
      <c r="H4704" s="13">
        <v>0</v>
      </c>
      <c r="I4704" s="13"/>
      <c r="J4704" s="13"/>
      <c r="K4704" s="13"/>
      <c r="L4704" s="15">
        <v>0</v>
      </c>
    </row>
    <row r="4705" spans="1:12">
      <c r="A4705" s="12"/>
      <c r="E4705" s="14"/>
      <c r="F4705" s="14"/>
      <c r="G4705" s="13">
        <v>0</v>
      </c>
      <c r="H4705" s="13">
        <v>0</v>
      </c>
      <c r="I4705" s="13"/>
      <c r="J4705" s="13"/>
      <c r="K4705" s="13"/>
      <c r="L4705" s="15">
        <v>0</v>
      </c>
    </row>
    <row r="4706" spans="1:12">
      <c r="A4706" s="12"/>
      <c r="E4706" s="14"/>
      <c r="F4706" s="14"/>
      <c r="G4706" s="13">
        <v>0</v>
      </c>
      <c r="H4706" s="13">
        <v>0</v>
      </c>
      <c r="I4706" s="13"/>
      <c r="J4706" s="13"/>
      <c r="K4706" s="13"/>
      <c r="L4706" s="15">
        <v>0</v>
      </c>
    </row>
    <row r="4707" spans="1:12">
      <c r="A4707" s="12"/>
      <c r="E4707" s="14"/>
      <c r="F4707" s="14"/>
      <c r="G4707" s="13">
        <v>0</v>
      </c>
      <c r="H4707" s="13">
        <v>0</v>
      </c>
      <c r="I4707" s="13"/>
      <c r="J4707" s="13"/>
      <c r="K4707" s="13"/>
      <c r="L4707" s="15">
        <v>0</v>
      </c>
    </row>
    <row r="4708" spans="1:12">
      <c r="A4708" s="12"/>
      <c r="E4708" s="14"/>
      <c r="F4708" s="14"/>
      <c r="G4708" s="13">
        <v>0</v>
      </c>
      <c r="H4708" s="13">
        <v>0</v>
      </c>
      <c r="I4708" s="13"/>
      <c r="J4708" s="13"/>
      <c r="K4708" s="13"/>
      <c r="L4708" s="15">
        <v>0</v>
      </c>
    </row>
    <row r="4709" spans="1:12">
      <c r="A4709" s="12"/>
      <c r="E4709" s="14"/>
      <c r="F4709" s="14"/>
      <c r="G4709" s="13">
        <v>0</v>
      </c>
      <c r="H4709" s="13">
        <v>0</v>
      </c>
      <c r="I4709" s="13"/>
      <c r="J4709" s="13"/>
      <c r="K4709" s="13"/>
      <c r="L4709" s="15">
        <v>0</v>
      </c>
    </row>
    <row r="4710" spans="1:12">
      <c r="A4710" s="12"/>
      <c r="E4710" s="14"/>
      <c r="F4710" s="14"/>
      <c r="G4710" s="13">
        <v>0</v>
      </c>
      <c r="H4710" s="13">
        <v>0</v>
      </c>
      <c r="I4710" s="13"/>
      <c r="J4710" s="13"/>
      <c r="K4710" s="13"/>
      <c r="L4710" s="15">
        <v>0</v>
      </c>
    </row>
    <row r="4711" spans="1:12">
      <c r="A4711" s="12"/>
      <c r="E4711" s="14"/>
      <c r="F4711" s="14"/>
      <c r="G4711" s="13">
        <v>0</v>
      </c>
      <c r="H4711" s="13">
        <v>0</v>
      </c>
      <c r="I4711" s="13"/>
      <c r="J4711" s="13"/>
      <c r="K4711" s="13"/>
      <c r="L4711" s="15">
        <v>0</v>
      </c>
    </row>
    <row r="4712" spans="1:12">
      <c r="A4712" s="12"/>
      <c r="E4712" s="14"/>
      <c r="F4712" s="14"/>
      <c r="G4712" s="13">
        <v>0</v>
      </c>
      <c r="H4712" s="13">
        <v>0</v>
      </c>
      <c r="I4712" s="13"/>
      <c r="J4712" s="13"/>
      <c r="K4712" s="13"/>
      <c r="L4712" s="15">
        <v>0</v>
      </c>
    </row>
    <row r="4713" spans="1:12">
      <c r="A4713" s="12"/>
      <c r="E4713" s="14"/>
      <c r="F4713" s="14"/>
      <c r="G4713" s="13">
        <v>0</v>
      </c>
      <c r="H4713" s="13">
        <v>0</v>
      </c>
      <c r="I4713" s="13"/>
      <c r="J4713" s="13"/>
      <c r="K4713" s="13"/>
      <c r="L4713" s="15">
        <v>0</v>
      </c>
    </row>
    <row r="4714" spans="1:12">
      <c r="A4714" s="12"/>
      <c r="E4714" s="14"/>
      <c r="F4714" s="14"/>
      <c r="G4714" s="13">
        <v>0</v>
      </c>
      <c r="H4714" s="13">
        <v>0</v>
      </c>
      <c r="I4714" s="13"/>
      <c r="J4714" s="13"/>
      <c r="K4714" s="13"/>
      <c r="L4714" s="15">
        <v>0</v>
      </c>
    </row>
    <row r="4715" spans="1:12">
      <c r="A4715" s="12"/>
      <c r="E4715" s="14"/>
      <c r="F4715" s="14"/>
      <c r="G4715" s="13">
        <v>0</v>
      </c>
      <c r="H4715" s="13">
        <v>0</v>
      </c>
      <c r="I4715" s="13"/>
      <c r="J4715" s="13"/>
      <c r="K4715" s="13"/>
      <c r="L4715" s="15">
        <v>0</v>
      </c>
    </row>
    <row r="4716" spans="1:12">
      <c r="A4716" s="12"/>
      <c r="E4716" s="14"/>
      <c r="F4716" s="14"/>
      <c r="G4716" s="13">
        <v>0</v>
      </c>
      <c r="H4716" s="13">
        <v>0</v>
      </c>
      <c r="I4716" s="13"/>
      <c r="J4716" s="13"/>
      <c r="K4716" s="13"/>
      <c r="L4716" s="15">
        <v>0</v>
      </c>
    </row>
    <row r="4717" spans="1:12">
      <c r="A4717" s="12"/>
      <c r="E4717" s="14"/>
      <c r="F4717" s="14"/>
      <c r="G4717" s="13">
        <v>0</v>
      </c>
      <c r="H4717" s="13">
        <v>0</v>
      </c>
      <c r="I4717" s="13"/>
      <c r="J4717" s="13"/>
      <c r="K4717" s="13"/>
      <c r="L4717" s="15">
        <v>0</v>
      </c>
    </row>
    <row r="4718" spans="1:12">
      <c r="A4718" s="12"/>
      <c r="E4718" s="14"/>
      <c r="F4718" s="14"/>
      <c r="G4718" s="13">
        <v>0</v>
      </c>
      <c r="H4718" s="13">
        <v>0</v>
      </c>
      <c r="I4718" s="13"/>
      <c r="J4718" s="13"/>
      <c r="K4718" s="13"/>
      <c r="L4718" s="15">
        <v>0</v>
      </c>
    </row>
    <row r="4719" spans="1:12">
      <c r="A4719" s="12"/>
      <c r="E4719" s="14"/>
      <c r="F4719" s="14"/>
      <c r="G4719" s="13">
        <v>0</v>
      </c>
      <c r="H4719" s="13">
        <v>0</v>
      </c>
      <c r="I4719" s="13"/>
      <c r="J4719" s="13"/>
      <c r="K4719" s="13"/>
      <c r="L4719" s="15">
        <v>0</v>
      </c>
    </row>
    <row r="4720" spans="1:12">
      <c r="A4720" s="12"/>
      <c r="E4720" s="14"/>
      <c r="F4720" s="14"/>
      <c r="G4720" s="13">
        <v>0</v>
      </c>
      <c r="H4720" s="13">
        <v>0</v>
      </c>
      <c r="I4720" s="13"/>
      <c r="J4720" s="13"/>
      <c r="K4720" s="13"/>
      <c r="L4720" s="15">
        <v>0</v>
      </c>
    </row>
    <row r="4721" spans="1:12">
      <c r="A4721" s="12"/>
      <c r="E4721" s="14"/>
      <c r="F4721" s="14"/>
      <c r="G4721" s="13">
        <v>0</v>
      </c>
      <c r="H4721" s="13">
        <v>0</v>
      </c>
      <c r="I4721" s="13"/>
      <c r="J4721" s="13"/>
      <c r="K4721" s="13"/>
      <c r="L4721" s="15">
        <v>0</v>
      </c>
    </row>
    <row r="4722" spans="1:12">
      <c r="A4722" s="12"/>
      <c r="E4722" s="14"/>
      <c r="F4722" s="14"/>
      <c r="G4722" s="13">
        <v>0</v>
      </c>
      <c r="H4722" s="13">
        <v>0</v>
      </c>
      <c r="I4722" s="13"/>
      <c r="J4722" s="13"/>
      <c r="K4722" s="13"/>
      <c r="L4722" s="15">
        <v>0</v>
      </c>
    </row>
    <row r="4723" spans="1:12">
      <c r="A4723" s="12"/>
      <c r="E4723" s="14"/>
      <c r="F4723" s="14"/>
      <c r="G4723" s="13">
        <v>0</v>
      </c>
      <c r="H4723" s="13">
        <v>0</v>
      </c>
      <c r="I4723" s="13"/>
      <c r="J4723" s="13"/>
      <c r="K4723" s="13"/>
      <c r="L4723" s="15">
        <v>0</v>
      </c>
    </row>
    <row r="4724" spans="1:12">
      <c r="A4724" s="12"/>
      <c r="E4724" s="14"/>
      <c r="F4724" s="14"/>
      <c r="G4724" s="13">
        <v>0</v>
      </c>
      <c r="H4724" s="13">
        <v>0</v>
      </c>
      <c r="I4724" s="13"/>
      <c r="J4724" s="13"/>
      <c r="K4724" s="13"/>
      <c r="L4724" s="15">
        <v>0</v>
      </c>
    </row>
    <row r="4725" spans="1:12">
      <c r="A4725" s="12"/>
      <c r="E4725" s="14"/>
      <c r="F4725" s="14"/>
      <c r="G4725" s="13">
        <v>0</v>
      </c>
      <c r="H4725" s="13">
        <v>0</v>
      </c>
      <c r="I4725" s="13"/>
      <c r="J4725" s="13"/>
      <c r="K4725" s="13"/>
      <c r="L4725" s="15">
        <v>0</v>
      </c>
    </row>
    <row r="4726" spans="1:12">
      <c r="A4726" s="12"/>
      <c r="E4726" s="14"/>
      <c r="F4726" s="14"/>
      <c r="G4726" s="13">
        <v>0</v>
      </c>
      <c r="H4726" s="13">
        <v>0</v>
      </c>
      <c r="I4726" s="13"/>
      <c r="J4726" s="13"/>
      <c r="K4726" s="13"/>
      <c r="L4726" s="15">
        <v>0</v>
      </c>
    </row>
    <row r="4727" spans="1:12">
      <c r="A4727" s="12"/>
      <c r="E4727" s="14"/>
      <c r="F4727" s="14"/>
      <c r="G4727" s="13">
        <v>0</v>
      </c>
      <c r="H4727" s="13">
        <v>0</v>
      </c>
      <c r="I4727" s="13"/>
      <c r="J4727" s="13"/>
      <c r="K4727" s="13"/>
      <c r="L4727" s="15">
        <v>0</v>
      </c>
    </row>
    <row r="4728" spans="1:12">
      <c r="A4728" s="12"/>
      <c r="E4728" s="14"/>
      <c r="F4728" s="14"/>
      <c r="G4728" s="13">
        <v>0</v>
      </c>
      <c r="H4728" s="13">
        <v>0</v>
      </c>
      <c r="I4728" s="13"/>
      <c r="J4728" s="13"/>
      <c r="K4728" s="13"/>
      <c r="L4728" s="15">
        <v>0</v>
      </c>
    </row>
    <row r="4729" spans="1:12">
      <c r="A4729" s="12"/>
      <c r="E4729" s="14"/>
      <c r="F4729" s="14"/>
      <c r="G4729" s="13">
        <v>0</v>
      </c>
      <c r="H4729" s="13">
        <v>0</v>
      </c>
      <c r="I4729" s="13"/>
      <c r="J4729" s="13"/>
      <c r="K4729" s="13"/>
      <c r="L4729" s="15">
        <v>0</v>
      </c>
    </row>
    <row r="4730" spans="1:12">
      <c r="A4730" s="12"/>
      <c r="E4730" s="14"/>
      <c r="F4730" s="14"/>
      <c r="G4730" s="13">
        <v>0</v>
      </c>
      <c r="H4730" s="13">
        <v>0</v>
      </c>
      <c r="I4730" s="13"/>
      <c r="J4730" s="13"/>
      <c r="K4730" s="13"/>
      <c r="L4730" s="15">
        <v>0</v>
      </c>
    </row>
    <row r="4731" spans="1:12">
      <c r="A4731" s="12"/>
      <c r="E4731" s="14"/>
      <c r="F4731" s="14"/>
      <c r="G4731" s="13">
        <v>0</v>
      </c>
      <c r="H4731" s="13">
        <v>0</v>
      </c>
      <c r="I4731" s="13"/>
      <c r="J4731" s="13"/>
      <c r="K4731" s="13"/>
      <c r="L4731" s="15">
        <v>0</v>
      </c>
    </row>
    <row r="4732" spans="1:12">
      <c r="A4732" s="12"/>
      <c r="E4732" s="14"/>
      <c r="F4732" s="14"/>
      <c r="G4732" s="13">
        <v>0</v>
      </c>
      <c r="H4732" s="13">
        <v>0</v>
      </c>
      <c r="I4732" s="13"/>
      <c r="J4732" s="13"/>
      <c r="K4732" s="13"/>
      <c r="L4732" s="15">
        <v>0</v>
      </c>
    </row>
    <row r="4733" spans="1:12">
      <c r="A4733" s="12"/>
      <c r="E4733" s="14"/>
      <c r="F4733" s="14"/>
      <c r="G4733" s="13">
        <v>0</v>
      </c>
      <c r="H4733" s="13">
        <v>0</v>
      </c>
      <c r="I4733" s="13"/>
      <c r="J4733" s="13"/>
      <c r="K4733" s="13"/>
      <c r="L4733" s="15">
        <v>0</v>
      </c>
    </row>
    <row r="4734" spans="1:12">
      <c r="A4734" s="12"/>
      <c r="E4734" s="14"/>
      <c r="F4734" s="14"/>
      <c r="G4734" s="13">
        <v>0</v>
      </c>
      <c r="H4734" s="13">
        <v>0</v>
      </c>
      <c r="I4734" s="13"/>
      <c r="J4734" s="13"/>
      <c r="K4734" s="13"/>
      <c r="L4734" s="15">
        <v>0</v>
      </c>
    </row>
    <row r="4735" spans="1:12">
      <c r="A4735" s="12"/>
      <c r="E4735" s="14"/>
      <c r="F4735" s="14"/>
      <c r="G4735" s="13">
        <v>0</v>
      </c>
      <c r="H4735" s="13">
        <v>0</v>
      </c>
      <c r="I4735" s="13"/>
      <c r="J4735" s="13"/>
      <c r="K4735" s="13"/>
      <c r="L4735" s="15">
        <v>0</v>
      </c>
    </row>
    <row r="4736" spans="1:12">
      <c r="A4736" s="12"/>
      <c r="E4736" s="14"/>
      <c r="F4736" s="14"/>
      <c r="G4736" s="13">
        <v>0</v>
      </c>
      <c r="H4736" s="13">
        <v>0</v>
      </c>
      <c r="I4736" s="13"/>
      <c r="J4736" s="13"/>
      <c r="K4736" s="13"/>
      <c r="L4736" s="15">
        <v>0</v>
      </c>
    </row>
    <row r="4737" spans="1:12">
      <c r="A4737" s="12"/>
      <c r="E4737" s="14"/>
      <c r="F4737" s="14"/>
      <c r="G4737" s="13">
        <v>0</v>
      </c>
      <c r="H4737" s="13">
        <v>0</v>
      </c>
      <c r="I4737" s="13"/>
      <c r="J4737" s="13"/>
      <c r="K4737" s="13"/>
      <c r="L4737" s="15">
        <v>0</v>
      </c>
    </row>
    <row r="4738" spans="1:12">
      <c r="A4738" s="12"/>
      <c r="E4738" s="14"/>
      <c r="F4738" s="14"/>
      <c r="G4738" s="13">
        <v>0</v>
      </c>
      <c r="H4738" s="13">
        <v>0</v>
      </c>
      <c r="I4738" s="13"/>
      <c r="J4738" s="13"/>
      <c r="K4738" s="13"/>
      <c r="L4738" s="15">
        <v>0</v>
      </c>
    </row>
    <row r="4739" spans="1:12">
      <c r="A4739" s="12"/>
      <c r="E4739" s="14"/>
      <c r="F4739" s="14"/>
      <c r="G4739" s="13">
        <v>0</v>
      </c>
      <c r="H4739" s="13">
        <v>0</v>
      </c>
      <c r="I4739" s="13"/>
      <c r="J4739" s="13"/>
      <c r="K4739" s="13"/>
      <c r="L4739" s="15">
        <v>0</v>
      </c>
    </row>
    <row r="4740" spans="1:12">
      <c r="A4740" s="12"/>
      <c r="E4740" s="14"/>
      <c r="F4740" s="14"/>
      <c r="G4740" s="13">
        <v>0</v>
      </c>
      <c r="H4740" s="13">
        <v>0</v>
      </c>
      <c r="I4740" s="13"/>
      <c r="J4740" s="13"/>
      <c r="K4740" s="13"/>
      <c r="L4740" s="15">
        <v>0</v>
      </c>
    </row>
    <row r="4741" spans="1:12">
      <c r="A4741" s="12"/>
      <c r="E4741" s="14"/>
      <c r="F4741" s="14"/>
      <c r="G4741" s="13">
        <v>0</v>
      </c>
      <c r="H4741" s="13">
        <v>0</v>
      </c>
      <c r="I4741" s="13"/>
      <c r="J4741" s="13"/>
      <c r="K4741" s="13"/>
      <c r="L4741" s="15">
        <v>0</v>
      </c>
    </row>
    <row r="4742" spans="1:12">
      <c r="A4742" s="12"/>
      <c r="E4742" s="14"/>
      <c r="F4742" s="14"/>
      <c r="G4742" s="13">
        <v>0</v>
      </c>
      <c r="H4742" s="13">
        <v>0</v>
      </c>
      <c r="I4742" s="13"/>
      <c r="J4742" s="13"/>
      <c r="K4742" s="13"/>
      <c r="L4742" s="15">
        <v>0</v>
      </c>
    </row>
    <row r="4743" spans="1:12">
      <c r="A4743" s="12"/>
      <c r="E4743" s="14"/>
      <c r="F4743" s="14"/>
      <c r="G4743" s="13">
        <v>0</v>
      </c>
      <c r="H4743" s="13">
        <v>0</v>
      </c>
      <c r="I4743" s="13"/>
      <c r="J4743" s="13"/>
      <c r="K4743" s="13"/>
      <c r="L4743" s="15">
        <v>0</v>
      </c>
    </row>
    <row r="4744" spans="1:12">
      <c r="A4744" s="12"/>
      <c r="E4744" s="14"/>
      <c r="F4744" s="14"/>
      <c r="G4744" s="13">
        <v>0</v>
      </c>
      <c r="H4744" s="13">
        <v>0</v>
      </c>
      <c r="I4744" s="13"/>
      <c r="J4744" s="13"/>
      <c r="K4744" s="13"/>
      <c r="L4744" s="15">
        <v>0</v>
      </c>
    </row>
    <row r="4745" spans="1:12">
      <c r="A4745" s="12"/>
      <c r="E4745" s="14"/>
      <c r="F4745" s="14"/>
      <c r="G4745" s="13">
        <v>0</v>
      </c>
      <c r="H4745" s="13">
        <v>0</v>
      </c>
      <c r="I4745" s="13"/>
      <c r="J4745" s="13"/>
      <c r="K4745" s="13"/>
      <c r="L4745" s="15">
        <v>0</v>
      </c>
    </row>
    <row r="4746" spans="1:12">
      <c r="A4746" s="12"/>
      <c r="E4746" s="14"/>
      <c r="F4746" s="14"/>
      <c r="G4746" s="13">
        <v>0</v>
      </c>
      <c r="H4746" s="13">
        <v>0</v>
      </c>
      <c r="I4746" s="13"/>
      <c r="J4746" s="13"/>
      <c r="K4746" s="13"/>
      <c r="L4746" s="15">
        <v>0</v>
      </c>
    </row>
    <row r="4747" spans="1:12">
      <c r="A4747" s="12"/>
      <c r="E4747" s="14"/>
      <c r="F4747" s="14"/>
      <c r="G4747" s="13">
        <v>0</v>
      </c>
      <c r="H4747" s="13">
        <v>0</v>
      </c>
      <c r="I4747" s="13"/>
      <c r="J4747" s="13"/>
      <c r="K4747" s="13"/>
      <c r="L4747" s="15">
        <v>0</v>
      </c>
    </row>
    <row r="4748" spans="1:12">
      <c r="A4748" s="12"/>
      <c r="E4748" s="14"/>
      <c r="F4748" s="14"/>
      <c r="G4748" s="13">
        <v>0</v>
      </c>
      <c r="H4748" s="13">
        <v>0</v>
      </c>
      <c r="I4748" s="13"/>
      <c r="J4748" s="13"/>
      <c r="K4748" s="13"/>
      <c r="L4748" s="15">
        <v>0</v>
      </c>
    </row>
    <row r="4749" spans="1:12">
      <c r="A4749" s="12"/>
      <c r="E4749" s="14"/>
      <c r="F4749" s="14"/>
      <c r="G4749" s="13">
        <v>0</v>
      </c>
      <c r="H4749" s="13">
        <v>0</v>
      </c>
      <c r="I4749" s="13"/>
      <c r="J4749" s="13"/>
      <c r="K4749" s="13"/>
      <c r="L4749" s="15">
        <v>0</v>
      </c>
    </row>
    <row r="4750" spans="1:12">
      <c r="A4750" s="12"/>
      <c r="E4750" s="14"/>
      <c r="F4750" s="14"/>
      <c r="G4750" s="13">
        <v>0</v>
      </c>
      <c r="H4750" s="13">
        <v>0</v>
      </c>
      <c r="I4750" s="13"/>
      <c r="J4750" s="13"/>
      <c r="K4750" s="13"/>
      <c r="L4750" s="15">
        <v>0</v>
      </c>
    </row>
    <row r="4751" spans="1:12">
      <c r="A4751" s="12"/>
      <c r="E4751" s="14"/>
      <c r="F4751" s="14"/>
      <c r="G4751" s="13">
        <v>0</v>
      </c>
      <c r="H4751" s="13">
        <v>0</v>
      </c>
      <c r="I4751" s="13"/>
      <c r="J4751" s="13"/>
      <c r="K4751" s="13"/>
      <c r="L4751" s="15">
        <v>0</v>
      </c>
    </row>
    <row r="4752" spans="1:12">
      <c r="A4752" s="12"/>
      <c r="E4752" s="14"/>
      <c r="F4752" s="14"/>
      <c r="G4752" s="13">
        <v>0</v>
      </c>
      <c r="H4752" s="13">
        <v>0</v>
      </c>
      <c r="I4752" s="13"/>
      <c r="J4752" s="13"/>
      <c r="K4752" s="13"/>
      <c r="L4752" s="15">
        <v>0</v>
      </c>
    </row>
    <row r="4753" spans="1:12">
      <c r="A4753" s="12"/>
      <c r="E4753" s="14"/>
      <c r="F4753" s="14"/>
      <c r="G4753" s="13">
        <v>0</v>
      </c>
      <c r="H4753" s="13">
        <v>0</v>
      </c>
      <c r="I4753" s="13"/>
      <c r="J4753" s="13"/>
      <c r="K4753" s="13"/>
      <c r="L4753" s="15">
        <v>0</v>
      </c>
    </row>
    <row r="4754" spans="1:12">
      <c r="A4754" s="12"/>
      <c r="E4754" s="14"/>
      <c r="F4754" s="14"/>
      <c r="G4754" s="13">
        <v>0</v>
      </c>
      <c r="H4754" s="13">
        <v>0</v>
      </c>
      <c r="I4754" s="13"/>
      <c r="J4754" s="13"/>
      <c r="K4754" s="13"/>
      <c r="L4754" s="15">
        <v>0</v>
      </c>
    </row>
    <row r="4755" spans="1:12">
      <c r="A4755" s="12"/>
      <c r="E4755" s="14"/>
      <c r="F4755" s="14"/>
      <c r="G4755" s="13">
        <v>0</v>
      </c>
      <c r="H4755" s="13">
        <v>0</v>
      </c>
      <c r="I4755" s="13"/>
      <c r="J4755" s="13"/>
      <c r="K4755" s="13"/>
      <c r="L4755" s="15">
        <v>0</v>
      </c>
    </row>
    <row r="4756" spans="1:12">
      <c r="A4756" s="12"/>
      <c r="E4756" s="14"/>
      <c r="F4756" s="14"/>
      <c r="G4756" s="13">
        <v>0</v>
      </c>
      <c r="H4756" s="13">
        <v>0</v>
      </c>
      <c r="I4756" s="13"/>
      <c r="J4756" s="13"/>
      <c r="K4756" s="13"/>
      <c r="L4756" s="15">
        <v>0</v>
      </c>
    </row>
    <row r="4757" spans="1:12">
      <c r="A4757" s="12"/>
      <c r="E4757" s="14"/>
      <c r="F4757" s="14"/>
      <c r="G4757" s="13">
        <v>0</v>
      </c>
      <c r="H4757" s="13">
        <v>0</v>
      </c>
      <c r="I4757" s="13"/>
      <c r="J4757" s="13"/>
      <c r="K4757" s="13"/>
      <c r="L4757" s="15">
        <v>0</v>
      </c>
    </row>
    <row r="4758" spans="1:12">
      <c r="A4758" s="12"/>
      <c r="E4758" s="14"/>
      <c r="F4758" s="14"/>
      <c r="G4758" s="13">
        <v>0</v>
      </c>
      <c r="H4758" s="13">
        <v>0</v>
      </c>
      <c r="I4758" s="13"/>
      <c r="J4758" s="13"/>
      <c r="K4758" s="13"/>
      <c r="L4758" s="15">
        <v>0</v>
      </c>
    </row>
    <row r="4759" spans="1:12">
      <c r="A4759" s="12"/>
      <c r="E4759" s="14"/>
      <c r="F4759" s="14"/>
      <c r="G4759" s="13">
        <v>0</v>
      </c>
      <c r="H4759" s="13">
        <v>0</v>
      </c>
      <c r="I4759" s="13"/>
      <c r="J4759" s="13"/>
      <c r="K4759" s="13"/>
      <c r="L4759" s="15">
        <v>0</v>
      </c>
    </row>
    <row r="4760" spans="1:12">
      <c r="A4760" s="12"/>
      <c r="E4760" s="14"/>
      <c r="F4760" s="14"/>
      <c r="G4760" s="13">
        <v>0</v>
      </c>
      <c r="H4760" s="13">
        <v>0</v>
      </c>
      <c r="I4760" s="13"/>
      <c r="J4760" s="13"/>
      <c r="K4760" s="13"/>
      <c r="L4760" s="15">
        <v>0</v>
      </c>
    </row>
    <row r="4761" spans="1:12">
      <c r="A4761" s="12"/>
      <c r="E4761" s="14"/>
      <c r="F4761" s="14"/>
      <c r="G4761" s="13">
        <v>0</v>
      </c>
      <c r="H4761" s="13">
        <v>0</v>
      </c>
      <c r="I4761" s="13"/>
      <c r="J4761" s="13"/>
      <c r="K4761" s="13"/>
      <c r="L4761" s="15">
        <v>0</v>
      </c>
    </row>
    <row r="4762" spans="1:12">
      <c r="A4762" s="12"/>
      <c r="E4762" s="14"/>
      <c r="F4762" s="14"/>
      <c r="G4762" s="13">
        <v>0</v>
      </c>
      <c r="H4762" s="13">
        <v>0</v>
      </c>
      <c r="I4762" s="13"/>
      <c r="J4762" s="13"/>
      <c r="K4762" s="13"/>
      <c r="L4762" s="15">
        <v>0</v>
      </c>
    </row>
    <row r="4763" spans="1:12">
      <c r="A4763" s="12"/>
      <c r="E4763" s="14"/>
      <c r="F4763" s="14"/>
      <c r="G4763" s="13">
        <v>0</v>
      </c>
      <c r="H4763" s="13">
        <v>0</v>
      </c>
      <c r="I4763" s="13"/>
      <c r="J4763" s="13"/>
      <c r="K4763" s="13"/>
      <c r="L4763" s="15">
        <v>0</v>
      </c>
    </row>
    <row r="4764" spans="1:12">
      <c r="A4764" s="12"/>
      <c r="E4764" s="14"/>
      <c r="F4764" s="14"/>
      <c r="G4764" s="13">
        <v>0</v>
      </c>
      <c r="H4764" s="13">
        <v>0</v>
      </c>
      <c r="I4764" s="13"/>
      <c r="J4764" s="13"/>
      <c r="K4764" s="13"/>
      <c r="L4764" s="15">
        <v>0</v>
      </c>
    </row>
    <row r="4765" spans="1:12">
      <c r="A4765" s="12"/>
      <c r="E4765" s="14"/>
      <c r="F4765" s="14"/>
      <c r="G4765" s="13">
        <v>0</v>
      </c>
      <c r="H4765" s="13">
        <v>0</v>
      </c>
      <c r="I4765" s="13"/>
      <c r="J4765" s="13"/>
      <c r="K4765" s="13"/>
      <c r="L4765" s="15">
        <v>0</v>
      </c>
    </row>
    <row r="4766" spans="1:12">
      <c r="A4766" s="12"/>
      <c r="E4766" s="14"/>
      <c r="F4766" s="14"/>
      <c r="G4766" s="13">
        <v>0</v>
      </c>
      <c r="H4766" s="13">
        <v>0</v>
      </c>
      <c r="I4766" s="13"/>
      <c r="J4766" s="13"/>
      <c r="K4766" s="13"/>
      <c r="L4766" s="15">
        <v>0</v>
      </c>
    </row>
    <row r="4767" spans="1:12">
      <c r="A4767" s="12"/>
      <c r="E4767" s="14"/>
      <c r="F4767" s="14"/>
      <c r="G4767" s="13">
        <v>0</v>
      </c>
      <c r="H4767" s="13">
        <v>0</v>
      </c>
      <c r="I4767" s="13"/>
      <c r="J4767" s="13"/>
      <c r="K4767" s="13"/>
      <c r="L4767" s="15">
        <v>0</v>
      </c>
    </row>
    <row r="4768" spans="1:12">
      <c r="A4768" s="12"/>
      <c r="E4768" s="14"/>
      <c r="F4768" s="14"/>
      <c r="G4768" s="13">
        <v>0</v>
      </c>
      <c r="H4768" s="13">
        <v>0</v>
      </c>
      <c r="I4768" s="13"/>
      <c r="J4768" s="13"/>
      <c r="K4768" s="13"/>
      <c r="L4768" s="15">
        <v>0</v>
      </c>
    </row>
    <row r="4769" spans="1:12">
      <c r="A4769" s="12"/>
      <c r="E4769" s="14"/>
      <c r="F4769" s="14"/>
      <c r="G4769" s="13">
        <v>0</v>
      </c>
      <c r="H4769" s="13">
        <v>0</v>
      </c>
      <c r="I4769" s="13"/>
      <c r="J4769" s="13"/>
      <c r="K4769" s="13"/>
      <c r="L4769" s="15">
        <v>0</v>
      </c>
    </row>
    <row r="4770" spans="1:12">
      <c r="A4770" s="12"/>
      <c r="E4770" s="14"/>
      <c r="F4770" s="14"/>
      <c r="G4770" s="13">
        <v>0</v>
      </c>
      <c r="H4770" s="13">
        <v>0</v>
      </c>
      <c r="I4770" s="13"/>
      <c r="J4770" s="13"/>
      <c r="K4770" s="13"/>
      <c r="L4770" s="15">
        <v>0</v>
      </c>
    </row>
    <row r="4771" spans="1:12">
      <c r="A4771" s="12"/>
      <c r="E4771" s="14"/>
      <c r="F4771" s="14"/>
      <c r="G4771" s="13">
        <v>0</v>
      </c>
      <c r="H4771" s="13">
        <v>0</v>
      </c>
      <c r="I4771" s="13"/>
      <c r="J4771" s="13"/>
      <c r="K4771" s="13"/>
      <c r="L4771" s="15">
        <v>0</v>
      </c>
    </row>
    <row r="4772" spans="1:12">
      <c r="A4772" s="12"/>
      <c r="E4772" s="14"/>
      <c r="F4772" s="14"/>
      <c r="G4772" s="13">
        <v>0</v>
      </c>
      <c r="H4772" s="13">
        <v>0</v>
      </c>
      <c r="I4772" s="13"/>
      <c r="J4772" s="13"/>
      <c r="K4772" s="13"/>
      <c r="L4772" s="15">
        <v>0</v>
      </c>
    </row>
    <row r="4773" spans="1:12">
      <c r="A4773" s="12"/>
      <c r="E4773" s="14"/>
      <c r="F4773" s="14"/>
      <c r="G4773" s="13">
        <v>0</v>
      </c>
      <c r="H4773" s="13">
        <v>0</v>
      </c>
      <c r="I4773" s="13"/>
      <c r="J4773" s="13"/>
      <c r="K4773" s="13"/>
      <c r="L4773" s="15">
        <v>0</v>
      </c>
    </row>
    <row r="4774" spans="1:12">
      <c r="A4774" s="12"/>
      <c r="E4774" s="14"/>
      <c r="F4774" s="14"/>
      <c r="G4774" s="13">
        <v>0</v>
      </c>
      <c r="H4774" s="13">
        <v>0</v>
      </c>
      <c r="I4774" s="13"/>
      <c r="J4774" s="13"/>
      <c r="K4774" s="13"/>
      <c r="L4774" s="15">
        <v>0</v>
      </c>
    </row>
    <row r="4775" spans="1:12">
      <c r="A4775" s="12"/>
      <c r="E4775" s="14"/>
      <c r="F4775" s="14"/>
      <c r="G4775" s="13">
        <v>0</v>
      </c>
      <c r="H4775" s="13">
        <v>0</v>
      </c>
      <c r="I4775" s="13"/>
      <c r="J4775" s="13"/>
      <c r="K4775" s="13"/>
      <c r="L4775" s="15">
        <v>0</v>
      </c>
    </row>
    <row r="4776" spans="1:12">
      <c r="A4776" s="12"/>
      <c r="E4776" s="14"/>
      <c r="F4776" s="14"/>
      <c r="G4776" s="13">
        <v>0</v>
      </c>
      <c r="H4776" s="13">
        <v>0</v>
      </c>
      <c r="I4776" s="13"/>
      <c r="J4776" s="13"/>
      <c r="K4776" s="13"/>
      <c r="L4776" s="15">
        <v>0</v>
      </c>
    </row>
    <row r="4777" spans="1:12">
      <c r="A4777" s="12"/>
      <c r="E4777" s="14"/>
      <c r="F4777" s="14"/>
      <c r="G4777" s="13">
        <v>0</v>
      </c>
      <c r="H4777" s="13">
        <v>0</v>
      </c>
      <c r="I4777" s="13"/>
      <c r="J4777" s="13"/>
      <c r="K4777" s="13"/>
      <c r="L4777" s="15">
        <v>0</v>
      </c>
    </row>
    <row r="4778" spans="1:12">
      <c r="A4778" s="12"/>
      <c r="E4778" s="14"/>
      <c r="F4778" s="14"/>
      <c r="G4778" s="13">
        <v>0</v>
      </c>
      <c r="H4778" s="13">
        <v>0</v>
      </c>
      <c r="I4778" s="13"/>
      <c r="J4778" s="13"/>
      <c r="K4778" s="13"/>
      <c r="L4778" s="15">
        <v>0</v>
      </c>
    </row>
    <row r="4779" spans="1:12">
      <c r="A4779" s="12"/>
      <c r="E4779" s="14"/>
      <c r="F4779" s="14"/>
      <c r="G4779" s="13">
        <v>0</v>
      </c>
      <c r="H4779" s="13">
        <v>0</v>
      </c>
      <c r="I4779" s="13"/>
      <c r="J4779" s="13"/>
      <c r="K4779" s="13"/>
      <c r="L4779" s="15">
        <v>0</v>
      </c>
    </row>
    <row r="4780" spans="1:12">
      <c r="A4780" s="12"/>
      <c r="E4780" s="14"/>
      <c r="F4780" s="14"/>
      <c r="G4780" s="13">
        <v>0</v>
      </c>
      <c r="H4780" s="13">
        <v>0</v>
      </c>
      <c r="I4780" s="13"/>
      <c r="J4780" s="13"/>
      <c r="K4780" s="13"/>
      <c r="L4780" s="15">
        <v>0</v>
      </c>
    </row>
    <row r="4781" spans="1:12">
      <c r="A4781" s="12"/>
      <c r="E4781" s="14"/>
      <c r="F4781" s="14"/>
      <c r="G4781" s="13">
        <v>0</v>
      </c>
      <c r="H4781" s="13">
        <v>0</v>
      </c>
      <c r="I4781" s="13"/>
      <c r="J4781" s="13"/>
      <c r="K4781" s="13"/>
      <c r="L4781" s="15">
        <v>0</v>
      </c>
    </row>
    <row r="4782" spans="1:12">
      <c r="A4782" s="12"/>
      <c r="E4782" s="14"/>
      <c r="F4782" s="14"/>
      <c r="G4782" s="13">
        <v>0</v>
      </c>
      <c r="H4782" s="13">
        <v>0</v>
      </c>
      <c r="I4782" s="13"/>
      <c r="J4782" s="13"/>
      <c r="K4782" s="13"/>
      <c r="L4782" s="15">
        <v>0</v>
      </c>
    </row>
    <row r="4783" spans="1:12">
      <c r="A4783" s="12"/>
      <c r="E4783" s="14"/>
      <c r="F4783" s="14"/>
      <c r="G4783" s="13">
        <v>0</v>
      </c>
      <c r="H4783" s="13">
        <v>0</v>
      </c>
      <c r="I4783" s="13"/>
      <c r="J4783" s="13"/>
      <c r="K4783" s="13"/>
      <c r="L4783" s="15">
        <v>0</v>
      </c>
    </row>
    <row r="4784" spans="1:12">
      <c r="A4784" s="12"/>
      <c r="E4784" s="14"/>
      <c r="F4784" s="14"/>
      <c r="G4784" s="13">
        <v>0</v>
      </c>
      <c r="H4784" s="13">
        <v>0</v>
      </c>
      <c r="I4784" s="13"/>
      <c r="J4784" s="13"/>
      <c r="K4784" s="13"/>
      <c r="L4784" s="15">
        <v>0</v>
      </c>
    </row>
    <row r="4785" spans="1:12">
      <c r="A4785" s="12"/>
      <c r="E4785" s="14"/>
      <c r="F4785" s="14"/>
      <c r="G4785" s="13">
        <v>0</v>
      </c>
      <c r="H4785" s="13">
        <v>0</v>
      </c>
      <c r="I4785" s="13"/>
      <c r="J4785" s="13"/>
      <c r="K4785" s="13"/>
      <c r="L4785" s="15">
        <v>0</v>
      </c>
    </row>
    <row r="4786" spans="1:12">
      <c r="A4786" s="12"/>
      <c r="E4786" s="14"/>
      <c r="F4786" s="14"/>
      <c r="G4786" s="13">
        <v>0</v>
      </c>
      <c r="H4786" s="13">
        <v>0</v>
      </c>
      <c r="I4786" s="13"/>
      <c r="J4786" s="13"/>
      <c r="K4786" s="13"/>
      <c r="L4786" s="15">
        <v>0</v>
      </c>
    </row>
    <row r="4787" spans="1:12">
      <c r="A4787" s="12"/>
      <c r="E4787" s="14"/>
      <c r="F4787" s="14"/>
      <c r="G4787" s="13">
        <v>0</v>
      </c>
      <c r="H4787" s="13">
        <v>0</v>
      </c>
      <c r="I4787" s="13"/>
      <c r="J4787" s="13"/>
      <c r="K4787" s="13"/>
      <c r="L4787" s="15">
        <v>0</v>
      </c>
    </row>
    <row r="4788" spans="1:12">
      <c r="A4788" s="12"/>
      <c r="E4788" s="14"/>
      <c r="F4788" s="14"/>
      <c r="G4788" s="13">
        <v>0</v>
      </c>
      <c r="H4788" s="13">
        <v>0</v>
      </c>
      <c r="I4788" s="13"/>
      <c r="J4788" s="13"/>
      <c r="K4788" s="13"/>
      <c r="L4788" s="15">
        <v>0</v>
      </c>
    </row>
    <row r="4789" spans="1:12">
      <c r="A4789" s="12"/>
      <c r="E4789" s="14"/>
      <c r="F4789" s="14"/>
      <c r="G4789" s="13">
        <v>0</v>
      </c>
      <c r="H4789" s="13">
        <v>0</v>
      </c>
      <c r="I4789" s="13"/>
      <c r="J4789" s="13"/>
      <c r="K4789" s="13"/>
      <c r="L4789" s="15">
        <v>0</v>
      </c>
    </row>
    <row r="4790" spans="1:12">
      <c r="A4790" s="12"/>
      <c r="E4790" s="14"/>
      <c r="F4790" s="14"/>
      <c r="G4790" s="13">
        <v>0</v>
      </c>
      <c r="H4790" s="13">
        <v>0</v>
      </c>
      <c r="I4790" s="13"/>
      <c r="J4790" s="13"/>
      <c r="K4790" s="13"/>
      <c r="L4790" s="15">
        <v>0</v>
      </c>
    </row>
    <row r="4791" spans="1:12">
      <c r="A4791" s="12"/>
      <c r="E4791" s="14"/>
      <c r="F4791" s="14"/>
      <c r="G4791" s="13">
        <v>0</v>
      </c>
      <c r="H4791" s="13">
        <v>0</v>
      </c>
      <c r="I4791" s="13"/>
      <c r="J4791" s="13"/>
      <c r="K4791" s="13"/>
      <c r="L4791" s="15">
        <v>0</v>
      </c>
    </row>
    <row r="4792" spans="1:12">
      <c r="A4792" s="12"/>
      <c r="E4792" s="14"/>
      <c r="F4792" s="14"/>
      <c r="G4792" s="13">
        <v>0</v>
      </c>
      <c r="H4792" s="13">
        <v>0</v>
      </c>
      <c r="I4792" s="13"/>
      <c r="J4792" s="13"/>
      <c r="K4792" s="13"/>
      <c r="L4792" s="15">
        <v>0</v>
      </c>
    </row>
    <row r="4793" spans="1:12">
      <c r="A4793" s="12"/>
      <c r="E4793" s="14"/>
      <c r="F4793" s="14"/>
      <c r="G4793" s="13">
        <v>0</v>
      </c>
      <c r="H4793" s="13">
        <v>0</v>
      </c>
      <c r="I4793" s="13"/>
      <c r="J4793" s="13"/>
      <c r="K4793" s="13"/>
      <c r="L4793" s="15">
        <v>0</v>
      </c>
    </row>
    <row r="4794" spans="1:12">
      <c r="A4794" s="12"/>
      <c r="E4794" s="14"/>
      <c r="F4794" s="14"/>
      <c r="G4794" s="13">
        <v>0</v>
      </c>
      <c r="H4794" s="13">
        <v>0</v>
      </c>
      <c r="I4794" s="13"/>
      <c r="J4794" s="13"/>
      <c r="K4794" s="13"/>
      <c r="L4794" s="15">
        <v>0</v>
      </c>
    </row>
    <row r="4795" spans="1:12">
      <c r="A4795" s="12"/>
      <c r="E4795" s="14"/>
      <c r="F4795" s="14"/>
      <c r="G4795" s="13">
        <v>0</v>
      </c>
      <c r="H4795" s="13">
        <v>0</v>
      </c>
      <c r="I4795" s="13"/>
      <c r="J4795" s="13"/>
      <c r="K4795" s="13"/>
      <c r="L4795" s="15">
        <v>0</v>
      </c>
    </row>
    <row r="4796" spans="1:12">
      <c r="A4796" s="12"/>
      <c r="E4796" s="14"/>
      <c r="F4796" s="14"/>
      <c r="G4796" s="13">
        <v>0</v>
      </c>
      <c r="H4796" s="13">
        <v>0</v>
      </c>
      <c r="I4796" s="13"/>
      <c r="J4796" s="13"/>
      <c r="K4796" s="13"/>
      <c r="L4796" s="15">
        <v>0</v>
      </c>
    </row>
    <row r="4797" spans="1:12">
      <c r="A4797" s="12"/>
      <c r="E4797" s="14"/>
      <c r="F4797" s="14"/>
      <c r="G4797" s="13">
        <v>0</v>
      </c>
      <c r="H4797" s="13">
        <v>0</v>
      </c>
      <c r="I4797" s="13"/>
      <c r="J4797" s="13"/>
      <c r="K4797" s="13"/>
      <c r="L4797" s="15">
        <v>0</v>
      </c>
    </row>
    <row r="4798" spans="1:12">
      <c r="A4798" s="12"/>
      <c r="E4798" s="14"/>
      <c r="F4798" s="14"/>
      <c r="G4798" s="13">
        <v>0</v>
      </c>
      <c r="H4798" s="13">
        <v>0</v>
      </c>
      <c r="I4798" s="13"/>
      <c r="J4798" s="13"/>
      <c r="K4798" s="13"/>
      <c r="L4798" s="15">
        <v>0</v>
      </c>
    </row>
    <row r="4799" spans="1:12">
      <c r="A4799" s="12"/>
      <c r="E4799" s="14"/>
      <c r="F4799" s="14"/>
      <c r="G4799" s="13">
        <v>0</v>
      </c>
      <c r="H4799" s="13">
        <v>0</v>
      </c>
      <c r="I4799" s="13"/>
      <c r="J4799" s="13"/>
      <c r="K4799" s="13"/>
      <c r="L4799" s="15">
        <v>0</v>
      </c>
    </row>
    <row r="4800" spans="1:12">
      <c r="A4800" s="12"/>
      <c r="E4800" s="14"/>
      <c r="F4800" s="14"/>
      <c r="G4800" s="13">
        <v>0</v>
      </c>
      <c r="H4800" s="13">
        <v>0</v>
      </c>
      <c r="I4800" s="13"/>
      <c r="J4800" s="13"/>
      <c r="K4800" s="13"/>
      <c r="L4800" s="15">
        <v>0</v>
      </c>
    </row>
    <row r="4801" spans="1:12">
      <c r="A4801" s="12"/>
      <c r="E4801" s="14"/>
      <c r="F4801" s="14"/>
      <c r="G4801" s="13">
        <v>0</v>
      </c>
      <c r="H4801" s="13">
        <v>0</v>
      </c>
      <c r="I4801" s="13"/>
      <c r="J4801" s="13"/>
      <c r="K4801" s="13"/>
      <c r="L4801" s="15">
        <v>0</v>
      </c>
    </row>
    <row r="4802" spans="1:12">
      <c r="A4802" s="12"/>
      <c r="E4802" s="14"/>
      <c r="F4802" s="14"/>
      <c r="G4802" s="13">
        <v>0</v>
      </c>
      <c r="H4802" s="13">
        <v>0</v>
      </c>
      <c r="I4802" s="13"/>
      <c r="J4802" s="13"/>
      <c r="K4802" s="13"/>
      <c r="L4802" s="15">
        <v>0</v>
      </c>
    </row>
    <row r="4803" spans="1:12">
      <c r="A4803" s="12"/>
      <c r="E4803" s="14"/>
      <c r="F4803" s="14"/>
      <c r="G4803" s="13">
        <v>0</v>
      </c>
      <c r="H4803" s="13">
        <v>0</v>
      </c>
      <c r="I4803" s="13"/>
      <c r="J4803" s="13"/>
      <c r="K4803" s="13"/>
      <c r="L4803" s="15">
        <v>0</v>
      </c>
    </row>
    <row r="4804" spans="1:12">
      <c r="A4804" s="12"/>
      <c r="E4804" s="14"/>
      <c r="F4804" s="14"/>
      <c r="G4804" s="13">
        <v>0</v>
      </c>
      <c r="H4804" s="13">
        <v>0</v>
      </c>
      <c r="I4804" s="13"/>
      <c r="J4804" s="13"/>
      <c r="K4804" s="13"/>
      <c r="L4804" s="15">
        <v>0</v>
      </c>
    </row>
    <row r="4805" spans="1:12">
      <c r="A4805" s="12"/>
      <c r="E4805" s="14"/>
      <c r="F4805" s="14"/>
      <c r="G4805" s="13">
        <v>0</v>
      </c>
      <c r="H4805" s="13">
        <v>0</v>
      </c>
      <c r="I4805" s="13"/>
      <c r="J4805" s="13"/>
      <c r="K4805" s="13"/>
      <c r="L4805" s="15">
        <v>0</v>
      </c>
    </row>
    <row r="4806" spans="1:12">
      <c r="A4806" s="12"/>
      <c r="E4806" s="14"/>
      <c r="F4806" s="14"/>
      <c r="G4806" s="13">
        <v>0</v>
      </c>
      <c r="H4806" s="13">
        <v>0</v>
      </c>
      <c r="I4806" s="13"/>
      <c r="J4806" s="13"/>
      <c r="K4806" s="13"/>
      <c r="L4806" s="15">
        <v>0</v>
      </c>
    </row>
    <row r="4807" spans="1:12">
      <c r="A4807" s="12"/>
      <c r="E4807" s="14"/>
      <c r="F4807" s="14"/>
      <c r="G4807" s="13">
        <v>0</v>
      </c>
      <c r="H4807" s="13">
        <v>0</v>
      </c>
      <c r="I4807" s="13"/>
      <c r="J4807" s="13"/>
      <c r="K4807" s="13"/>
      <c r="L4807" s="15">
        <v>0</v>
      </c>
    </row>
    <row r="4808" spans="1:12">
      <c r="A4808" s="12"/>
      <c r="E4808" s="14"/>
      <c r="F4808" s="14"/>
      <c r="G4808" s="13">
        <v>0</v>
      </c>
      <c r="H4808" s="13">
        <v>0</v>
      </c>
      <c r="I4808" s="13"/>
      <c r="J4808" s="13"/>
      <c r="K4808" s="13"/>
      <c r="L4808" s="15">
        <v>0</v>
      </c>
    </row>
    <row r="4809" spans="1:12">
      <c r="A4809" s="12"/>
      <c r="E4809" s="14"/>
      <c r="F4809" s="14"/>
      <c r="G4809" s="13">
        <v>0</v>
      </c>
      <c r="H4809" s="13">
        <v>0</v>
      </c>
      <c r="I4809" s="13"/>
      <c r="J4809" s="13"/>
      <c r="K4809" s="13"/>
      <c r="L4809" s="15">
        <v>0</v>
      </c>
    </row>
    <row r="4810" spans="1:12">
      <c r="A4810" s="12"/>
      <c r="E4810" s="14"/>
      <c r="F4810" s="14"/>
      <c r="G4810" s="13">
        <v>0</v>
      </c>
      <c r="H4810" s="13">
        <v>0</v>
      </c>
      <c r="I4810" s="13"/>
      <c r="J4810" s="13"/>
      <c r="K4810" s="13"/>
      <c r="L4810" s="15">
        <v>0</v>
      </c>
    </row>
    <row r="4811" spans="1:12">
      <c r="A4811" s="12"/>
      <c r="E4811" s="14"/>
      <c r="F4811" s="14"/>
      <c r="G4811" s="13">
        <v>0</v>
      </c>
      <c r="H4811" s="13">
        <v>0</v>
      </c>
      <c r="I4811" s="13"/>
      <c r="J4811" s="13"/>
      <c r="K4811" s="13"/>
      <c r="L4811" s="15">
        <v>0</v>
      </c>
    </row>
    <row r="4812" spans="1:12">
      <c r="A4812" s="12"/>
      <c r="E4812" s="14"/>
      <c r="F4812" s="14"/>
      <c r="G4812" s="13">
        <v>0</v>
      </c>
      <c r="H4812" s="13">
        <v>0</v>
      </c>
      <c r="I4812" s="13"/>
      <c r="J4812" s="13"/>
      <c r="K4812" s="13"/>
      <c r="L4812" s="15">
        <v>0</v>
      </c>
    </row>
    <row r="4813" spans="1:12">
      <c r="A4813" s="12"/>
      <c r="E4813" s="14"/>
      <c r="F4813" s="14"/>
      <c r="G4813" s="13">
        <v>0</v>
      </c>
      <c r="H4813" s="13">
        <v>0</v>
      </c>
      <c r="I4813" s="13"/>
      <c r="J4813" s="13"/>
      <c r="K4813" s="13"/>
      <c r="L4813" s="15">
        <v>0</v>
      </c>
    </row>
    <row r="4814" spans="1:12">
      <c r="A4814" s="12"/>
      <c r="E4814" s="14"/>
      <c r="F4814" s="14"/>
      <c r="G4814" s="13">
        <v>0</v>
      </c>
      <c r="H4814" s="13">
        <v>0</v>
      </c>
      <c r="I4814" s="13"/>
      <c r="J4814" s="13"/>
      <c r="K4814" s="13"/>
      <c r="L4814" s="15">
        <v>0</v>
      </c>
    </row>
    <row r="4815" spans="1:12">
      <c r="A4815" s="12"/>
      <c r="E4815" s="14"/>
      <c r="F4815" s="14"/>
      <c r="G4815" s="13">
        <v>0</v>
      </c>
      <c r="H4815" s="13">
        <v>0</v>
      </c>
      <c r="I4815" s="13"/>
      <c r="J4815" s="13"/>
      <c r="K4815" s="13"/>
      <c r="L4815" s="15">
        <v>0</v>
      </c>
    </row>
    <row r="4816" spans="1:12">
      <c r="A4816" s="12"/>
      <c r="E4816" s="14"/>
      <c r="F4816" s="14"/>
      <c r="G4816" s="13">
        <v>0</v>
      </c>
      <c r="H4816" s="13">
        <v>0</v>
      </c>
      <c r="I4816" s="13"/>
      <c r="J4816" s="13"/>
      <c r="K4816" s="13"/>
      <c r="L4816" s="15">
        <v>0</v>
      </c>
    </row>
    <row r="4817" spans="1:12">
      <c r="A4817" s="12"/>
      <c r="E4817" s="14"/>
      <c r="F4817" s="14"/>
      <c r="G4817" s="13">
        <v>0</v>
      </c>
      <c r="H4817" s="13">
        <v>0</v>
      </c>
      <c r="I4817" s="13"/>
      <c r="J4817" s="13"/>
      <c r="K4817" s="13"/>
      <c r="L4817" s="15">
        <v>0</v>
      </c>
    </row>
    <row r="4818" spans="1:12">
      <c r="A4818" s="12"/>
      <c r="E4818" s="14"/>
      <c r="F4818" s="14"/>
      <c r="G4818" s="13">
        <v>0</v>
      </c>
      <c r="H4818" s="13">
        <v>0</v>
      </c>
      <c r="I4818" s="13"/>
      <c r="J4818" s="13"/>
      <c r="K4818" s="13"/>
      <c r="L4818" s="15">
        <v>0</v>
      </c>
    </row>
    <row r="4819" spans="1:12">
      <c r="A4819" s="12"/>
      <c r="E4819" s="14"/>
      <c r="F4819" s="14"/>
      <c r="G4819" s="13">
        <v>0</v>
      </c>
      <c r="H4819" s="13">
        <v>0</v>
      </c>
      <c r="I4819" s="13"/>
      <c r="J4819" s="13"/>
      <c r="K4819" s="13"/>
      <c r="L4819" s="15">
        <v>0</v>
      </c>
    </row>
    <row r="4820" spans="1:12">
      <c r="A4820" s="12"/>
      <c r="E4820" s="14"/>
      <c r="F4820" s="14"/>
      <c r="G4820" s="13">
        <v>0</v>
      </c>
      <c r="H4820" s="13">
        <v>0</v>
      </c>
      <c r="I4820" s="13"/>
      <c r="J4820" s="13"/>
      <c r="K4820" s="13"/>
      <c r="L4820" s="15">
        <v>0</v>
      </c>
    </row>
    <row r="4821" spans="1:12">
      <c r="A4821" s="12"/>
      <c r="E4821" s="14"/>
      <c r="F4821" s="14"/>
      <c r="G4821" s="13">
        <v>0</v>
      </c>
      <c r="H4821" s="13">
        <v>0</v>
      </c>
      <c r="I4821" s="13"/>
      <c r="J4821" s="13"/>
      <c r="K4821" s="13"/>
      <c r="L4821" s="15">
        <v>0</v>
      </c>
    </row>
    <row r="4822" spans="1:12">
      <c r="A4822" s="12"/>
      <c r="E4822" s="14"/>
      <c r="F4822" s="14"/>
      <c r="G4822" s="13">
        <v>0</v>
      </c>
      <c r="H4822" s="13">
        <v>0</v>
      </c>
      <c r="I4822" s="13"/>
      <c r="J4822" s="13"/>
      <c r="K4822" s="13"/>
      <c r="L4822" s="15">
        <v>0</v>
      </c>
    </row>
    <row r="4823" spans="1:12">
      <c r="A4823" s="12"/>
      <c r="E4823" s="14"/>
      <c r="F4823" s="14"/>
      <c r="G4823" s="13">
        <v>0</v>
      </c>
      <c r="H4823" s="13">
        <v>0</v>
      </c>
      <c r="I4823" s="13"/>
      <c r="J4823" s="13"/>
      <c r="K4823" s="13"/>
      <c r="L4823" s="15">
        <v>0</v>
      </c>
    </row>
    <row r="4824" spans="1:12">
      <c r="A4824" s="12"/>
      <c r="E4824" s="14"/>
      <c r="F4824" s="14"/>
      <c r="G4824" s="13">
        <v>0</v>
      </c>
      <c r="H4824" s="13">
        <v>0</v>
      </c>
      <c r="I4824" s="13"/>
      <c r="J4824" s="13"/>
      <c r="K4824" s="13"/>
      <c r="L4824" s="15">
        <v>0</v>
      </c>
    </row>
    <row r="4825" spans="1:12">
      <c r="A4825" s="12"/>
      <c r="E4825" s="14"/>
      <c r="F4825" s="14"/>
      <c r="G4825" s="13">
        <v>0</v>
      </c>
      <c r="H4825" s="13">
        <v>0</v>
      </c>
      <c r="I4825" s="13"/>
      <c r="J4825" s="13"/>
      <c r="K4825" s="13"/>
      <c r="L4825" s="15">
        <v>0</v>
      </c>
    </row>
    <row r="4826" spans="1:12">
      <c r="A4826" s="12"/>
      <c r="E4826" s="14"/>
      <c r="F4826" s="14"/>
      <c r="G4826" s="13">
        <v>0</v>
      </c>
      <c r="H4826" s="13">
        <v>0</v>
      </c>
      <c r="I4826" s="13"/>
      <c r="J4826" s="13"/>
      <c r="K4826" s="13"/>
      <c r="L4826" s="15">
        <v>0</v>
      </c>
    </row>
    <row r="4827" spans="1:12">
      <c r="A4827" s="12"/>
      <c r="E4827" s="14"/>
      <c r="F4827" s="14"/>
      <c r="G4827" s="13">
        <v>0</v>
      </c>
      <c r="H4827" s="13">
        <v>0</v>
      </c>
      <c r="I4827" s="13"/>
      <c r="J4827" s="13"/>
      <c r="K4827" s="13"/>
      <c r="L4827" s="15">
        <v>0</v>
      </c>
    </row>
    <row r="4828" spans="1:12">
      <c r="A4828" s="12"/>
      <c r="E4828" s="14"/>
      <c r="F4828" s="14"/>
      <c r="G4828" s="13">
        <v>0</v>
      </c>
      <c r="H4828" s="13">
        <v>0</v>
      </c>
      <c r="I4828" s="13"/>
      <c r="J4828" s="13"/>
      <c r="K4828" s="13"/>
      <c r="L4828" s="15">
        <v>0</v>
      </c>
    </row>
    <row r="4829" spans="1:12">
      <c r="A4829" s="12"/>
      <c r="E4829" s="14"/>
      <c r="F4829" s="14"/>
      <c r="G4829" s="13">
        <v>0</v>
      </c>
      <c r="H4829" s="13">
        <v>0</v>
      </c>
      <c r="I4829" s="13"/>
      <c r="J4829" s="13"/>
      <c r="K4829" s="13"/>
      <c r="L4829" s="15">
        <v>0</v>
      </c>
    </row>
    <row r="4830" spans="1:12">
      <c r="A4830" s="12"/>
      <c r="E4830" s="14"/>
      <c r="F4830" s="14"/>
      <c r="G4830" s="13">
        <v>0</v>
      </c>
      <c r="H4830" s="13">
        <v>0</v>
      </c>
      <c r="I4830" s="13"/>
      <c r="J4830" s="13"/>
      <c r="K4830" s="13"/>
      <c r="L4830" s="15">
        <v>0</v>
      </c>
    </row>
    <row r="4831" spans="1:12">
      <c r="A4831" s="12"/>
      <c r="E4831" s="14"/>
      <c r="F4831" s="14"/>
      <c r="G4831" s="13">
        <v>0</v>
      </c>
      <c r="H4831" s="13">
        <v>0</v>
      </c>
      <c r="I4831" s="13"/>
      <c r="J4831" s="13"/>
      <c r="K4831" s="13"/>
      <c r="L4831" s="15">
        <v>0</v>
      </c>
    </row>
    <row r="4832" spans="1:12">
      <c r="A4832" s="12"/>
      <c r="E4832" s="14"/>
      <c r="F4832" s="14"/>
      <c r="G4832" s="13">
        <v>0</v>
      </c>
      <c r="H4832" s="13">
        <v>0</v>
      </c>
      <c r="I4832" s="13"/>
      <c r="J4832" s="13"/>
      <c r="K4832" s="13"/>
      <c r="L4832" s="15">
        <v>0</v>
      </c>
    </row>
    <row r="4833" spans="1:12">
      <c r="A4833" s="12"/>
      <c r="E4833" s="14"/>
      <c r="F4833" s="14"/>
      <c r="G4833" s="13">
        <v>0</v>
      </c>
      <c r="H4833" s="13">
        <v>0</v>
      </c>
      <c r="I4833" s="13"/>
      <c r="J4833" s="13"/>
      <c r="K4833" s="13"/>
      <c r="L4833" s="15">
        <v>0</v>
      </c>
    </row>
    <row r="4834" spans="1:12">
      <c r="A4834" s="12"/>
      <c r="E4834" s="14"/>
      <c r="F4834" s="14"/>
      <c r="G4834" s="13">
        <v>0</v>
      </c>
      <c r="H4834" s="13">
        <v>0</v>
      </c>
      <c r="I4834" s="13"/>
      <c r="J4834" s="13"/>
      <c r="K4834" s="13"/>
      <c r="L4834" s="15">
        <v>0</v>
      </c>
    </row>
    <row r="4835" spans="1:12">
      <c r="A4835" s="12"/>
      <c r="E4835" s="14"/>
      <c r="F4835" s="14"/>
      <c r="G4835" s="13">
        <v>0</v>
      </c>
      <c r="H4835" s="13">
        <v>0</v>
      </c>
      <c r="I4835" s="13"/>
      <c r="J4835" s="13"/>
      <c r="K4835" s="13"/>
      <c r="L4835" s="15">
        <v>0</v>
      </c>
    </row>
    <row r="4836" spans="1:12">
      <c r="A4836" s="12"/>
      <c r="E4836" s="14"/>
      <c r="F4836" s="14"/>
      <c r="G4836" s="13">
        <v>0</v>
      </c>
      <c r="H4836" s="13">
        <v>0</v>
      </c>
      <c r="I4836" s="13"/>
      <c r="J4836" s="13"/>
      <c r="K4836" s="13"/>
      <c r="L4836" s="15">
        <v>0</v>
      </c>
    </row>
    <row r="4837" spans="1:12">
      <c r="A4837" s="12"/>
      <c r="E4837" s="14"/>
      <c r="F4837" s="14"/>
      <c r="G4837" s="13">
        <v>0</v>
      </c>
      <c r="H4837" s="13">
        <v>0</v>
      </c>
      <c r="I4837" s="13"/>
      <c r="J4837" s="13"/>
      <c r="K4837" s="13"/>
      <c r="L4837" s="15">
        <v>0</v>
      </c>
    </row>
    <row r="4838" spans="1:12">
      <c r="A4838" s="12"/>
      <c r="E4838" s="14"/>
      <c r="F4838" s="14"/>
      <c r="G4838" s="13">
        <v>0</v>
      </c>
      <c r="H4838" s="13">
        <v>0</v>
      </c>
      <c r="I4838" s="13"/>
      <c r="J4838" s="13"/>
      <c r="K4838" s="13"/>
      <c r="L4838" s="15">
        <v>0</v>
      </c>
    </row>
    <row r="4839" spans="1:12">
      <c r="A4839" s="12"/>
      <c r="E4839" s="14"/>
      <c r="F4839" s="14"/>
      <c r="G4839" s="13">
        <v>0</v>
      </c>
      <c r="H4839" s="13">
        <v>0</v>
      </c>
      <c r="I4839" s="13"/>
      <c r="J4839" s="13"/>
      <c r="K4839" s="13"/>
      <c r="L4839" s="15">
        <v>0</v>
      </c>
    </row>
    <row r="4840" spans="1:12">
      <c r="A4840" s="12"/>
      <c r="E4840" s="14"/>
      <c r="F4840" s="14"/>
      <c r="G4840" s="13">
        <v>0</v>
      </c>
      <c r="H4840" s="13">
        <v>0</v>
      </c>
      <c r="I4840" s="13"/>
      <c r="J4840" s="13"/>
      <c r="K4840" s="13"/>
      <c r="L4840" s="15">
        <v>0</v>
      </c>
    </row>
    <row r="4841" spans="1:12">
      <c r="A4841" s="12"/>
      <c r="E4841" s="14"/>
      <c r="F4841" s="14"/>
      <c r="G4841" s="13">
        <v>0</v>
      </c>
      <c r="H4841" s="13">
        <v>0</v>
      </c>
      <c r="I4841" s="13"/>
      <c r="J4841" s="13"/>
      <c r="K4841" s="13"/>
      <c r="L4841" s="15">
        <v>0</v>
      </c>
    </row>
    <row r="4842" spans="1:12">
      <c r="A4842" s="12"/>
      <c r="E4842" s="14"/>
      <c r="F4842" s="14"/>
      <c r="G4842" s="13">
        <v>0</v>
      </c>
      <c r="H4842" s="13">
        <v>0</v>
      </c>
      <c r="I4842" s="13"/>
      <c r="J4842" s="13"/>
      <c r="K4842" s="13"/>
      <c r="L4842" s="15">
        <v>0</v>
      </c>
    </row>
    <row r="4843" spans="1:12">
      <c r="A4843" s="12"/>
      <c r="E4843" s="14"/>
      <c r="F4843" s="14"/>
      <c r="G4843" s="13">
        <v>0</v>
      </c>
      <c r="H4843" s="13">
        <v>0</v>
      </c>
      <c r="I4843" s="13"/>
      <c r="J4843" s="13"/>
      <c r="K4843" s="13"/>
      <c r="L4843" s="15">
        <v>0</v>
      </c>
    </row>
    <row r="4844" spans="1:12">
      <c r="A4844" s="12"/>
      <c r="E4844" s="14"/>
      <c r="F4844" s="14"/>
      <c r="G4844" s="13">
        <v>0</v>
      </c>
      <c r="H4844" s="13">
        <v>0</v>
      </c>
      <c r="I4844" s="13"/>
      <c r="J4844" s="13"/>
      <c r="K4844" s="13"/>
      <c r="L4844" s="15">
        <v>0</v>
      </c>
    </row>
    <row r="4845" spans="1:12">
      <c r="A4845" s="12"/>
      <c r="E4845" s="14"/>
      <c r="F4845" s="14"/>
      <c r="G4845" s="13">
        <v>0</v>
      </c>
      <c r="H4845" s="13">
        <v>0</v>
      </c>
      <c r="I4845" s="13"/>
      <c r="J4845" s="13"/>
      <c r="K4845" s="13"/>
      <c r="L4845" s="15">
        <v>0</v>
      </c>
    </row>
    <row r="4846" spans="1:12">
      <c r="A4846" s="12"/>
      <c r="E4846" s="14"/>
      <c r="F4846" s="14"/>
      <c r="G4846" s="13">
        <v>0</v>
      </c>
      <c r="H4846" s="13">
        <v>0</v>
      </c>
      <c r="I4846" s="13"/>
      <c r="J4846" s="13"/>
      <c r="K4846" s="13"/>
      <c r="L4846" s="15">
        <v>0</v>
      </c>
    </row>
    <row r="4847" spans="1:12">
      <c r="A4847" s="12"/>
      <c r="E4847" s="14"/>
      <c r="F4847" s="14"/>
      <c r="G4847" s="13">
        <v>0</v>
      </c>
      <c r="H4847" s="13">
        <v>0</v>
      </c>
      <c r="I4847" s="13"/>
      <c r="J4847" s="13"/>
      <c r="K4847" s="13"/>
      <c r="L4847" s="15">
        <v>0</v>
      </c>
    </row>
    <row r="4848" spans="1:12">
      <c r="A4848" s="12"/>
      <c r="E4848" s="14"/>
      <c r="F4848" s="14"/>
      <c r="G4848" s="13">
        <v>0</v>
      </c>
      <c r="H4848" s="13">
        <v>0</v>
      </c>
      <c r="I4848" s="13"/>
      <c r="J4848" s="13"/>
      <c r="K4848" s="13"/>
      <c r="L4848" s="15">
        <v>0</v>
      </c>
    </row>
    <row r="4849" spans="1:12">
      <c r="A4849" s="12"/>
      <c r="E4849" s="14"/>
      <c r="F4849" s="14"/>
      <c r="G4849" s="13">
        <v>0</v>
      </c>
      <c r="H4849" s="13">
        <v>0</v>
      </c>
      <c r="I4849" s="13"/>
      <c r="J4849" s="13"/>
      <c r="K4849" s="13"/>
      <c r="L4849" s="15">
        <v>0</v>
      </c>
    </row>
    <row r="4850" spans="1:12">
      <c r="A4850" s="12"/>
      <c r="E4850" s="14"/>
      <c r="F4850" s="14"/>
      <c r="G4850" s="13">
        <v>0</v>
      </c>
      <c r="H4850" s="13">
        <v>0</v>
      </c>
      <c r="I4850" s="13"/>
      <c r="J4850" s="13"/>
      <c r="K4850" s="13"/>
      <c r="L4850" s="15">
        <v>0</v>
      </c>
    </row>
    <row r="4851" spans="1:12">
      <c r="A4851" s="12"/>
      <c r="E4851" s="14"/>
      <c r="F4851" s="14"/>
      <c r="G4851" s="13">
        <v>0</v>
      </c>
      <c r="H4851" s="13">
        <v>0</v>
      </c>
      <c r="I4851" s="13"/>
      <c r="J4851" s="13"/>
      <c r="K4851" s="13"/>
      <c r="L4851" s="15">
        <v>0</v>
      </c>
    </row>
    <row r="4852" spans="1:12">
      <c r="A4852" s="12"/>
      <c r="E4852" s="14"/>
      <c r="F4852" s="14"/>
      <c r="G4852" s="13">
        <v>0</v>
      </c>
      <c r="H4852" s="13">
        <v>0</v>
      </c>
      <c r="I4852" s="13"/>
      <c r="J4852" s="13"/>
      <c r="K4852" s="13"/>
      <c r="L4852" s="15">
        <v>0</v>
      </c>
    </row>
    <row r="4853" spans="1:12">
      <c r="A4853" s="12"/>
      <c r="E4853" s="14"/>
      <c r="F4853" s="14"/>
      <c r="G4853" s="13">
        <v>0</v>
      </c>
      <c r="H4853" s="13">
        <v>0</v>
      </c>
      <c r="I4853" s="13"/>
      <c r="J4853" s="13"/>
      <c r="K4853" s="13"/>
      <c r="L4853" s="15">
        <v>0</v>
      </c>
    </row>
    <row r="4854" spans="1:12">
      <c r="A4854" s="12"/>
      <c r="E4854" s="14"/>
      <c r="F4854" s="14"/>
      <c r="G4854" s="13">
        <v>0</v>
      </c>
      <c r="H4854" s="13">
        <v>0</v>
      </c>
      <c r="I4854" s="13"/>
      <c r="J4854" s="13"/>
      <c r="K4854" s="13"/>
      <c r="L4854" s="15">
        <v>0</v>
      </c>
    </row>
    <row r="4855" spans="1:12">
      <c r="A4855" s="12"/>
      <c r="E4855" s="14"/>
      <c r="F4855" s="14"/>
      <c r="G4855" s="13">
        <v>0</v>
      </c>
      <c r="H4855" s="13">
        <v>0</v>
      </c>
      <c r="I4855" s="13"/>
      <c r="J4855" s="13"/>
      <c r="K4855" s="13"/>
      <c r="L4855" s="15">
        <v>0</v>
      </c>
    </row>
    <row r="4856" spans="1:12">
      <c r="A4856" s="12"/>
      <c r="E4856" s="14"/>
      <c r="F4856" s="14"/>
      <c r="G4856" s="13">
        <v>0</v>
      </c>
      <c r="H4856" s="13">
        <v>0</v>
      </c>
      <c r="I4856" s="13"/>
      <c r="J4856" s="13"/>
      <c r="K4856" s="13"/>
      <c r="L4856" s="15">
        <v>0</v>
      </c>
    </row>
    <row r="4857" spans="1:12">
      <c r="A4857" s="12"/>
      <c r="E4857" s="14"/>
      <c r="F4857" s="14"/>
      <c r="G4857" s="13">
        <v>0</v>
      </c>
      <c r="H4857" s="13">
        <v>0</v>
      </c>
      <c r="I4857" s="13"/>
      <c r="J4857" s="13"/>
      <c r="K4857" s="13"/>
      <c r="L4857" s="15">
        <v>0</v>
      </c>
    </row>
    <row r="4858" spans="1:12">
      <c r="A4858" s="12"/>
      <c r="E4858" s="14"/>
      <c r="F4858" s="14"/>
      <c r="G4858" s="13">
        <v>0</v>
      </c>
      <c r="H4858" s="13">
        <v>0</v>
      </c>
      <c r="I4858" s="13"/>
      <c r="J4858" s="13"/>
      <c r="K4858" s="13"/>
      <c r="L4858" s="15">
        <v>0</v>
      </c>
    </row>
    <row r="4859" spans="1:12">
      <c r="A4859" s="12"/>
      <c r="E4859" s="14"/>
      <c r="F4859" s="14"/>
      <c r="G4859" s="13">
        <v>0</v>
      </c>
      <c r="H4859" s="13">
        <v>0</v>
      </c>
      <c r="I4859" s="13"/>
      <c r="J4859" s="13"/>
      <c r="K4859" s="13"/>
      <c r="L4859" s="15">
        <v>0</v>
      </c>
    </row>
    <row r="4860" spans="1:12">
      <c r="A4860" s="12"/>
      <c r="E4860" s="14"/>
      <c r="F4860" s="14"/>
      <c r="G4860" s="13">
        <v>0</v>
      </c>
      <c r="H4860" s="13">
        <v>0</v>
      </c>
      <c r="I4860" s="13"/>
      <c r="J4860" s="13"/>
      <c r="K4860" s="13"/>
      <c r="L4860" s="15">
        <v>0</v>
      </c>
    </row>
    <row r="4861" spans="1:12">
      <c r="A4861" s="12"/>
      <c r="E4861" s="14"/>
      <c r="F4861" s="14"/>
      <c r="G4861" s="13">
        <v>0</v>
      </c>
      <c r="H4861" s="13">
        <v>0</v>
      </c>
      <c r="I4861" s="13"/>
      <c r="J4861" s="13"/>
      <c r="K4861" s="13"/>
      <c r="L4861" s="15">
        <v>0</v>
      </c>
    </row>
    <row r="4862" spans="1:12">
      <c r="A4862" s="12"/>
      <c r="E4862" s="14"/>
      <c r="F4862" s="14"/>
      <c r="G4862" s="13">
        <v>0</v>
      </c>
      <c r="H4862" s="13">
        <v>0</v>
      </c>
      <c r="I4862" s="13"/>
      <c r="J4862" s="13"/>
      <c r="K4862" s="13"/>
      <c r="L4862" s="15">
        <v>0</v>
      </c>
    </row>
    <row r="4863" spans="1:12">
      <c r="A4863" s="12"/>
      <c r="E4863" s="14"/>
      <c r="F4863" s="14"/>
      <c r="G4863" s="13">
        <v>0</v>
      </c>
      <c r="H4863" s="13">
        <v>0</v>
      </c>
      <c r="I4863" s="13"/>
      <c r="J4863" s="13"/>
      <c r="K4863" s="13"/>
      <c r="L4863" s="15">
        <v>0</v>
      </c>
    </row>
    <row r="4864" spans="1:12">
      <c r="A4864" s="12"/>
      <c r="E4864" s="14"/>
      <c r="F4864" s="14"/>
      <c r="G4864" s="13">
        <v>0</v>
      </c>
      <c r="H4864" s="13">
        <v>0</v>
      </c>
      <c r="I4864" s="13"/>
      <c r="J4864" s="13"/>
      <c r="K4864" s="13"/>
      <c r="L4864" s="15">
        <v>0</v>
      </c>
    </row>
    <row r="4865" spans="1:12">
      <c r="A4865" s="12"/>
      <c r="E4865" s="14"/>
      <c r="F4865" s="14"/>
      <c r="G4865" s="13">
        <v>0</v>
      </c>
      <c r="H4865" s="13">
        <v>0</v>
      </c>
      <c r="I4865" s="13"/>
      <c r="J4865" s="13"/>
      <c r="K4865" s="13"/>
      <c r="L4865" s="15">
        <v>0</v>
      </c>
    </row>
    <row r="4866" spans="1:12">
      <c r="A4866" s="12"/>
      <c r="E4866" s="14"/>
      <c r="F4866" s="14"/>
      <c r="G4866" s="13">
        <v>0</v>
      </c>
      <c r="H4866" s="13">
        <v>0</v>
      </c>
      <c r="I4866" s="13"/>
      <c r="J4866" s="13"/>
      <c r="K4866" s="13"/>
      <c r="L4866" s="15">
        <v>0</v>
      </c>
    </row>
    <row r="4867" spans="1:12">
      <c r="A4867" s="12"/>
      <c r="E4867" s="14"/>
      <c r="F4867" s="14"/>
      <c r="G4867" s="13">
        <v>0</v>
      </c>
      <c r="H4867" s="13">
        <v>0</v>
      </c>
      <c r="I4867" s="13"/>
      <c r="J4867" s="13"/>
      <c r="K4867" s="13"/>
      <c r="L4867" s="15">
        <v>0</v>
      </c>
    </row>
    <row r="4868" spans="1:12">
      <c r="A4868" s="12"/>
      <c r="E4868" s="14"/>
      <c r="F4868" s="14"/>
      <c r="G4868" s="13">
        <v>0</v>
      </c>
      <c r="H4868" s="13">
        <v>0</v>
      </c>
      <c r="I4868" s="13"/>
      <c r="J4868" s="13"/>
      <c r="K4868" s="13"/>
      <c r="L4868" s="15">
        <v>0</v>
      </c>
    </row>
    <row r="4869" spans="1:12">
      <c r="A4869" s="12"/>
      <c r="E4869" s="14"/>
      <c r="F4869" s="14"/>
      <c r="G4869" s="13">
        <v>0</v>
      </c>
      <c r="H4869" s="13">
        <v>0</v>
      </c>
      <c r="I4869" s="13"/>
      <c r="J4869" s="13"/>
      <c r="K4869" s="13"/>
      <c r="L4869" s="15">
        <v>0</v>
      </c>
    </row>
    <row r="4870" spans="1:12">
      <c r="A4870" s="12"/>
      <c r="E4870" s="14"/>
      <c r="F4870" s="14"/>
      <c r="G4870" s="13">
        <v>0</v>
      </c>
      <c r="H4870" s="13">
        <v>0</v>
      </c>
      <c r="I4870" s="13"/>
      <c r="J4870" s="13"/>
      <c r="K4870" s="13"/>
      <c r="L4870" s="15">
        <v>0</v>
      </c>
    </row>
    <row r="4871" spans="1:12">
      <c r="A4871" s="12"/>
      <c r="E4871" s="14"/>
      <c r="F4871" s="14"/>
      <c r="G4871" s="13">
        <v>0</v>
      </c>
      <c r="H4871" s="13">
        <v>0</v>
      </c>
      <c r="I4871" s="13"/>
      <c r="J4871" s="13"/>
      <c r="K4871" s="13"/>
      <c r="L4871" s="15">
        <v>0</v>
      </c>
    </row>
    <row r="4872" spans="1:12">
      <c r="A4872" s="12"/>
      <c r="E4872" s="14"/>
      <c r="F4872" s="14"/>
      <c r="G4872" s="13">
        <v>0</v>
      </c>
      <c r="H4872" s="13">
        <v>0</v>
      </c>
      <c r="I4872" s="13"/>
      <c r="J4872" s="13"/>
      <c r="K4872" s="13"/>
      <c r="L4872" s="15">
        <v>0</v>
      </c>
    </row>
    <row r="4873" spans="1:12">
      <c r="A4873" s="12"/>
      <c r="E4873" s="14"/>
      <c r="F4873" s="14"/>
      <c r="G4873" s="13">
        <v>0</v>
      </c>
      <c r="H4873" s="13">
        <v>0</v>
      </c>
      <c r="I4873" s="13"/>
      <c r="J4873" s="13"/>
      <c r="K4873" s="13"/>
      <c r="L4873" s="15">
        <v>0</v>
      </c>
    </row>
    <row r="4874" spans="1:12">
      <c r="A4874" s="12"/>
      <c r="E4874" s="14"/>
      <c r="F4874" s="14"/>
      <c r="G4874" s="13">
        <v>0</v>
      </c>
      <c r="H4874" s="13">
        <v>0</v>
      </c>
      <c r="I4874" s="13"/>
      <c r="J4874" s="13"/>
      <c r="K4874" s="13"/>
      <c r="L4874" s="15">
        <v>0</v>
      </c>
    </row>
    <row r="4875" spans="1:12">
      <c r="A4875" s="12"/>
      <c r="E4875" s="14"/>
      <c r="F4875" s="14"/>
      <c r="G4875" s="13">
        <v>0</v>
      </c>
      <c r="H4875" s="13">
        <v>0</v>
      </c>
      <c r="I4875" s="13"/>
      <c r="J4875" s="13"/>
      <c r="K4875" s="13"/>
      <c r="L4875" s="15">
        <v>0</v>
      </c>
    </row>
    <row r="4876" spans="1:12">
      <c r="A4876" s="12"/>
      <c r="E4876" s="14"/>
      <c r="F4876" s="14"/>
      <c r="G4876" s="13">
        <v>0</v>
      </c>
      <c r="H4876" s="13">
        <v>0</v>
      </c>
      <c r="I4876" s="13"/>
      <c r="J4876" s="13"/>
      <c r="K4876" s="13"/>
      <c r="L4876" s="15">
        <v>0</v>
      </c>
    </row>
    <row r="4877" spans="1:12">
      <c r="A4877" s="12"/>
      <c r="E4877" s="14"/>
      <c r="F4877" s="14"/>
      <c r="G4877" s="13">
        <v>0</v>
      </c>
      <c r="H4877" s="13">
        <v>0</v>
      </c>
      <c r="I4877" s="13"/>
      <c r="J4877" s="13"/>
      <c r="K4877" s="13"/>
      <c r="L4877" s="15">
        <v>0</v>
      </c>
    </row>
    <row r="4878" spans="1:12">
      <c r="A4878" s="12"/>
      <c r="E4878" s="14"/>
      <c r="F4878" s="14"/>
      <c r="G4878" s="13">
        <v>0</v>
      </c>
      <c r="H4878" s="13">
        <v>0</v>
      </c>
      <c r="I4878" s="13"/>
      <c r="J4878" s="13"/>
      <c r="K4878" s="13"/>
      <c r="L4878" s="15">
        <v>0</v>
      </c>
    </row>
    <row r="4879" spans="1:12">
      <c r="A4879" s="12"/>
      <c r="E4879" s="14"/>
      <c r="F4879" s="14"/>
      <c r="G4879" s="13">
        <v>0</v>
      </c>
      <c r="H4879" s="13">
        <v>0</v>
      </c>
      <c r="I4879" s="13"/>
      <c r="J4879" s="13"/>
      <c r="K4879" s="13"/>
      <c r="L4879" s="15">
        <v>0</v>
      </c>
    </row>
    <row r="4880" spans="1:12">
      <c r="A4880" s="12"/>
      <c r="E4880" s="14"/>
      <c r="F4880" s="14"/>
      <c r="G4880" s="13">
        <v>0</v>
      </c>
      <c r="H4880" s="13">
        <v>0</v>
      </c>
      <c r="I4880" s="13"/>
      <c r="J4880" s="13"/>
      <c r="K4880" s="13"/>
      <c r="L4880" s="15">
        <v>0</v>
      </c>
    </row>
    <row r="4881" spans="1:12">
      <c r="A4881" s="12"/>
      <c r="E4881" s="14"/>
      <c r="F4881" s="14"/>
      <c r="G4881" s="13">
        <v>0</v>
      </c>
      <c r="H4881" s="13">
        <v>0</v>
      </c>
      <c r="I4881" s="13"/>
      <c r="J4881" s="13"/>
      <c r="K4881" s="13"/>
      <c r="L4881" s="15">
        <v>0</v>
      </c>
    </row>
    <row r="4882" spans="1:12">
      <c r="A4882" s="12"/>
      <c r="E4882" s="14"/>
      <c r="F4882" s="14"/>
      <c r="G4882" s="13">
        <v>0</v>
      </c>
      <c r="H4882" s="13">
        <v>0</v>
      </c>
      <c r="I4882" s="13"/>
      <c r="J4882" s="13"/>
      <c r="K4882" s="13"/>
      <c r="L4882" s="15">
        <v>0</v>
      </c>
    </row>
    <row r="4883" spans="1:12">
      <c r="A4883" s="12"/>
      <c r="E4883" s="14"/>
      <c r="F4883" s="14"/>
      <c r="G4883" s="13">
        <v>0</v>
      </c>
      <c r="H4883" s="13">
        <v>0</v>
      </c>
      <c r="I4883" s="13"/>
      <c r="J4883" s="13"/>
      <c r="K4883" s="13"/>
      <c r="L4883" s="15">
        <v>0</v>
      </c>
    </row>
    <row r="4884" spans="1:12">
      <c r="A4884" s="12"/>
      <c r="E4884" s="14"/>
      <c r="F4884" s="14"/>
      <c r="G4884" s="13">
        <v>0</v>
      </c>
      <c r="H4884" s="13">
        <v>0</v>
      </c>
      <c r="I4884" s="13"/>
      <c r="J4884" s="13"/>
      <c r="K4884" s="13"/>
      <c r="L4884" s="15">
        <v>0</v>
      </c>
    </row>
    <row r="4885" spans="1:12">
      <c r="A4885" s="12"/>
      <c r="E4885" s="14"/>
      <c r="F4885" s="14"/>
      <c r="G4885" s="13">
        <v>0</v>
      </c>
      <c r="H4885" s="13">
        <v>0</v>
      </c>
      <c r="I4885" s="13"/>
      <c r="J4885" s="13"/>
      <c r="K4885" s="13"/>
      <c r="L4885" s="15">
        <v>0</v>
      </c>
    </row>
    <row r="4886" spans="1:12">
      <c r="A4886" s="12"/>
      <c r="E4886" s="14"/>
      <c r="F4886" s="14"/>
      <c r="G4886" s="13">
        <v>0</v>
      </c>
      <c r="H4886" s="13">
        <v>0</v>
      </c>
      <c r="I4886" s="13"/>
      <c r="J4886" s="13"/>
      <c r="K4886" s="13"/>
      <c r="L4886" s="15">
        <v>0</v>
      </c>
    </row>
    <row r="4887" spans="1:12">
      <c r="A4887" s="12"/>
      <c r="E4887" s="14"/>
      <c r="F4887" s="14"/>
      <c r="G4887" s="13">
        <v>0</v>
      </c>
      <c r="H4887" s="13">
        <v>0</v>
      </c>
      <c r="I4887" s="13"/>
      <c r="J4887" s="13"/>
      <c r="K4887" s="13"/>
      <c r="L4887" s="15">
        <v>0</v>
      </c>
    </row>
    <row r="4888" spans="1:12">
      <c r="A4888" s="12"/>
      <c r="E4888" s="14"/>
      <c r="F4888" s="14"/>
      <c r="G4888" s="13">
        <v>0</v>
      </c>
      <c r="H4888" s="13">
        <v>0</v>
      </c>
      <c r="I4888" s="13"/>
      <c r="J4888" s="13"/>
      <c r="K4888" s="13"/>
      <c r="L4888" s="15">
        <v>0</v>
      </c>
    </row>
    <row r="4889" spans="1:12">
      <c r="A4889" s="12"/>
      <c r="E4889" s="14"/>
      <c r="F4889" s="14"/>
      <c r="G4889" s="13">
        <v>0</v>
      </c>
      <c r="H4889" s="13">
        <v>0</v>
      </c>
      <c r="I4889" s="13"/>
      <c r="J4889" s="13"/>
      <c r="K4889" s="13"/>
      <c r="L4889" s="15">
        <v>0</v>
      </c>
    </row>
    <row r="4890" spans="1:12">
      <c r="A4890" s="12"/>
      <c r="E4890" s="14"/>
      <c r="F4890" s="14"/>
      <c r="G4890" s="13">
        <v>0</v>
      </c>
      <c r="H4890" s="13">
        <v>0</v>
      </c>
      <c r="I4890" s="13"/>
      <c r="J4890" s="13"/>
      <c r="K4890" s="13"/>
      <c r="L4890" s="15">
        <v>0</v>
      </c>
    </row>
    <row r="4891" spans="1:12">
      <c r="A4891" s="12"/>
      <c r="E4891" s="14"/>
      <c r="F4891" s="14"/>
      <c r="G4891" s="13">
        <v>0</v>
      </c>
      <c r="H4891" s="13">
        <v>0</v>
      </c>
      <c r="I4891" s="13"/>
      <c r="J4891" s="13"/>
      <c r="K4891" s="13"/>
      <c r="L4891" s="15">
        <v>0</v>
      </c>
    </row>
    <row r="4892" spans="1:12">
      <c r="A4892" s="12"/>
      <c r="E4892" s="14"/>
      <c r="F4892" s="14"/>
      <c r="G4892" s="13">
        <v>0</v>
      </c>
      <c r="H4892" s="13">
        <v>0</v>
      </c>
      <c r="I4892" s="13"/>
      <c r="J4892" s="13"/>
      <c r="K4892" s="13"/>
      <c r="L4892" s="15">
        <v>0</v>
      </c>
    </row>
    <row r="4893" spans="1:12">
      <c r="A4893" s="12"/>
      <c r="E4893" s="14"/>
      <c r="F4893" s="14"/>
      <c r="G4893" s="13">
        <v>0</v>
      </c>
      <c r="H4893" s="13">
        <v>0</v>
      </c>
      <c r="I4893" s="13"/>
      <c r="J4893" s="13"/>
      <c r="K4893" s="13"/>
      <c r="L4893" s="15">
        <v>0</v>
      </c>
    </row>
    <row r="4894" spans="1:12">
      <c r="A4894" s="12"/>
      <c r="E4894" s="14"/>
      <c r="F4894" s="14"/>
      <c r="G4894" s="13">
        <v>0</v>
      </c>
      <c r="H4894" s="13">
        <v>0</v>
      </c>
      <c r="I4894" s="13"/>
      <c r="J4894" s="13"/>
      <c r="K4894" s="13"/>
      <c r="L4894" s="15">
        <v>0</v>
      </c>
    </row>
    <row r="4895" spans="1:12">
      <c r="A4895" s="12"/>
      <c r="E4895" s="14"/>
      <c r="F4895" s="14"/>
      <c r="G4895" s="13">
        <v>0</v>
      </c>
      <c r="H4895" s="13">
        <v>0</v>
      </c>
      <c r="I4895" s="13"/>
      <c r="J4895" s="13"/>
      <c r="K4895" s="13"/>
      <c r="L4895" s="15">
        <v>0</v>
      </c>
    </row>
    <row r="4896" spans="1:12">
      <c r="A4896" s="12"/>
      <c r="E4896" s="14"/>
      <c r="F4896" s="14"/>
      <c r="G4896" s="13">
        <v>0</v>
      </c>
      <c r="H4896" s="13">
        <v>0</v>
      </c>
      <c r="I4896" s="13"/>
      <c r="J4896" s="13"/>
      <c r="K4896" s="13"/>
      <c r="L4896" s="15">
        <v>0</v>
      </c>
    </row>
    <row r="4897" spans="1:12">
      <c r="A4897" s="12"/>
      <c r="E4897" s="14"/>
      <c r="F4897" s="14"/>
      <c r="G4897" s="13">
        <v>0</v>
      </c>
      <c r="H4897" s="13">
        <v>0</v>
      </c>
      <c r="I4897" s="13"/>
      <c r="J4897" s="13"/>
      <c r="K4897" s="13"/>
      <c r="L4897" s="15">
        <v>0</v>
      </c>
    </row>
    <row r="4898" spans="1:12">
      <c r="A4898" s="12"/>
      <c r="E4898" s="14"/>
      <c r="F4898" s="14"/>
      <c r="G4898" s="13">
        <v>0</v>
      </c>
      <c r="H4898" s="13">
        <v>0</v>
      </c>
      <c r="I4898" s="13"/>
      <c r="J4898" s="13"/>
      <c r="K4898" s="13"/>
      <c r="L4898" s="15">
        <v>0</v>
      </c>
    </row>
    <row r="4899" spans="1:12">
      <c r="A4899" s="12"/>
      <c r="E4899" s="14"/>
      <c r="F4899" s="14"/>
      <c r="G4899" s="13">
        <v>0</v>
      </c>
      <c r="H4899" s="13">
        <v>0</v>
      </c>
      <c r="I4899" s="13"/>
      <c r="J4899" s="13"/>
      <c r="K4899" s="13"/>
      <c r="L4899" s="15">
        <v>0</v>
      </c>
    </row>
    <row r="4900" spans="1:12">
      <c r="A4900" s="12"/>
      <c r="E4900" s="14"/>
      <c r="F4900" s="14"/>
      <c r="G4900" s="13">
        <v>0</v>
      </c>
      <c r="H4900" s="13">
        <v>0</v>
      </c>
      <c r="I4900" s="13"/>
      <c r="J4900" s="13"/>
      <c r="K4900" s="13"/>
      <c r="L4900" s="15">
        <v>0</v>
      </c>
    </row>
    <row r="4901" spans="1:12">
      <c r="A4901" s="12"/>
      <c r="E4901" s="14"/>
      <c r="F4901" s="14"/>
      <c r="G4901" s="13">
        <v>0</v>
      </c>
      <c r="H4901" s="13">
        <v>0</v>
      </c>
      <c r="I4901" s="13"/>
      <c r="J4901" s="13"/>
      <c r="K4901" s="13"/>
      <c r="L4901" s="15">
        <v>0</v>
      </c>
    </row>
    <row r="4902" spans="1:12">
      <c r="A4902" s="12"/>
      <c r="E4902" s="14"/>
      <c r="F4902" s="14"/>
      <c r="G4902" s="13">
        <v>0</v>
      </c>
      <c r="H4902" s="13">
        <v>0</v>
      </c>
      <c r="I4902" s="13"/>
      <c r="J4902" s="13"/>
      <c r="K4902" s="13"/>
      <c r="L4902" s="15">
        <v>0</v>
      </c>
    </row>
    <row r="4903" spans="1:12">
      <c r="A4903" s="12"/>
      <c r="E4903" s="14"/>
      <c r="F4903" s="14"/>
      <c r="G4903" s="13">
        <v>0</v>
      </c>
      <c r="H4903" s="13">
        <v>0</v>
      </c>
      <c r="I4903" s="13"/>
      <c r="J4903" s="13"/>
      <c r="K4903" s="13"/>
      <c r="L4903" s="15">
        <v>0</v>
      </c>
    </row>
    <row r="4904" spans="1:12">
      <c r="A4904" s="12"/>
      <c r="E4904" s="14"/>
      <c r="F4904" s="14"/>
      <c r="G4904" s="13">
        <v>0</v>
      </c>
      <c r="H4904" s="13">
        <v>0</v>
      </c>
      <c r="I4904" s="13"/>
      <c r="J4904" s="13"/>
      <c r="K4904" s="13"/>
      <c r="L4904" s="15">
        <v>0</v>
      </c>
    </row>
    <row r="4905" spans="1:12">
      <c r="A4905" s="12"/>
      <c r="E4905" s="14"/>
      <c r="F4905" s="14"/>
      <c r="G4905" s="13">
        <v>0</v>
      </c>
      <c r="H4905" s="13">
        <v>0</v>
      </c>
      <c r="I4905" s="13"/>
      <c r="J4905" s="13"/>
      <c r="K4905" s="13"/>
      <c r="L4905" s="15">
        <v>0</v>
      </c>
    </row>
    <row r="4906" spans="1:12">
      <c r="A4906" s="12"/>
      <c r="E4906" s="14"/>
      <c r="F4906" s="14"/>
      <c r="G4906" s="13">
        <v>0</v>
      </c>
      <c r="H4906" s="13">
        <v>0</v>
      </c>
      <c r="I4906" s="13"/>
      <c r="J4906" s="13"/>
      <c r="K4906" s="13"/>
      <c r="L4906" s="15">
        <v>0</v>
      </c>
    </row>
    <row r="4907" spans="1:12">
      <c r="A4907" s="12"/>
      <c r="E4907" s="14"/>
      <c r="F4907" s="14"/>
      <c r="G4907" s="13">
        <v>0</v>
      </c>
      <c r="H4907" s="13">
        <v>0</v>
      </c>
      <c r="I4907" s="13"/>
      <c r="J4907" s="13"/>
      <c r="K4907" s="13"/>
      <c r="L4907" s="15">
        <v>0</v>
      </c>
    </row>
    <row r="4908" spans="1:12">
      <c r="A4908" s="12"/>
      <c r="E4908" s="14"/>
      <c r="F4908" s="14"/>
      <c r="G4908" s="13">
        <v>0</v>
      </c>
      <c r="H4908" s="13">
        <v>0</v>
      </c>
      <c r="I4908" s="13"/>
      <c r="J4908" s="13"/>
      <c r="K4908" s="13"/>
      <c r="L4908" s="15">
        <v>0</v>
      </c>
    </row>
    <row r="4909" spans="1:12">
      <c r="A4909" s="12"/>
      <c r="E4909" s="14"/>
      <c r="F4909" s="14"/>
      <c r="G4909" s="13">
        <v>0</v>
      </c>
      <c r="H4909" s="13">
        <v>0</v>
      </c>
      <c r="I4909" s="13"/>
      <c r="J4909" s="13"/>
      <c r="K4909" s="13"/>
      <c r="L4909" s="15">
        <v>0</v>
      </c>
    </row>
    <row r="4910" spans="1:12">
      <c r="A4910" s="12"/>
      <c r="E4910" s="14"/>
      <c r="F4910" s="14"/>
      <c r="G4910" s="13">
        <v>0</v>
      </c>
      <c r="H4910" s="13">
        <v>0</v>
      </c>
      <c r="I4910" s="13"/>
      <c r="J4910" s="13"/>
      <c r="K4910" s="13"/>
      <c r="L4910" s="15">
        <v>0</v>
      </c>
    </row>
    <row r="4911" spans="1:12">
      <c r="A4911" s="12"/>
      <c r="E4911" s="14"/>
      <c r="F4911" s="14"/>
      <c r="G4911" s="13">
        <v>0</v>
      </c>
      <c r="H4911" s="13">
        <v>0</v>
      </c>
      <c r="I4911" s="13"/>
      <c r="J4911" s="13"/>
      <c r="K4911" s="13"/>
      <c r="L4911" s="15">
        <v>0</v>
      </c>
    </row>
    <row r="4912" spans="1:12">
      <c r="A4912" s="12"/>
      <c r="E4912" s="14"/>
      <c r="F4912" s="14"/>
      <c r="G4912" s="13">
        <v>0</v>
      </c>
      <c r="H4912" s="13">
        <v>0</v>
      </c>
      <c r="I4912" s="13"/>
      <c r="J4912" s="13"/>
      <c r="K4912" s="13"/>
      <c r="L4912" s="15">
        <v>0</v>
      </c>
    </row>
    <row r="4913" spans="1:12">
      <c r="A4913" s="12"/>
      <c r="E4913" s="14"/>
      <c r="F4913" s="14"/>
      <c r="G4913" s="13">
        <v>0</v>
      </c>
      <c r="H4913" s="13">
        <v>0</v>
      </c>
      <c r="I4913" s="13"/>
      <c r="J4913" s="13"/>
      <c r="K4913" s="13"/>
      <c r="L4913" s="15">
        <v>0</v>
      </c>
    </row>
    <row r="4914" spans="1:12">
      <c r="A4914" s="12"/>
      <c r="E4914" s="14"/>
      <c r="F4914" s="14"/>
      <c r="G4914" s="13">
        <v>0</v>
      </c>
      <c r="H4914" s="13">
        <v>0</v>
      </c>
      <c r="I4914" s="13"/>
      <c r="J4914" s="13"/>
      <c r="K4914" s="13"/>
      <c r="L4914" s="15">
        <v>0</v>
      </c>
    </row>
    <row r="4915" spans="1:12">
      <c r="A4915" s="12"/>
      <c r="E4915" s="14"/>
      <c r="F4915" s="14"/>
      <c r="G4915" s="13">
        <v>0</v>
      </c>
      <c r="H4915" s="13">
        <v>0</v>
      </c>
      <c r="I4915" s="13"/>
      <c r="J4915" s="13"/>
      <c r="K4915" s="13"/>
      <c r="L4915" s="15">
        <v>0</v>
      </c>
    </row>
    <row r="4916" spans="1:12">
      <c r="A4916" s="12"/>
      <c r="E4916" s="14"/>
      <c r="F4916" s="14"/>
      <c r="G4916" s="13">
        <v>0</v>
      </c>
      <c r="H4916" s="13">
        <v>0</v>
      </c>
      <c r="I4916" s="13"/>
      <c r="J4916" s="13"/>
      <c r="K4916" s="13"/>
      <c r="L4916" s="15">
        <v>0</v>
      </c>
    </row>
    <row r="4917" spans="1:12">
      <c r="A4917" s="12"/>
      <c r="E4917" s="14"/>
      <c r="F4917" s="14"/>
      <c r="G4917" s="13">
        <v>0</v>
      </c>
      <c r="H4917" s="13">
        <v>0</v>
      </c>
      <c r="I4917" s="13"/>
      <c r="J4917" s="13"/>
      <c r="K4917" s="13"/>
      <c r="L4917" s="15">
        <v>0</v>
      </c>
    </row>
    <row r="4918" spans="1:12">
      <c r="A4918" s="12"/>
      <c r="E4918" s="14"/>
      <c r="F4918" s="14"/>
      <c r="G4918" s="13">
        <v>0</v>
      </c>
      <c r="H4918" s="13">
        <v>0</v>
      </c>
      <c r="I4918" s="13"/>
      <c r="J4918" s="13"/>
      <c r="K4918" s="13"/>
      <c r="L4918" s="15">
        <v>0</v>
      </c>
    </row>
    <row r="4919" spans="1:12">
      <c r="A4919" s="12"/>
      <c r="E4919" s="14"/>
      <c r="F4919" s="14"/>
      <c r="G4919" s="13">
        <v>0</v>
      </c>
      <c r="H4919" s="13">
        <v>0</v>
      </c>
      <c r="I4919" s="13"/>
      <c r="J4919" s="13"/>
      <c r="K4919" s="13"/>
      <c r="L4919" s="15">
        <v>0</v>
      </c>
    </row>
    <row r="4920" spans="1:12">
      <c r="A4920" s="12"/>
      <c r="E4920" s="14"/>
      <c r="F4920" s="14"/>
      <c r="G4920" s="13">
        <v>0</v>
      </c>
      <c r="H4920" s="13">
        <v>0</v>
      </c>
      <c r="I4920" s="13"/>
      <c r="J4920" s="13"/>
      <c r="K4920" s="13"/>
      <c r="L4920" s="15">
        <v>0</v>
      </c>
    </row>
    <row r="4921" spans="1:12">
      <c r="A4921" s="12"/>
      <c r="E4921" s="14"/>
      <c r="F4921" s="14"/>
      <c r="G4921" s="13">
        <v>0</v>
      </c>
      <c r="H4921" s="13">
        <v>0</v>
      </c>
      <c r="I4921" s="13"/>
      <c r="J4921" s="13"/>
      <c r="K4921" s="13"/>
      <c r="L4921" s="15">
        <v>0</v>
      </c>
    </row>
    <row r="4922" spans="1:12">
      <c r="A4922" s="12"/>
      <c r="E4922" s="14"/>
      <c r="F4922" s="14"/>
      <c r="G4922" s="13">
        <v>0</v>
      </c>
      <c r="H4922" s="13">
        <v>0</v>
      </c>
      <c r="I4922" s="13"/>
      <c r="J4922" s="13"/>
      <c r="K4922" s="13"/>
      <c r="L4922" s="15">
        <v>0</v>
      </c>
    </row>
    <row r="4923" spans="1:12">
      <c r="A4923" s="12"/>
      <c r="E4923" s="14"/>
      <c r="F4923" s="14"/>
      <c r="G4923" s="13">
        <v>0</v>
      </c>
      <c r="H4923" s="13">
        <v>0</v>
      </c>
      <c r="I4923" s="13"/>
      <c r="J4923" s="13"/>
      <c r="K4923" s="13"/>
      <c r="L4923" s="15">
        <v>0</v>
      </c>
    </row>
    <row r="4924" spans="1:12">
      <c r="A4924" s="12"/>
      <c r="E4924" s="14"/>
      <c r="F4924" s="14"/>
      <c r="G4924" s="13">
        <v>0</v>
      </c>
      <c r="H4924" s="13">
        <v>0</v>
      </c>
      <c r="I4924" s="13"/>
      <c r="J4924" s="13"/>
      <c r="K4924" s="13"/>
      <c r="L4924" s="15">
        <v>0</v>
      </c>
    </row>
    <row r="4925" spans="1:12">
      <c r="A4925" s="12"/>
      <c r="E4925" s="14"/>
      <c r="F4925" s="14"/>
      <c r="G4925" s="13">
        <v>0</v>
      </c>
      <c r="H4925" s="13">
        <v>0</v>
      </c>
      <c r="I4925" s="13"/>
      <c r="J4925" s="13"/>
      <c r="K4925" s="13"/>
      <c r="L4925" s="15">
        <v>0</v>
      </c>
    </row>
    <row r="4926" spans="1:12">
      <c r="A4926" s="12"/>
      <c r="E4926" s="14"/>
      <c r="F4926" s="14"/>
      <c r="G4926" s="13">
        <v>0</v>
      </c>
      <c r="H4926" s="13">
        <v>0</v>
      </c>
      <c r="I4926" s="13"/>
      <c r="J4926" s="13"/>
      <c r="K4926" s="13"/>
      <c r="L4926" s="15">
        <v>0</v>
      </c>
    </row>
    <row r="4927" spans="1:12">
      <c r="A4927" s="12"/>
      <c r="E4927" s="14"/>
      <c r="F4927" s="14"/>
      <c r="G4927" s="13">
        <v>0</v>
      </c>
      <c r="H4927" s="13">
        <v>0</v>
      </c>
      <c r="I4927" s="13"/>
      <c r="J4927" s="13"/>
      <c r="K4927" s="13"/>
      <c r="L4927" s="15">
        <v>0</v>
      </c>
    </row>
    <row r="4928" spans="1:12">
      <c r="A4928" s="12"/>
      <c r="E4928" s="14"/>
      <c r="F4928" s="14"/>
      <c r="G4928" s="13">
        <v>0</v>
      </c>
      <c r="H4928" s="13">
        <v>0</v>
      </c>
      <c r="I4928" s="13"/>
      <c r="J4928" s="13"/>
      <c r="K4928" s="13"/>
      <c r="L4928" s="15">
        <v>0</v>
      </c>
    </row>
    <row r="4929" spans="1:12">
      <c r="A4929" s="12"/>
      <c r="E4929" s="14"/>
      <c r="F4929" s="14"/>
      <c r="G4929" s="13">
        <v>0</v>
      </c>
      <c r="H4929" s="13">
        <v>0</v>
      </c>
      <c r="I4929" s="13"/>
      <c r="J4929" s="13"/>
      <c r="K4929" s="13"/>
      <c r="L4929" s="15">
        <v>0</v>
      </c>
    </row>
    <row r="4930" spans="1:12">
      <c r="A4930" s="12"/>
      <c r="E4930" s="14"/>
      <c r="F4930" s="14"/>
      <c r="G4930" s="13">
        <v>0</v>
      </c>
      <c r="H4930" s="13">
        <v>0</v>
      </c>
      <c r="I4930" s="13"/>
      <c r="J4930" s="13"/>
      <c r="K4930" s="13"/>
      <c r="L4930" s="15">
        <v>0</v>
      </c>
    </row>
    <row r="4931" spans="1:12">
      <c r="A4931" s="12"/>
      <c r="E4931" s="14"/>
      <c r="F4931" s="14"/>
      <c r="G4931" s="13">
        <v>0</v>
      </c>
      <c r="H4931" s="13">
        <v>0</v>
      </c>
      <c r="I4931" s="13"/>
      <c r="J4931" s="13"/>
      <c r="K4931" s="13"/>
      <c r="L4931" s="15">
        <v>0</v>
      </c>
    </row>
    <row r="4932" spans="1:12">
      <c r="A4932" s="12"/>
      <c r="E4932" s="14"/>
      <c r="F4932" s="14"/>
      <c r="G4932" s="13">
        <v>0</v>
      </c>
      <c r="H4932" s="13">
        <v>0</v>
      </c>
      <c r="I4932" s="13"/>
      <c r="J4932" s="13"/>
      <c r="K4932" s="13"/>
      <c r="L4932" s="15">
        <v>0</v>
      </c>
    </row>
    <row r="4933" spans="1:12">
      <c r="A4933" s="12"/>
      <c r="E4933" s="14"/>
      <c r="F4933" s="14"/>
      <c r="G4933" s="13">
        <v>0</v>
      </c>
      <c r="H4933" s="13">
        <v>0</v>
      </c>
      <c r="I4933" s="13"/>
      <c r="J4933" s="13"/>
      <c r="K4933" s="13"/>
      <c r="L4933" s="15">
        <v>0</v>
      </c>
    </row>
    <row r="4934" spans="1:12">
      <c r="A4934" s="12"/>
      <c r="E4934" s="14"/>
      <c r="F4934" s="14"/>
      <c r="G4934" s="13">
        <v>0</v>
      </c>
      <c r="H4934" s="13">
        <v>0</v>
      </c>
      <c r="I4934" s="13"/>
      <c r="J4934" s="13"/>
      <c r="K4934" s="13"/>
      <c r="L4934" s="15">
        <v>0</v>
      </c>
    </row>
    <row r="4935" spans="1:12">
      <c r="A4935" s="12"/>
      <c r="E4935" s="14"/>
      <c r="F4935" s="14"/>
      <c r="G4935" s="13">
        <v>0</v>
      </c>
      <c r="H4935" s="13">
        <v>0</v>
      </c>
      <c r="I4935" s="13"/>
      <c r="J4935" s="13"/>
      <c r="K4935" s="13"/>
      <c r="L4935" s="15">
        <v>0</v>
      </c>
    </row>
    <row r="4936" spans="1:12">
      <c r="A4936" s="12"/>
      <c r="E4936" s="14"/>
      <c r="F4936" s="14"/>
      <c r="G4936" s="13">
        <v>0</v>
      </c>
      <c r="H4936" s="13">
        <v>0</v>
      </c>
      <c r="I4936" s="13"/>
      <c r="J4936" s="13"/>
      <c r="K4936" s="13"/>
      <c r="L4936" s="15">
        <v>0</v>
      </c>
    </row>
    <row r="4937" spans="1:12">
      <c r="A4937" s="12"/>
      <c r="E4937" s="14"/>
      <c r="F4937" s="14"/>
      <c r="G4937" s="13">
        <v>0</v>
      </c>
      <c r="H4937" s="13">
        <v>0</v>
      </c>
      <c r="I4937" s="13"/>
      <c r="J4937" s="13"/>
      <c r="K4937" s="13"/>
      <c r="L4937" s="15">
        <v>0</v>
      </c>
    </row>
    <row r="4938" spans="1:12">
      <c r="A4938" s="12"/>
      <c r="E4938" s="14"/>
      <c r="F4938" s="14"/>
      <c r="G4938" s="13">
        <v>0</v>
      </c>
      <c r="H4938" s="13">
        <v>0</v>
      </c>
      <c r="I4938" s="13"/>
      <c r="J4938" s="13"/>
      <c r="K4938" s="13"/>
      <c r="L4938" s="15">
        <v>0</v>
      </c>
    </row>
    <row r="4939" spans="1:12">
      <c r="A4939" s="12"/>
      <c r="E4939" s="14"/>
      <c r="F4939" s="14"/>
      <c r="G4939" s="13">
        <v>0</v>
      </c>
      <c r="H4939" s="13">
        <v>0</v>
      </c>
      <c r="I4939" s="13"/>
      <c r="J4939" s="13"/>
      <c r="K4939" s="13"/>
      <c r="L4939" s="15">
        <v>0</v>
      </c>
    </row>
    <row r="4940" spans="1:12">
      <c r="A4940" s="12"/>
      <c r="E4940" s="14"/>
      <c r="F4940" s="14"/>
      <c r="G4940" s="13">
        <v>0</v>
      </c>
      <c r="H4940" s="13">
        <v>0</v>
      </c>
      <c r="I4940" s="13"/>
      <c r="J4940" s="13"/>
      <c r="K4940" s="13"/>
      <c r="L4940" s="15">
        <v>0</v>
      </c>
    </row>
    <row r="4941" spans="1:12">
      <c r="A4941" s="12"/>
      <c r="E4941" s="14"/>
      <c r="F4941" s="14"/>
      <c r="G4941" s="13">
        <v>0</v>
      </c>
      <c r="H4941" s="13">
        <v>0</v>
      </c>
      <c r="I4941" s="13"/>
      <c r="J4941" s="13"/>
      <c r="K4941" s="13"/>
      <c r="L4941" s="15">
        <v>0</v>
      </c>
    </row>
    <row r="4942" spans="1:12">
      <c r="A4942" s="12"/>
      <c r="E4942" s="14"/>
      <c r="F4942" s="14"/>
      <c r="G4942" s="13">
        <v>0</v>
      </c>
      <c r="H4942" s="13">
        <v>0</v>
      </c>
      <c r="I4942" s="13"/>
      <c r="J4942" s="13"/>
      <c r="K4942" s="13"/>
      <c r="L4942" s="15">
        <v>0</v>
      </c>
    </row>
    <row r="4943" spans="1:12">
      <c r="A4943" s="12"/>
      <c r="E4943" s="14"/>
      <c r="F4943" s="14"/>
      <c r="G4943" s="13">
        <v>0</v>
      </c>
      <c r="H4943" s="13">
        <v>0</v>
      </c>
      <c r="I4943" s="13"/>
      <c r="J4943" s="13"/>
      <c r="K4943" s="13"/>
      <c r="L4943" s="15">
        <v>0</v>
      </c>
    </row>
    <row r="4944" spans="1:12">
      <c r="A4944" s="12"/>
      <c r="E4944" s="14"/>
      <c r="F4944" s="14"/>
      <c r="G4944" s="13">
        <v>0</v>
      </c>
      <c r="H4944" s="13">
        <v>0</v>
      </c>
      <c r="I4944" s="13"/>
      <c r="J4944" s="13"/>
      <c r="K4944" s="13"/>
      <c r="L4944" s="15">
        <v>0</v>
      </c>
    </row>
    <row r="4945" spans="1:12">
      <c r="A4945" s="12"/>
      <c r="E4945" s="14"/>
      <c r="F4945" s="14"/>
      <c r="G4945" s="13">
        <v>0</v>
      </c>
      <c r="H4945" s="13">
        <v>0</v>
      </c>
      <c r="I4945" s="13"/>
      <c r="J4945" s="13"/>
      <c r="K4945" s="13"/>
      <c r="L4945" s="15">
        <v>0</v>
      </c>
    </row>
    <row r="4946" spans="1:12">
      <c r="A4946" s="12"/>
      <c r="E4946" s="14"/>
      <c r="F4946" s="14"/>
      <c r="G4946" s="13">
        <v>0</v>
      </c>
      <c r="H4946" s="13">
        <v>0</v>
      </c>
      <c r="I4946" s="13"/>
      <c r="J4946" s="13"/>
      <c r="K4946" s="13"/>
      <c r="L4946" s="15">
        <v>0</v>
      </c>
    </row>
    <row r="4947" spans="1:12">
      <c r="A4947" s="12"/>
      <c r="E4947" s="14"/>
      <c r="F4947" s="14"/>
      <c r="G4947" s="13">
        <v>0</v>
      </c>
      <c r="H4947" s="13">
        <v>0</v>
      </c>
      <c r="I4947" s="13"/>
      <c r="J4947" s="13"/>
      <c r="K4947" s="13"/>
      <c r="L4947" s="15">
        <v>0</v>
      </c>
    </row>
    <row r="4948" spans="1:12">
      <c r="A4948" s="12"/>
      <c r="E4948" s="14"/>
      <c r="F4948" s="14"/>
      <c r="G4948" s="13">
        <v>0</v>
      </c>
      <c r="H4948" s="13">
        <v>0</v>
      </c>
      <c r="I4948" s="13"/>
      <c r="J4948" s="13"/>
      <c r="K4948" s="13"/>
      <c r="L4948" s="15">
        <v>0</v>
      </c>
    </row>
    <row r="4949" spans="1:12">
      <c r="A4949" s="12"/>
      <c r="E4949" s="14"/>
      <c r="F4949" s="14"/>
      <c r="G4949" s="13">
        <v>0</v>
      </c>
      <c r="H4949" s="13">
        <v>0</v>
      </c>
      <c r="I4949" s="13"/>
      <c r="J4949" s="13"/>
      <c r="K4949" s="13"/>
      <c r="L4949" s="15">
        <v>0</v>
      </c>
    </row>
    <row r="4950" spans="1:12">
      <c r="A4950" s="12"/>
      <c r="E4950" s="14"/>
      <c r="F4950" s="14"/>
      <c r="G4950" s="13">
        <v>0</v>
      </c>
      <c r="H4950" s="13">
        <v>0</v>
      </c>
      <c r="I4950" s="13"/>
      <c r="J4950" s="13"/>
      <c r="K4950" s="13"/>
      <c r="L4950" s="15">
        <v>0</v>
      </c>
    </row>
    <row r="4951" spans="1:12">
      <c r="A4951" s="12"/>
      <c r="E4951" s="14"/>
      <c r="F4951" s="14"/>
      <c r="G4951" s="13">
        <v>0</v>
      </c>
      <c r="H4951" s="13">
        <v>0</v>
      </c>
      <c r="I4951" s="13"/>
      <c r="J4951" s="13"/>
      <c r="K4951" s="13"/>
      <c r="L4951" s="15">
        <v>0</v>
      </c>
    </row>
    <row r="4952" spans="1:12">
      <c r="A4952" s="12"/>
      <c r="E4952" s="14"/>
      <c r="F4952" s="14"/>
      <c r="G4952" s="13">
        <v>0</v>
      </c>
      <c r="H4952" s="13">
        <v>0</v>
      </c>
      <c r="I4952" s="13"/>
      <c r="J4952" s="13"/>
      <c r="K4952" s="13"/>
      <c r="L4952" s="15">
        <v>0</v>
      </c>
    </row>
    <row r="4953" spans="1:12">
      <c r="A4953" s="12"/>
      <c r="E4953" s="14"/>
      <c r="F4953" s="14"/>
      <c r="G4953" s="13">
        <v>0</v>
      </c>
      <c r="H4953" s="13">
        <v>0</v>
      </c>
      <c r="I4953" s="13"/>
      <c r="J4953" s="13"/>
      <c r="K4953" s="13"/>
      <c r="L4953" s="15">
        <v>0</v>
      </c>
    </row>
    <row r="4954" spans="1:12">
      <c r="A4954" s="12"/>
      <c r="E4954" s="14"/>
      <c r="F4954" s="14"/>
      <c r="G4954" s="13">
        <v>0</v>
      </c>
      <c r="H4954" s="13">
        <v>0</v>
      </c>
      <c r="I4954" s="13"/>
      <c r="J4954" s="13"/>
      <c r="K4954" s="13"/>
      <c r="L4954" s="15">
        <v>0</v>
      </c>
    </row>
    <row r="4955" spans="1:12">
      <c r="A4955" s="12"/>
      <c r="E4955" s="14"/>
      <c r="F4955" s="14"/>
      <c r="G4955" s="13">
        <v>0</v>
      </c>
      <c r="H4955" s="13">
        <v>0</v>
      </c>
      <c r="I4955" s="13"/>
      <c r="J4955" s="13"/>
      <c r="K4955" s="13"/>
      <c r="L4955" s="15">
        <v>0</v>
      </c>
    </row>
    <row r="4956" spans="1:12">
      <c r="A4956" s="12"/>
      <c r="E4956" s="14"/>
      <c r="F4956" s="14"/>
      <c r="G4956" s="13">
        <v>0</v>
      </c>
      <c r="H4956" s="13">
        <v>0</v>
      </c>
      <c r="I4956" s="13"/>
      <c r="J4956" s="13"/>
      <c r="K4956" s="13"/>
      <c r="L4956" s="15">
        <v>0</v>
      </c>
    </row>
    <row r="4957" spans="1:12">
      <c r="A4957" s="12"/>
      <c r="E4957" s="14"/>
      <c r="F4957" s="14"/>
      <c r="G4957" s="13">
        <v>0</v>
      </c>
      <c r="H4957" s="13">
        <v>0</v>
      </c>
      <c r="I4957" s="13"/>
      <c r="J4957" s="13"/>
      <c r="K4957" s="13"/>
      <c r="L4957" s="15">
        <v>0</v>
      </c>
    </row>
    <row r="4958" spans="1:12">
      <c r="A4958" s="12"/>
      <c r="E4958" s="14"/>
      <c r="F4958" s="14"/>
      <c r="G4958" s="13">
        <v>0</v>
      </c>
      <c r="H4958" s="13">
        <v>0</v>
      </c>
      <c r="I4958" s="13"/>
      <c r="J4958" s="13"/>
      <c r="K4958" s="13"/>
      <c r="L4958" s="15">
        <v>0</v>
      </c>
    </row>
    <row r="4959" spans="1:12">
      <c r="A4959" s="12"/>
      <c r="E4959" s="14"/>
      <c r="F4959" s="14"/>
      <c r="G4959" s="13">
        <v>0</v>
      </c>
      <c r="H4959" s="13">
        <v>0</v>
      </c>
      <c r="I4959" s="13"/>
      <c r="J4959" s="13"/>
      <c r="K4959" s="13"/>
      <c r="L4959" s="15">
        <v>0</v>
      </c>
    </row>
    <row r="4960" spans="1:12">
      <c r="A4960" s="12"/>
      <c r="E4960" s="14"/>
      <c r="F4960" s="14"/>
      <c r="G4960" s="13">
        <v>0</v>
      </c>
      <c r="H4960" s="13">
        <v>0</v>
      </c>
      <c r="I4960" s="13"/>
      <c r="J4960" s="13"/>
      <c r="K4960" s="13"/>
      <c r="L4960" s="15">
        <v>0</v>
      </c>
    </row>
    <row r="4961" spans="1:12">
      <c r="A4961" s="12"/>
      <c r="E4961" s="14"/>
      <c r="F4961" s="14"/>
      <c r="G4961" s="13">
        <v>0</v>
      </c>
      <c r="H4961" s="13">
        <v>0</v>
      </c>
      <c r="I4961" s="13"/>
      <c r="J4961" s="13"/>
      <c r="K4961" s="13"/>
      <c r="L4961" s="15">
        <v>0</v>
      </c>
    </row>
    <row r="4962" spans="1:12">
      <c r="A4962" s="12"/>
      <c r="E4962" s="14"/>
      <c r="F4962" s="14"/>
      <c r="G4962" s="13">
        <v>0</v>
      </c>
      <c r="H4962" s="13">
        <v>0</v>
      </c>
      <c r="I4962" s="13"/>
      <c r="J4962" s="13"/>
      <c r="K4962" s="13"/>
      <c r="L4962" s="15">
        <v>0</v>
      </c>
    </row>
    <row r="4963" spans="1:12">
      <c r="A4963" s="12"/>
      <c r="E4963" s="14"/>
      <c r="F4963" s="14"/>
      <c r="G4963" s="13">
        <v>0</v>
      </c>
      <c r="H4963" s="13">
        <v>0</v>
      </c>
      <c r="I4963" s="13"/>
      <c r="J4963" s="13"/>
      <c r="K4963" s="13"/>
      <c r="L4963" s="15">
        <v>0</v>
      </c>
    </row>
    <row r="4964" spans="1:12">
      <c r="A4964" s="12"/>
      <c r="E4964" s="14"/>
      <c r="F4964" s="14"/>
      <c r="G4964" s="13">
        <v>0</v>
      </c>
      <c r="H4964" s="13">
        <v>0</v>
      </c>
      <c r="I4964" s="13"/>
      <c r="J4964" s="13"/>
      <c r="K4964" s="13"/>
      <c r="L4964" s="15">
        <v>0</v>
      </c>
    </row>
    <row r="4965" spans="1:12">
      <c r="A4965" s="12"/>
      <c r="E4965" s="14"/>
      <c r="F4965" s="14"/>
      <c r="G4965" s="13">
        <v>0</v>
      </c>
      <c r="H4965" s="13">
        <v>0</v>
      </c>
      <c r="I4965" s="13"/>
      <c r="J4965" s="13"/>
      <c r="K4965" s="13"/>
      <c r="L4965" s="15">
        <v>0</v>
      </c>
    </row>
    <row r="4966" spans="1:12">
      <c r="A4966" s="12"/>
      <c r="E4966" s="14"/>
      <c r="F4966" s="14"/>
      <c r="G4966" s="13">
        <v>0</v>
      </c>
      <c r="H4966" s="13">
        <v>0</v>
      </c>
      <c r="I4966" s="13"/>
      <c r="J4966" s="13"/>
      <c r="K4966" s="13"/>
      <c r="L4966" s="15">
        <v>0</v>
      </c>
    </row>
    <row r="4967" spans="1:12">
      <c r="A4967" s="12"/>
      <c r="E4967" s="14"/>
      <c r="F4967" s="14"/>
      <c r="G4967" s="13">
        <v>0</v>
      </c>
      <c r="H4967" s="13">
        <v>0</v>
      </c>
      <c r="I4967" s="13"/>
      <c r="J4967" s="13"/>
      <c r="K4967" s="13"/>
      <c r="L4967" s="15">
        <v>0</v>
      </c>
    </row>
    <row r="4968" spans="1:12">
      <c r="A4968" s="12"/>
      <c r="E4968" s="14"/>
      <c r="F4968" s="14"/>
      <c r="G4968" s="13">
        <v>0</v>
      </c>
      <c r="H4968" s="13">
        <v>0</v>
      </c>
      <c r="I4968" s="13"/>
      <c r="J4968" s="13"/>
      <c r="K4968" s="13"/>
      <c r="L4968" s="15">
        <v>0</v>
      </c>
    </row>
    <row r="4969" spans="1:12">
      <c r="A4969" s="12"/>
      <c r="E4969" s="14"/>
      <c r="F4969" s="14"/>
      <c r="G4969" s="13">
        <v>0</v>
      </c>
      <c r="H4969" s="13">
        <v>0</v>
      </c>
      <c r="I4969" s="13"/>
      <c r="J4969" s="13"/>
      <c r="K4969" s="13"/>
      <c r="L4969" s="15">
        <v>0</v>
      </c>
    </row>
    <row r="4970" spans="1:12">
      <c r="A4970" s="12"/>
      <c r="E4970" s="14"/>
      <c r="F4970" s="14"/>
      <c r="G4970" s="13">
        <v>0</v>
      </c>
      <c r="H4970" s="13">
        <v>0</v>
      </c>
      <c r="I4970" s="13"/>
      <c r="J4970" s="13"/>
      <c r="K4970" s="13"/>
      <c r="L4970" s="15">
        <v>0</v>
      </c>
    </row>
    <row r="4971" spans="1:12">
      <c r="A4971" s="12"/>
      <c r="E4971" s="14"/>
      <c r="F4971" s="14"/>
      <c r="G4971" s="13">
        <v>0</v>
      </c>
      <c r="H4971" s="13">
        <v>0</v>
      </c>
      <c r="I4971" s="13"/>
      <c r="J4971" s="13"/>
      <c r="K4971" s="13"/>
      <c r="L4971" s="15">
        <v>0</v>
      </c>
    </row>
    <row r="4972" spans="1:12">
      <c r="A4972" s="12"/>
      <c r="E4972" s="14"/>
      <c r="F4972" s="14"/>
      <c r="G4972" s="13">
        <v>0</v>
      </c>
      <c r="H4972" s="13">
        <v>0</v>
      </c>
      <c r="I4972" s="13"/>
      <c r="J4972" s="13"/>
      <c r="K4972" s="13"/>
      <c r="L4972" s="15">
        <v>0</v>
      </c>
    </row>
    <row r="4973" spans="1:12">
      <c r="A4973" s="12"/>
      <c r="E4973" s="14"/>
      <c r="F4973" s="14"/>
      <c r="G4973" s="13">
        <v>0</v>
      </c>
      <c r="H4973" s="13">
        <v>0</v>
      </c>
      <c r="I4973" s="13"/>
      <c r="J4973" s="13"/>
      <c r="K4973" s="13"/>
      <c r="L4973" s="15">
        <v>0</v>
      </c>
    </row>
    <row r="4974" spans="1:12">
      <c r="A4974" s="12"/>
      <c r="E4974" s="14"/>
      <c r="F4974" s="14"/>
      <c r="G4974" s="13">
        <v>0</v>
      </c>
      <c r="H4974" s="13">
        <v>0</v>
      </c>
      <c r="I4974" s="13"/>
      <c r="J4974" s="13"/>
      <c r="K4974" s="13"/>
      <c r="L4974" s="15">
        <v>0</v>
      </c>
    </row>
    <row r="4975" spans="1:12">
      <c r="A4975" s="12"/>
      <c r="E4975" s="14"/>
      <c r="F4975" s="14"/>
      <c r="G4975" s="13">
        <v>0</v>
      </c>
      <c r="H4975" s="13">
        <v>0</v>
      </c>
      <c r="I4975" s="13"/>
      <c r="J4975" s="13"/>
      <c r="K4975" s="13"/>
      <c r="L4975" s="15">
        <v>0</v>
      </c>
    </row>
    <row r="4976" spans="1:12">
      <c r="A4976" s="12"/>
      <c r="E4976" s="14"/>
      <c r="F4976" s="14"/>
      <c r="G4976" s="13">
        <v>0</v>
      </c>
      <c r="H4976" s="13">
        <v>0</v>
      </c>
      <c r="I4976" s="13"/>
      <c r="J4976" s="13"/>
      <c r="K4976" s="13"/>
      <c r="L4976" s="15">
        <v>0</v>
      </c>
    </row>
    <row r="4977" spans="1:12">
      <c r="A4977" s="12"/>
      <c r="E4977" s="14"/>
      <c r="F4977" s="14"/>
      <c r="G4977" s="13">
        <v>0</v>
      </c>
      <c r="H4977" s="13">
        <v>0</v>
      </c>
      <c r="I4977" s="13"/>
      <c r="J4977" s="13"/>
      <c r="K4977" s="13"/>
      <c r="L4977" s="15">
        <v>0</v>
      </c>
    </row>
    <row r="4978" spans="1:12">
      <c r="A4978" s="12"/>
      <c r="E4978" s="14"/>
      <c r="F4978" s="14"/>
      <c r="G4978" s="13">
        <v>0</v>
      </c>
      <c r="H4978" s="13">
        <v>0</v>
      </c>
      <c r="I4978" s="13"/>
      <c r="J4978" s="13"/>
      <c r="K4978" s="13"/>
      <c r="L4978" s="15">
        <v>0</v>
      </c>
    </row>
    <row r="4979" spans="1:12">
      <c r="A4979" s="12"/>
      <c r="E4979" s="14"/>
      <c r="F4979" s="14"/>
      <c r="G4979" s="13">
        <v>0</v>
      </c>
      <c r="H4979" s="13">
        <v>0</v>
      </c>
      <c r="I4979" s="13"/>
      <c r="J4979" s="13"/>
      <c r="K4979" s="13"/>
      <c r="L4979" s="15">
        <v>0</v>
      </c>
    </row>
    <row r="4980" spans="1:12">
      <c r="A4980" s="12"/>
      <c r="E4980" s="14"/>
      <c r="F4980" s="14"/>
      <c r="G4980" s="13">
        <v>0</v>
      </c>
      <c r="H4980" s="13">
        <v>0</v>
      </c>
      <c r="I4980" s="13"/>
      <c r="J4980" s="13"/>
      <c r="K4980" s="13"/>
      <c r="L4980" s="15">
        <v>0</v>
      </c>
    </row>
    <row r="4981" spans="1:12">
      <c r="A4981" s="12"/>
      <c r="E4981" s="14"/>
      <c r="F4981" s="14"/>
      <c r="G4981" s="13">
        <v>0</v>
      </c>
      <c r="H4981" s="13">
        <v>0</v>
      </c>
      <c r="I4981" s="13"/>
      <c r="J4981" s="13"/>
      <c r="K4981" s="13"/>
      <c r="L4981" s="15">
        <v>0</v>
      </c>
    </row>
    <row r="4982" spans="1:12">
      <c r="A4982" s="12"/>
      <c r="E4982" s="14"/>
      <c r="F4982" s="14"/>
      <c r="G4982" s="13">
        <v>0</v>
      </c>
      <c r="H4982" s="13">
        <v>0</v>
      </c>
      <c r="I4982" s="13"/>
      <c r="J4982" s="13"/>
      <c r="K4982" s="13"/>
      <c r="L4982" s="15">
        <v>0</v>
      </c>
    </row>
    <row r="4983" spans="1:12">
      <c r="A4983" s="12"/>
      <c r="E4983" s="14"/>
      <c r="F4983" s="14"/>
      <c r="G4983" s="13">
        <v>0</v>
      </c>
      <c r="H4983" s="13">
        <v>0</v>
      </c>
      <c r="I4983" s="13"/>
      <c r="J4983" s="13"/>
      <c r="K4983" s="13"/>
      <c r="L4983" s="15">
        <v>0</v>
      </c>
    </row>
    <row r="4984" spans="1:12">
      <c r="A4984" s="12"/>
      <c r="E4984" s="14"/>
      <c r="F4984" s="14"/>
      <c r="G4984" s="13">
        <v>0</v>
      </c>
      <c r="H4984" s="13">
        <v>0</v>
      </c>
      <c r="I4984" s="13"/>
      <c r="J4984" s="13"/>
      <c r="K4984" s="13"/>
      <c r="L4984" s="15">
        <v>0</v>
      </c>
    </row>
    <row r="4985" spans="1:12">
      <c r="A4985" s="12"/>
      <c r="E4985" s="14"/>
      <c r="F4985" s="14"/>
      <c r="G4985" s="13">
        <v>0</v>
      </c>
      <c r="H4985" s="13">
        <v>0</v>
      </c>
      <c r="I4985" s="13"/>
      <c r="J4985" s="13"/>
      <c r="K4985" s="13"/>
      <c r="L4985" s="15">
        <v>0</v>
      </c>
    </row>
    <row r="4986" spans="1:12">
      <c r="A4986" s="12"/>
      <c r="E4986" s="14"/>
      <c r="F4986" s="14"/>
      <c r="G4986" s="13">
        <v>0</v>
      </c>
      <c r="H4986" s="13">
        <v>0</v>
      </c>
      <c r="I4986" s="13"/>
      <c r="J4986" s="13"/>
      <c r="K4986" s="13"/>
      <c r="L4986" s="15">
        <v>0</v>
      </c>
    </row>
    <row r="4987" spans="1:12">
      <c r="A4987" s="12"/>
      <c r="E4987" s="14"/>
      <c r="F4987" s="14"/>
      <c r="G4987" s="13">
        <v>0</v>
      </c>
      <c r="H4987" s="13">
        <v>0</v>
      </c>
      <c r="I4987" s="13"/>
      <c r="J4987" s="13"/>
      <c r="K4987" s="13"/>
      <c r="L4987" s="15">
        <v>0</v>
      </c>
    </row>
    <row r="4988" spans="1:12">
      <c r="A4988" s="12"/>
      <c r="E4988" s="14"/>
      <c r="F4988" s="14"/>
      <c r="G4988" s="13">
        <v>0</v>
      </c>
      <c r="H4988" s="13">
        <v>0</v>
      </c>
      <c r="I4988" s="13"/>
      <c r="J4988" s="13"/>
      <c r="K4988" s="13"/>
      <c r="L4988" s="15">
        <v>0</v>
      </c>
    </row>
    <row r="4989" spans="1:12">
      <c r="A4989" s="12"/>
      <c r="E4989" s="14"/>
      <c r="F4989" s="14"/>
      <c r="G4989" s="13">
        <v>0</v>
      </c>
      <c r="H4989" s="13">
        <v>0</v>
      </c>
      <c r="I4989" s="13"/>
      <c r="J4989" s="13"/>
      <c r="K4989" s="13"/>
      <c r="L4989" s="15">
        <v>0</v>
      </c>
    </row>
    <row r="4990" spans="1:12">
      <c r="A4990" s="12"/>
      <c r="E4990" s="14"/>
      <c r="F4990" s="14"/>
      <c r="G4990" s="13">
        <v>0</v>
      </c>
      <c r="H4990" s="13">
        <v>0</v>
      </c>
      <c r="I4990" s="13"/>
      <c r="J4990" s="13"/>
      <c r="K4990" s="13"/>
      <c r="L4990" s="15">
        <v>0</v>
      </c>
    </row>
    <row r="4991" spans="1:12">
      <c r="A4991" s="12"/>
      <c r="E4991" s="14"/>
      <c r="F4991" s="14"/>
      <c r="G4991" s="13">
        <v>0</v>
      </c>
      <c r="H4991" s="13">
        <v>0</v>
      </c>
      <c r="I4991" s="13"/>
      <c r="J4991" s="13"/>
      <c r="K4991" s="13"/>
      <c r="L4991" s="15">
        <v>0</v>
      </c>
    </row>
    <row r="4992" spans="1:12">
      <c r="A4992" s="12"/>
      <c r="E4992" s="14"/>
      <c r="F4992" s="14"/>
      <c r="G4992" s="13">
        <v>0</v>
      </c>
      <c r="H4992" s="13">
        <v>0</v>
      </c>
      <c r="I4992" s="13"/>
      <c r="J4992" s="13"/>
      <c r="K4992" s="13"/>
      <c r="L4992" s="15">
        <v>0</v>
      </c>
    </row>
    <row r="4993" spans="1:12">
      <c r="A4993" s="12"/>
      <c r="E4993" s="14"/>
      <c r="F4993" s="14"/>
      <c r="G4993" s="13">
        <v>0</v>
      </c>
      <c r="H4993" s="13">
        <v>0</v>
      </c>
      <c r="I4993" s="13"/>
      <c r="J4993" s="13"/>
      <c r="K4993" s="13"/>
      <c r="L4993" s="15">
        <v>0</v>
      </c>
    </row>
    <row r="4994" spans="1:12">
      <c r="A4994" s="12"/>
      <c r="E4994" s="14"/>
      <c r="F4994" s="14"/>
      <c r="G4994" s="13">
        <v>0</v>
      </c>
      <c r="H4994" s="13">
        <v>0</v>
      </c>
      <c r="I4994" s="13"/>
      <c r="J4994" s="13"/>
      <c r="K4994" s="13"/>
      <c r="L4994" s="15">
        <v>0</v>
      </c>
    </row>
    <row r="4995" spans="1:12">
      <c r="A4995" s="12"/>
      <c r="E4995" s="14"/>
      <c r="F4995" s="14"/>
      <c r="G4995" s="13">
        <v>0</v>
      </c>
      <c r="H4995" s="13">
        <v>0</v>
      </c>
      <c r="I4995" s="13"/>
      <c r="J4995" s="13"/>
      <c r="K4995" s="13"/>
      <c r="L4995" s="15">
        <v>0</v>
      </c>
    </row>
    <row r="4996" spans="1:12">
      <c r="A4996" s="12"/>
      <c r="E4996" s="14"/>
      <c r="F4996" s="14"/>
      <c r="G4996" s="13">
        <v>0</v>
      </c>
      <c r="H4996" s="13">
        <v>0</v>
      </c>
      <c r="I4996" s="13"/>
      <c r="J4996" s="13"/>
      <c r="K4996" s="13"/>
      <c r="L4996" s="15">
        <v>0</v>
      </c>
    </row>
    <row r="4997" spans="1:12">
      <c r="A4997" s="12"/>
      <c r="E4997" s="14"/>
      <c r="F4997" s="14"/>
      <c r="G4997" s="13">
        <v>0</v>
      </c>
      <c r="H4997" s="13">
        <v>0</v>
      </c>
      <c r="I4997" s="13"/>
      <c r="J4997" s="13"/>
      <c r="K4997" s="13"/>
      <c r="L4997" s="15">
        <v>0</v>
      </c>
    </row>
    <row r="4998" spans="1:12">
      <c r="A4998" s="12"/>
      <c r="E4998" s="14"/>
      <c r="F4998" s="14"/>
      <c r="G4998" s="13">
        <v>0</v>
      </c>
      <c r="H4998" s="13">
        <v>0</v>
      </c>
      <c r="I4998" s="13"/>
      <c r="J4998" s="13"/>
      <c r="K4998" s="13"/>
      <c r="L4998" s="15">
        <v>0</v>
      </c>
    </row>
    <row r="4999" spans="1:12">
      <c r="A4999" s="12"/>
      <c r="E4999" s="14"/>
      <c r="F4999" s="14"/>
      <c r="G4999" s="13">
        <v>0</v>
      </c>
      <c r="H4999" s="13">
        <v>0</v>
      </c>
      <c r="I4999" s="13"/>
      <c r="J4999" s="13"/>
      <c r="K4999" s="13"/>
      <c r="L4999" s="15">
        <v>0</v>
      </c>
    </row>
    <row r="5000" spans="1:12">
      <c r="A5000" s="12"/>
      <c r="E5000" s="14"/>
      <c r="F5000" s="14"/>
      <c r="G5000" s="13">
        <v>0</v>
      </c>
      <c r="H5000" s="13">
        <v>0</v>
      </c>
      <c r="I5000" s="13"/>
      <c r="J5000" s="13"/>
      <c r="K5000" s="13"/>
      <c r="L5000" s="15">
        <v>0</v>
      </c>
    </row>
    <row r="5001" spans="1:12">
      <c r="A5001" s="12"/>
      <c r="E5001" s="14"/>
      <c r="F5001" s="14"/>
      <c r="G5001" s="13">
        <v>0</v>
      </c>
      <c r="H5001" s="13">
        <v>0</v>
      </c>
      <c r="I5001" s="13"/>
      <c r="J5001" s="13"/>
      <c r="K5001" s="13"/>
      <c r="L5001" s="15">
        <v>0</v>
      </c>
    </row>
    <row r="5002" spans="1:12">
      <c r="A5002" s="12"/>
      <c r="E5002" s="14"/>
      <c r="F5002" s="14"/>
      <c r="G5002" s="13">
        <v>0</v>
      </c>
      <c r="H5002" s="13">
        <v>0</v>
      </c>
      <c r="I5002" s="13"/>
      <c r="J5002" s="13"/>
      <c r="K5002" s="13"/>
      <c r="L5002" s="15">
        <v>0</v>
      </c>
    </row>
    <row r="5003" spans="1:12">
      <c r="A5003" s="12"/>
      <c r="E5003" s="14"/>
      <c r="F5003" s="14"/>
      <c r="G5003" s="13">
        <v>0</v>
      </c>
      <c r="H5003" s="13">
        <v>0</v>
      </c>
      <c r="I5003" s="13"/>
      <c r="J5003" s="13"/>
      <c r="K5003" s="13"/>
      <c r="L5003" s="15">
        <v>0</v>
      </c>
    </row>
    <row r="5004" spans="1:12">
      <c r="A5004" s="12"/>
      <c r="E5004" s="14"/>
      <c r="F5004" s="14"/>
      <c r="G5004" s="13">
        <v>0</v>
      </c>
      <c r="H5004" s="13">
        <v>0</v>
      </c>
      <c r="I5004" s="13"/>
      <c r="J5004" s="13"/>
      <c r="K5004" s="13"/>
      <c r="L5004" s="15">
        <v>0</v>
      </c>
    </row>
    <row r="5005" spans="1:12">
      <c r="A5005" s="12"/>
      <c r="E5005" s="14"/>
      <c r="F5005" s="14"/>
      <c r="G5005" s="13">
        <v>0</v>
      </c>
      <c r="H5005" s="13">
        <v>0</v>
      </c>
      <c r="I5005" s="13"/>
      <c r="J5005" s="13"/>
      <c r="K5005" s="13"/>
      <c r="L5005" s="15">
        <v>0</v>
      </c>
    </row>
    <row r="5006" spans="1:12">
      <c r="A5006" s="12"/>
      <c r="E5006" s="14"/>
      <c r="F5006" s="14"/>
      <c r="G5006" s="13">
        <v>0</v>
      </c>
      <c r="H5006" s="13">
        <v>0</v>
      </c>
      <c r="I5006" s="13"/>
      <c r="J5006" s="13"/>
      <c r="K5006" s="13"/>
      <c r="L5006" s="15">
        <v>0</v>
      </c>
    </row>
    <row r="5007" spans="1:12">
      <c r="A5007" s="12"/>
      <c r="E5007" s="14"/>
      <c r="F5007" s="14"/>
      <c r="G5007" s="13">
        <v>0</v>
      </c>
      <c r="H5007" s="13">
        <v>0</v>
      </c>
      <c r="I5007" s="13"/>
      <c r="J5007" s="13"/>
      <c r="K5007" s="13"/>
      <c r="L5007" s="15">
        <v>0</v>
      </c>
    </row>
    <row r="5008" spans="1:12">
      <c r="A5008" s="12"/>
      <c r="E5008" s="14"/>
      <c r="F5008" s="14"/>
      <c r="G5008" s="13">
        <v>0</v>
      </c>
      <c r="H5008" s="13">
        <v>0</v>
      </c>
      <c r="I5008" s="13"/>
      <c r="J5008" s="13"/>
      <c r="K5008" s="13"/>
      <c r="L5008" s="15">
        <v>0</v>
      </c>
    </row>
    <row r="5009" spans="1:12">
      <c r="A5009" s="12"/>
      <c r="E5009" s="14"/>
      <c r="F5009" s="14"/>
      <c r="G5009" s="13">
        <v>0</v>
      </c>
      <c r="H5009" s="13">
        <v>0</v>
      </c>
      <c r="I5009" s="13"/>
      <c r="J5009" s="13"/>
      <c r="K5009" s="13"/>
      <c r="L5009" s="15">
        <v>0</v>
      </c>
    </row>
    <row r="5010" spans="1:12">
      <c r="A5010" s="12"/>
      <c r="E5010" s="14"/>
      <c r="F5010" s="14"/>
      <c r="G5010" s="13">
        <v>0</v>
      </c>
      <c r="H5010" s="13">
        <v>0</v>
      </c>
      <c r="I5010" s="13"/>
      <c r="J5010" s="13"/>
      <c r="K5010" s="13"/>
      <c r="L5010" s="15">
        <v>0</v>
      </c>
    </row>
    <row r="5011" spans="1:12">
      <c r="A5011" s="12"/>
      <c r="E5011" s="14"/>
      <c r="F5011" s="14"/>
      <c r="G5011" s="13">
        <v>0</v>
      </c>
      <c r="H5011" s="13">
        <v>0</v>
      </c>
      <c r="I5011" s="13"/>
      <c r="J5011" s="13"/>
      <c r="K5011" s="13"/>
      <c r="L5011" s="15">
        <v>0</v>
      </c>
    </row>
    <row r="5012" spans="1:12">
      <c r="A5012" s="12"/>
      <c r="E5012" s="14"/>
      <c r="F5012" s="14"/>
      <c r="G5012" s="13">
        <v>0</v>
      </c>
      <c r="H5012" s="13">
        <v>0</v>
      </c>
      <c r="I5012" s="13"/>
      <c r="J5012" s="13"/>
      <c r="K5012" s="13"/>
      <c r="L5012" s="15">
        <v>0</v>
      </c>
    </row>
    <row r="5013" spans="1:12">
      <c r="A5013" s="12"/>
      <c r="E5013" s="14"/>
      <c r="F5013" s="14"/>
      <c r="G5013" s="13">
        <v>0</v>
      </c>
      <c r="H5013" s="13">
        <v>0</v>
      </c>
      <c r="I5013" s="13"/>
      <c r="J5013" s="13"/>
      <c r="K5013" s="13"/>
      <c r="L5013" s="15">
        <v>0</v>
      </c>
    </row>
    <row r="5014" spans="1:12">
      <c r="A5014" s="12"/>
      <c r="E5014" s="14"/>
      <c r="F5014" s="14"/>
      <c r="G5014" s="13">
        <v>0</v>
      </c>
      <c r="H5014" s="13">
        <v>0</v>
      </c>
      <c r="I5014" s="13"/>
      <c r="J5014" s="13"/>
      <c r="K5014" s="13"/>
      <c r="L5014" s="15">
        <v>0</v>
      </c>
    </row>
    <row r="5015" spans="1:12">
      <c r="A5015" s="12"/>
      <c r="E5015" s="14"/>
      <c r="F5015" s="14"/>
      <c r="G5015" s="13">
        <v>0</v>
      </c>
      <c r="H5015" s="13">
        <v>0</v>
      </c>
      <c r="I5015" s="13"/>
      <c r="J5015" s="13"/>
      <c r="K5015" s="13"/>
      <c r="L5015" s="15">
        <v>0</v>
      </c>
    </row>
    <row r="5016" spans="1:12">
      <c r="A5016" s="12"/>
      <c r="E5016" s="14"/>
      <c r="F5016" s="14"/>
      <c r="G5016" s="13">
        <v>0</v>
      </c>
      <c r="H5016" s="13">
        <v>0</v>
      </c>
      <c r="I5016" s="13"/>
      <c r="J5016" s="13"/>
      <c r="K5016" s="13"/>
      <c r="L5016" s="15">
        <v>0</v>
      </c>
    </row>
    <row r="5017" spans="1:12">
      <c r="A5017" s="12"/>
      <c r="E5017" s="14"/>
      <c r="F5017" s="14"/>
      <c r="G5017" s="13">
        <v>0</v>
      </c>
      <c r="H5017" s="13">
        <v>0</v>
      </c>
      <c r="I5017" s="13"/>
      <c r="J5017" s="13"/>
      <c r="K5017" s="13"/>
      <c r="L5017" s="15">
        <v>0</v>
      </c>
    </row>
    <row r="5018" spans="1:12">
      <c r="A5018" s="12"/>
      <c r="E5018" s="14"/>
      <c r="F5018" s="14"/>
      <c r="G5018" s="13">
        <v>0</v>
      </c>
      <c r="H5018" s="13">
        <v>0</v>
      </c>
      <c r="I5018" s="13"/>
      <c r="J5018" s="13"/>
      <c r="K5018" s="13"/>
      <c r="L5018" s="15">
        <v>0</v>
      </c>
    </row>
    <row r="5019" spans="1:12">
      <c r="A5019" s="12"/>
      <c r="E5019" s="14"/>
      <c r="F5019" s="14"/>
      <c r="G5019" s="13">
        <v>0</v>
      </c>
      <c r="H5019" s="13">
        <v>0</v>
      </c>
      <c r="I5019" s="13"/>
      <c r="J5019" s="13"/>
      <c r="K5019" s="13"/>
      <c r="L5019" s="15">
        <v>0</v>
      </c>
    </row>
    <row r="5020" spans="1:12">
      <c r="A5020" s="12"/>
      <c r="E5020" s="14"/>
      <c r="F5020" s="14"/>
      <c r="G5020" s="13">
        <v>0</v>
      </c>
      <c r="H5020" s="13">
        <v>0</v>
      </c>
      <c r="I5020" s="13"/>
      <c r="J5020" s="13"/>
      <c r="K5020" s="13"/>
      <c r="L5020" s="15">
        <v>0</v>
      </c>
    </row>
    <row r="5021" spans="1:12">
      <c r="A5021" s="12"/>
      <c r="E5021" s="14"/>
      <c r="F5021" s="14"/>
      <c r="G5021" s="13">
        <v>0</v>
      </c>
      <c r="H5021" s="13">
        <v>0</v>
      </c>
      <c r="I5021" s="13"/>
      <c r="J5021" s="13"/>
      <c r="K5021" s="13"/>
      <c r="L5021" s="15">
        <v>0</v>
      </c>
    </row>
    <row r="5022" spans="1:12">
      <c r="A5022" s="12"/>
      <c r="E5022" s="14"/>
      <c r="F5022" s="14"/>
      <c r="G5022" s="13">
        <v>0</v>
      </c>
      <c r="H5022" s="13">
        <v>0</v>
      </c>
      <c r="I5022" s="13"/>
      <c r="J5022" s="13"/>
      <c r="K5022" s="13"/>
      <c r="L5022" s="15">
        <v>0</v>
      </c>
    </row>
    <row r="5023" spans="1:12">
      <c r="A5023" s="12"/>
      <c r="E5023" s="14"/>
      <c r="F5023" s="14"/>
      <c r="G5023" s="13">
        <v>0</v>
      </c>
      <c r="H5023" s="13">
        <v>0</v>
      </c>
      <c r="I5023" s="13"/>
      <c r="J5023" s="13"/>
      <c r="K5023" s="13"/>
      <c r="L5023" s="15">
        <v>0</v>
      </c>
    </row>
    <row r="5024" spans="1:12">
      <c r="A5024" s="12"/>
      <c r="E5024" s="14"/>
      <c r="F5024" s="14"/>
      <c r="G5024" s="13">
        <v>0</v>
      </c>
      <c r="H5024" s="13">
        <v>0</v>
      </c>
      <c r="I5024" s="13"/>
      <c r="J5024" s="13"/>
      <c r="K5024" s="13"/>
      <c r="L5024" s="15">
        <v>0</v>
      </c>
    </row>
    <row r="5025" spans="1:12">
      <c r="A5025" s="12"/>
      <c r="E5025" s="14"/>
      <c r="F5025" s="14"/>
      <c r="G5025" s="13">
        <v>0</v>
      </c>
      <c r="H5025" s="13">
        <v>0</v>
      </c>
      <c r="I5025" s="13"/>
      <c r="J5025" s="13"/>
      <c r="K5025" s="13"/>
      <c r="L5025" s="15">
        <v>0</v>
      </c>
    </row>
    <row r="5026" spans="1:12">
      <c r="A5026" s="12"/>
      <c r="E5026" s="14"/>
      <c r="F5026" s="14"/>
      <c r="G5026" s="13">
        <v>0</v>
      </c>
      <c r="H5026" s="13">
        <v>0</v>
      </c>
      <c r="I5026" s="13"/>
      <c r="J5026" s="13"/>
      <c r="K5026" s="13"/>
      <c r="L5026" s="15">
        <v>0</v>
      </c>
    </row>
    <row r="5027" spans="1:12">
      <c r="A5027" s="12"/>
      <c r="E5027" s="14"/>
      <c r="F5027" s="14"/>
      <c r="G5027" s="13">
        <v>0</v>
      </c>
      <c r="H5027" s="13">
        <v>0</v>
      </c>
      <c r="I5027" s="13"/>
      <c r="J5027" s="13"/>
      <c r="K5027" s="13"/>
      <c r="L5027" s="15">
        <v>0</v>
      </c>
    </row>
    <row r="5028" spans="1:12">
      <c r="A5028" s="12"/>
      <c r="E5028" s="14"/>
      <c r="F5028" s="14"/>
      <c r="G5028" s="13">
        <v>0</v>
      </c>
      <c r="H5028" s="13">
        <v>0</v>
      </c>
      <c r="I5028" s="13"/>
      <c r="J5028" s="13"/>
      <c r="K5028" s="13"/>
      <c r="L5028" s="15">
        <v>0</v>
      </c>
    </row>
    <row r="5029" spans="1:12">
      <c r="A5029" s="12"/>
      <c r="E5029" s="14"/>
      <c r="F5029" s="14"/>
      <c r="G5029" s="13">
        <v>0</v>
      </c>
      <c r="H5029" s="13">
        <v>0</v>
      </c>
      <c r="I5029" s="13"/>
      <c r="J5029" s="13"/>
      <c r="K5029" s="13"/>
      <c r="L5029" s="15">
        <v>0</v>
      </c>
    </row>
    <row r="5030" spans="1:12">
      <c r="A5030" s="12"/>
      <c r="E5030" s="14"/>
      <c r="F5030" s="14"/>
      <c r="G5030" s="13">
        <v>0</v>
      </c>
      <c r="H5030" s="13">
        <v>0</v>
      </c>
      <c r="I5030" s="13"/>
      <c r="J5030" s="13"/>
      <c r="K5030" s="13"/>
      <c r="L5030" s="15">
        <v>0</v>
      </c>
    </row>
    <row r="5031" spans="1:12">
      <c r="A5031" s="12"/>
      <c r="E5031" s="14"/>
      <c r="F5031" s="14"/>
      <c r="G5031" s="13">
        <v>0</v>
      </c>
      <c r="H5031" s="13">
        <v>0</v>
      </c>
      <c r="I5031" s="13"/>
      <c r="J5031" s="13"/>
      <c r="K5031" s="13"/>
      <c r="L5031" s="15">
        <v>0</v>
      </c>
    </row>
    <row r="5032" spans="1:12">
      <c r="A5032" s="12"/>
      <c r="E5032" s="14"/>
      <c r="F5032" s="14"/>
      <c r="G5032" s="13">
        <v>0</v>
      </c>
      <c r="H5032" s="13">
        <v>0</v>
      </c>
      <c r="I5032" s="13"/>
      <c r="J5032" s="13"/>
      <c r="K5032" s="13"/>
      <c r="L5032" s="15">
        <v>0</v>
      </c>
    </row>
    <row r="5033" spans="1:12">
      <c r="A5033" s="12"/>
      <c r="E5033" s="14"/>
      <c r="F5033" s="14"/>
      <c r="G5033" s="13">
        <v>0</v>
      </c>
      <c r="H5033" s="13">
        <v>0</v>
      </c>
      <c r="I5033" s="13"/>
      <c r="J5033" s="13"/>
      <c r="K5033" s="13"/>
      <c r="L5033" s="15">
        <v>0</v>
      </c>
    </row>
    <row r="5034" spans="1:12">
      <c r="A5034" s="12"/>
      <c r="E5034" s="14"/>
      <c r="F5034" s="14"/>
      <c r="G5034" s="13">
        <v>0</v>
      </c>
      <c r="H5034" s="13">
        <v>0</v>
      </c>
      <c r="I5034" s="13"/>
      <c r="J5034" s="13"/>
      <c r="K5034" s="13"/>
      <c r="L5034" s="15">
        <v>0</v>
      </c>
    </row>
    <row r="5035" spans="1:12">
      <c r="A5035" s="12"/>
      <c r="E5035" s="14"/>
      <c r="F5035" s="14"/>
      <c r="G5035" s="13">
        <v>0</v>
      </c>
      <c r="H5035" s="13">
        <v>0</v>
      </c>
      <c r="I5035" s="13"/>
      <c r="J5035" s="13"/>
      <c r="K5035" s="13"/>
      <c r="L5035" s="15">
        <v>0</v>
      </c>
    </row>
    <row r="5036" spans="1:12">
      <c r="A5036" s="12"/>
      <c r="E5036" s="14"/>
      <c r="F5036" s="14"/>
      <c r="G5036" s="13">
        <v>0</v>
      </c>
      <c r="H5036" s="13">
        <v>0</v>
      </c>
      <c r="I5036" s="13"/>
      <c r="J5036" s="13"/>
      <c r="K5036" s="13"/>
      <c r="L5036" s="15">
        <v>0</v>
      </c>
    </row>
    <row r="5037" spans="1:12">
      <c r="A5037" s="12"/>
      <c r="E5037" s="14"/>
      <c r="F5037" s="14"/>
      <c r="G5037" s="13">
        <v>0</v>
      </c>
      <c r="H5037" s="13">
        <v>0</v>
      </c>
      <c r="I5037" s="13"/>
      <c r="J5037" s="13"/>
      <c r="K5037" s="13"/>
      <c r="L5037" s="15">
        <v>0</v>
      </c>
    </row>
    <row r="5038" spans="1:12">
      <c r="A5038" s="12"/>
      <c r="E5038" s="14"/>
      <c r="F5038" s="14"/>
      <c r="G5038" s="13">
        <v>0</v>
      </c>
      <c r="H5038" s="13">
        <v>0</v>
      </c>
      <c r="I5038" s="13"/>
      <c r="J5038" s="13"/>
      <c r="K5038" s="13"/>
      <c r="L5038" s="15">
        <v>0</v>
      </c>
    </row>
    <row r="5039" spans="1:12">
      <c r="A5039" s="12"/>
      <c r="E5039" s="14"/>
      <c r="F5039" s="14"/>
      <c r="G5039" s="13">
        <v>0</v>
      </c>
      <c r="H5039" s="13">
        <v>0</v>
      </c>
      <c r="I5039" s="13"/>
      <c r="J5039" s="13"/>
      <c r="K5039" s="13"/>
      <c r="L5039" s="15">
        <v>0</v>
      </c>
    </row>
    <row r="5040" spans="1:12">
      <c r="A5040" s="12"/>
      <c r="E5040" s="14"/>
      <c r="F5040" s="14"/>
      <c r="G5040" s="13">
        <v>0</v>
      </c>
      <c r="H5040" s="13">
        <v>0</v>
      </c>
      <c r="I5040" s="13"/>
      <c r="J5040" s="13"/>
      <c r="K5040" s="13"/>
      <c r="L5040" s="15">
        <v>0</v>
      </c>
    </row>
    <row r="5041" spans="1:12">
      <c r="A5041" s="12"/>
      <c r="E5041" s="14"/>
      <c r="F5041" s="14"/>
      <c r="G5041" s="13">
        <v>0</v>
      </c>
      <c r="H5041" s="13">
        <v>0</v>
      </c>
      <c r="I5041" s="13"/>
      <c r="J5041" s="13"/>
      <c r="K5041" s="13"/>
      <c r="L5041" s="15">
        <v>0</v>
      </c>
    </row>
    <row r="5042" spans="1:12">
      <c r="A5042" s="12"/>
      <c r="E5042" s="14"/>
      <c r="F5042" s="14"/>
      <c r="G5042" s="13">
        <v>0</v>
      </c>
      <c r="H5042" s="13">
        <v>0</v>
      </c>
      <c r="I5042" s="13"/>
      <c r="J5042" s="13"/>
      <c r="K5042" s="13"/>
      <c r="L5042" s="15">
        <v>0</v>
      </c>
    </row>
    <row r="5043" spans="1:12">
      <c r="A5043" s="12"/>
      <c r="E5043" s="14"/>
      <c r="F5043" s="14"/>
      <c r="G5043" s="13">
        <v>0</v>
      </c>
      <c r="H5043" s="13">
        <v>0</v>
      </c>
      <c r="I5043" s="13"/>
      <c r="J5043" s="13"/>
      <c r="K5043" s="13"/>
      <c r="L5043" s="15">
        <v>0</v>
      </c>
    </row>
    <row r="5044" spans="1:12">
      <c r="A5044" s="12"/>
      <c r="E5044" s="14"/>
      <c r="F5044" s="14"/>
      <c r="G5044" s="13">
        <v>0</v>
      </c>
      <c r="H5044" s="13">
        <v>0</v>
      </c>
      <c r="I5044" s="13"/>
      <c r="J5044" s="13"/>
      <c r="K5044" s="13"/>
      <c r="L5044" s="15">
        <v>0</v>
      </c>
    </row>
    <row r="5045" spans="1:12">
      <c r="A5045" s="12"/>
      <c r="E5045" s="14"/>
      <c r="F5045" s="14"/>
      <c r="G5045" s="13">
        <v>0</v>
      </c>
      <c r="H5045" s="13">
        <v>0</v>
      </c>
      <c r="I5045" s="13"/>
      <c r="J5045" s="13"/>
      <c r="K5045" s="13"/>
      <c r="L5045" s="15">
        <v>0</v>
      </c>
    </row>
    <row r="5046" spans="1:12">
      <c r="A5046" s="12"/>
      <c r="E5046" s="14"/>
      <c r="F5046" s="14"/>
      <c r="G5046" s="13">
        <v>0</v>
      </c>
      <c r="H5046" s="13">
        <v>0</v>
      </c>
      <c r="I5046" s="13"/>
      <c r="J5046" s="13"/>
      <c r="K5046" s="13"/>
      <c r="L5046" s="15">
        <v>0</v>
      </c>
    </row>
    <row r="5047" spans="1:12">
      <c r="A5047" s="12"/>
      <c r="E5047" s="14"/>
      <c r="F5047" s="14"/>
      <c r="G5047" s="13">
        <v>0</v>
      </c>
      <c r="H5047" s="13">
        <v>0</v>
      </c>
      <c r="I5047" s="13"/>
      <c r="J5047" s="13"/>
      <c r="K5047" s="13"/>
      <c r="L5047" s="15">
        <v>0</v>
      </c>
    </row>
    <row r="5048" spans="1:12">
      <c r="A5048" s="12"/>
      <c r="E5048" s="14"/>
      <c r="F5048" s="14"/>
      <c r="G5048" s="13">
        <v>0</v>
      </c>
      <c r="H5048" s="13">
        <v>0</v>
      </c>
      <c r="I5048" s="13"/>
      <c r="J5048" s="13"/>
      <c r="K5048" s="13"/>
      <c r="L5048" s="15">
        <v>0</v>
      </c>
    </row>
    <row r="5049" spans="1:12">
      <c r="A5049" s="12"/>
      <c r="E5049" s="14"/>
      <c r="F5049" s="14"/>
      <c r="G5049" s="13">
        <v>0</v>
      </c>
      <c r="H5049" s="13">
        <v>0</v>
      </c>
      <c r="I5049" s="13"/>
      <c r="J5049" s="13"/>
      <c r="K5049" s="13"/>
      <c r="L5049" s="15">
        <v>0</v>
      </c>
    </row>
    <row r="5050" spans="1:12">
      <c r="A5050" s="12"/>
      <c r="E5050" s="14"/>
      <c r="F5050" s="14"/>
      <c r="G5050" s="13">
        <v>0</v>
      </c>
      <c r="H5050" s="13">
        <v>0</v>
      </c>
      <c r="I5050" s="13"/>
      <c r="J5050" s="13"/>
      <c r="K5050" s="13"/>
      <c r="L5050" s="15">
        <v>0</v>
      </c>
    </row>
    <row r="5051" spans="1:12">
      <c r="A5051" s="12"/>
      <c r="E5051" s="14"/>
      <c r="F5051" s="14"/>
      <c r="G5051" s="13">
        <v>0</v>
      </c>
      <c r="H5051" s="13">
        <v>0</v>
      </c>
      <c r="I5051" s="13"/>
      <c r="J5051" s="13"/>
      <c r="K5051" s="13"/>
      <c r="L5051" s="15">
        <v>0</v>
      </c>
    </row>
    <row r="5052" spans="1:12">
      <c r="A5052" s="12"/>
      <c r="E5052" s="14"/>
      <c r="F5052" s="14"/>
      <c r="G5052" s="13">
        <v>0</v>
      </c>
      <c r="H5052" s="13">
        <v>0</v>
      </c>
      <c r="I5052" s="13"/>
      <c r="J5052" s="13"/>
      <c r="K5052" s="13"/>
      <c r="L5052" s="15">
        <v>0</v>
      </c>
    </row>
    <row r="5053" spans="1:12">
      <c r="A5053" s="12"/>
      <c r="E5053" s="14"/>
      <c r="F5053" s="14"/>
      <c r="G5053" s="13">
        <v>0</v>
      </c>
      <c r="H5053" s="13">
        <v>0</v>
      </c>
      <c r="I5053" s="13"/>
      <c r="J5053" s="13"/>
      <c r="K5053" s="13"/>
      <c r="L5053" s="15">
        <v>0</v>
      </c>
    </row>
    <row r="5054" spans="1:12">
      <c r="A5054" s="12"/>
      <c r="E5054" s="14"/>
      <c r="F5054" s="14"/>
      <c r="G5054" s="13">
        <v>0</v>
      </c>
      <c r="H5054" s="13">
        <v>0</v>
      </c>
      <c r="I5054" s="13"/>
      <c r="J5054" s="13"/>
      <c r="K5054" s="13"/>
      <c r="L5054" s="15">
        <v>0</v>
      </c>
    </row>
    <row r="5055" spans="1:12">
      <c r="A5055" s="12"/>
      <c r="E5055" s="14"/>
      <c r="F5055" s="14"/>
      <c r="G5055" s="13">
        <v>0</v>
      </c>
      <c r="H5055" s="13">
        <v>0</v>
      </c>
      <c r="I5055" s="13"/>
      <c r="J5055" s="13"/>
      <c r="K5055" s="13"/>
      <c r="L5055" s="15">
        <v>0</v>
      </c>
    </row>
    <row r="5056" spans="1:12">
      <c r="A5056" s="12"/>
      <c r="E5056" s="14"/>
      <c r="F5056" s="14"/>
      <c r="G5056" s="13">
        <v>0</v>
      </c>
      <c r="H5056" s="13">
        <v>0</v>
      </c>
      <c r="I5056" s="13"/>
      <c r="J5056" s="13"/>
      <c r="K5056" s="13"/>
      <c r="L5056" s="15">
        <v>0</v>
      </c>
    </row>
    <row r="5057" spans="1:12">
      <c r="A5057" s="12"/>
      <c r="E5057" s="14"/>
      <c r="F5057" s="14"/>
      <c r="G5057" s="13">
        <v>0</v>
      </c>
      <c r="H5057" s="13">
        <v>0</v>
      </c>
      <c r="I5057" s="13"/>
      <c r="J5057" s="13"/>
      <c r="K5057" s="13"/>
      <c r="L5057" s="15">
        <v>0</v>
      </c>
    </row>
    <row r="5058" spans="1:12">
      <c r="A5058" s="12"/>
      <c r="E5058" s="14"/>
      <c r="F5058" s="14"/>
      <c r="G5058" s="13">
        <v>0</v>
      </c>
      <c r="H5058" s="13">
        <v>0</v>
      </c>
      <c r="I5058" s="13"/>
      <c r="J5058" s="13"/>
      <c r="K5058" s="13"/>
      <c r="L5058" s="15">
        <v>0</v>
      </c>
    </row>
    <row r="5059" spans="1:12">
      <c r="A5059" s="12"/>
      <c r="E5059" s="14"/>
      <c r="F5059" s="14"/>
      <c r="G5059" s="13">
        <v>0</v>
      </c>
      <c r="H5059" s="13">
        <v>0</v>
      </c>
      <c r="I5059" s="13"/>
      <c r="J5059" s="13"/>
      <c r="K5059" s="13"/>
      <c r="L5059" s="15">
        <v>0</v>
      </c>
    </row>
    <row r="5060" spans="1:12">
      <c r="A5060" s="12"/>
      <c r="E5060" s="14"/>
      <c r="F5060" s="14"/>
      <c r="G5060" s="13">
        <v>0</v>
      </c>
      <c r="H5060" s="13">
        <v>0</v>
      </c>
      <c r="I5060" s="13"/>
      <c r="J5060" s="13"/>
      <c r="K5060" s="13"/>
      <c r="L5060" s="15">
        <v>0</v>
      </c>
    </row>
    <row r="5061" spans="1:12">
      <c r="A5061" s="12"/>
      <c r="E5061" s="14"/>
      <c r="F5061" s="14"/>
      <c r="G5061" s="13">
        <v>0</v>
      </c>
      <c r="H5061" s="13">
        <v>0</v>
      </c>
      <c r="I5061" s="13"/>
      <c r="J5061" s="13"/>
      <c r="K5061" s="13"/>
      <c r="L5061" s="15">
        <v>0</v>
      </c>
    </row>
    <row r="5062" spans="1:12">
      <c r="A5062" s="12"/>
      <c r="E5062" s="14"/>
      <c r="F5062" s="14"/>
      <c r="G5062" s="13">
        <v>0</v>
      </c>
      <c r="H5062" s="13">
        <v>0</v>
      </c>
      <c r="I5062" s="13"/>
      <c r="J5062" s="13"/>
      <c r="K5062" s="13"/>
      <c r="L5062" s="15">
        <v>0</v>
      </c>
    </row>
    <row r="5063" spans="1:12">
      <c r="A5063" s="12"/>
      <c r="E5063" s="14"/>
      <c r="F5063" s="14"/>
      <c r="G5063" s="13">
        <v>0</v>
      </c>
      <c r="H5063" s="13">
        <v>0</v>
      </c>
      <c r="I5063" s="13"/>
      <c r="J5063" s="13"/>
      <c r="K5063" s="13"/>
      <c r="L5063" s="15">
        <v>0</v>
      </c>
    </row>
    <row r="5064" spans="1:12">
      <c r="A5064" s="12"/>
      <c r="E5064" s="14"/>
      <c r="F5064" s="14"/>
      <c r="G5064" s="13">
        <v>0</v>
      </c>
      <c r="H5064" s="13">
        <v>0</v>
      </c>
      <c r="I5064" s="13"/>
      <c r="J5064" s="13"/>
      <c r="K5064" s="13"/>
      <c r="L5064" s="15">
        <v>0</v>
      </c>
    </row>
    <row r="5065" spans="1:12">
      <c r="A5065" s="12"/>
      <c r="E5065" s="14"/>
      <c r="F5065" s="14"/>
      <c r="G5065" s="13">
        <v>0</v>
      </c>
      <c r="H5065" s="13">
        <v>0</v>
      </c>
      <c r="I5065" s="13"/>
      <c r="J5065" s="13"/>
      <c r="K5065" s="13"/>
      <c r="L5065" s="15">
        <v>0</v>
      </c>
    </row>
    <row r="5066" spans="1:12">
      <c r="A5066" s="12"/>
      <c r="E5066" s="14"/>
      <c r="F5066" s="14"/>
      <c r="G5066" s="13">
        <v>0</v>
      </c>
      <c r="H5066" s="13">
        <v>0</v>
      </c>
      <c r="I5066" s="13"/>
      <c r="J5066" s="13"/>
      <c r="K5066" s="13"/>
      <c r="L5066" s="15">
        <v>0</v>
      </c>
    </row>
    <row r="5067" spans="1:12">
      <c r="A5067" s="12"/>
      <c r="E5067" s="14"/>
      <c r="F5067" s="14"/>
      <c r="G5067" s="13">
        <v>0</v>
      </c>
      <c r="H5067" s="13">
        <v>0</v>
      </c>
      <c r="I5067" s="13"/>
      <c r="J5067" s="13"/>
      <c r="K5067" s="13"/>
      <c r="L5067" s="15">
        <v>0</v>
      </c>
    </row>
    <row r="5068" spans="1:12">
      <c r="A5068" s="12"/>
      <c r="E5068" s="14"/>
      <c r="F5068" s="14"/>
      <c r="G5068" s="13">
        <v>0</v>
      </c>
      <c r="H5068" s="13">
        <v>0</v>
      </c>
      <c r="I5068" s="13"/>
      <c r="J5068" s="13"/>
      <c r="K5068" s="13"/>
      <c r="L5068" s="15">
        <v>0</v>
      </c>
    </row>
    <row r="5069" spans="1:12">
      <c r="A5069" s="12"/>
      <c r="E5069" s="14"/>
      <c r="F5069" s="14"/>
      <c r="G5069" s="13">
        <v>0</v>
      </c>
      <c r="H5069" s="13">
        <v>0</v>
      </c>
      <c r="I5069" s="13"/>
      <c r="J5069" s="13"/>
      <c r="K5069" s="13"/>
      <c r="L5069" s="15">
        <v>0</v>
      </c>
    </row>
    <row r="5070" spans="1:12">
      <c r="A5070" s="12"/>
      <c r="E5070" s="14"/>
      <c r="F5070" s="14"/>
      <c r="G5070" s="13">
        <v>0</v>
      </c>
      <c r="H5070" s="13">
        <v>0</v>
      </c>
      <c r="I5070" s="13"/>
      <c r="J5070" s="13"/>
      <c r="K5070" s="13"/>
      <c r="L5070" s="15">
        <v>0</v>
      </c>
    </row>
    <row r="5071" spans="1:12">
      <c r="A5071" s="12"/>
      <c r="E5071" s="14"/>
      <c r="F5071" s="14"/>
      <c r="G5071" s="13">
        <v>0</v>
      </c>
      <c r="H5071" s="13">
        <v>0</v>
      </c>
      <c r="I5071" s="13"/>
      <c r="J5071" s="13"/>
      <c r="K5071" s="13"/>
      <c r="L5071" s="15">
        <v>0</v>
      </c>
    </row>
    <row r="5072" spans="1:12">
      <c r="A5072" s="12"/>
      <c r="E5072" s="14"/>
      <c r="F5072" s="14"/>
      <c r="G5072" s="13">
        <v>0</v>
      </c>
      <c r="H5072" s="13">
        <v>0</v>
      </c>
      <c r="I5072" s="13"/>
      <c r="J5072" s="13"/>
      <c r="K5072" s="13"/>
      <c r="L5072" s="15">
        <v>0</v>
      </c>
    </row>
    <row r="5073" spans="1:12">
      <c r="A5073" s="12"/>
      <c r="E5073" s="14"/>
      <c r="F5073" s="14"/>
      <c r="G5073" s="13">
        <v>0</v>
      </c>
      <c r="H5073" s="13">
        <v>0</v>
      </c>
      <c r="I5073" s="13"/>
      <c r="J5073" s="13"/>
      <c r="K5073" s="13"/>
      <c r="L5073" s="15">
        <v>0</v>
      </c>
    </row>
    <row r="5074" spans="1:12">
      <c r="A5074" s="12"/>
      <c r="E5074" s="14"/>
      <c r="F5074" s="14"/>
      <c r="G5074" s="13">
        <v>0</v>
      </c>
      <c r="H5074" s="13">
        <v>0</v>
      </c>
      <c r="I5074" s="13"/>
      <c r="J5074" s="13"/>
      <c r="K5074" s="13"/>
      <c r="L5074" s="15">
        <v>0</v>
      </c>
    </row>
    <row r="5075" spans="1:12">
      <c r="A5075" s="12"/>
      <c r="E5075" s="14"/>
      <c r="F5075" s="14"/>
      <c r="G5075" s="13">
        <v>0</v>
      </c>
      <c r="H5075" s="13">
        <v>0</v>
      </c>
      <c r="I5075" s="13"/>
      <c r="J5075" s="13"/>
      <c r="K5075" s="13"/>
      <c r="L5075" s="15">
        <v>0</v>
      </c>
    </row>
    <row r="5076" spans="1:12">
      <c r="A5076" s="12"/>
      <c r="E5076" s="14"/>
      <c r="F5076" s="14"/>
      <c r="G5076" s="13">
        <v>0</v>
      </c>
      <c r="H5076" s="13">
        <v>0</v>
      </c>
      <c r="I5076" s="13"/>
      <c r="J5076" s="13"/>
      <c r="K5076" s="13"/>
      <c r="L5076" s="15">
        <v>0</v>
      </c>
    </row>
    <row r="5077" spans="1:12">
      <c r="A5077" s="12"/>
      <c r="E5077" s="14"/>
      <c r="F5077" s="14"/>
      <c r="G5077" s="13">
        <v>0</v>
      </c>
      <c r="H5077" s="13">
        <v>0</v>
      </c>
      <c r="I5077" s="13"/>
      <c r="J5077" s="13"/>
      <c r="K5077" s="13"/>
      <c r="L5077" s="15">
        <v>0</v>
      </c>
    </row>
    <row r="5078" spans="1:12">
      <c r="A5078" s="12"/>
      <c r="E5078" s="14"/>
      <c r="F5078" s="14"/>
      <c r="G5078" s="13">
        <v>0</v>
      </c>
      <c r="H5078" s="13">
        <v>0</v>
      </c>
      <c r="I5078" s="13"/>
      <c r="J5078" s="13"/>
      <c r="K5078" s="13"/>
      <c r="L5078" s="15">
        <v>0</v>
      </c>
    </row>
    <row r="5079" spans="1:12">
      <c r="A5079" s="12"/>
      <c r="E5079" s="14"/>
      <c r="F5079" s="14"/>
      <c r="G5079" s="13">
        <v>0</v>
      </c>
      <c r="H5079" s="13">
        <v>0</v>
      </c>
      <c r="I5079" s="13"/>
      <c r="J5079" s="13"/>
      <c r="K5079" s="13"/>
      <c r="L5079" s="15">
        <v>0</v>
      </c>
    </row>
    <row r="5080" spans="1:12">
      <c r="A5080" s="12"/>
      <c r="E5080" s="14"/>
      <c r="F5080" s="14"/>
      <c r="G5080" s="13">
        <v>0</v>
      </c>
      <c r="H5080" s="13">
        <v>0</v>
      </c>
      <c r="I5080" s="13"/>
      <c r="J5080" s="13"/>
      <c r="K5080" s="13"/>
      <c r="L5080" s="15">
        <v>0</v>
      </c>
    </row>
    <row r="5081" spans="1:12">
      <c r="A5081" s="12"/>
      <c r="E5081" s="14"/>
      <c r="F5081" s="14"/>
      <c r="G5081" s="13">
        <v>0</v>
      </c>
      <c r="H5081" s="13">
        <v>0</v>
      </c>
      <c r="I5081" s="13"/>
      <c r="J5081" s="13"/>
      <c r="K5081" s="13"/>
      <c r="L5081" s="15">
        <v>0</v>
      </c>
    </row>
    <row r="5082" spans="1:12">
      <c r="A5082" s="12"/>
      <c r="E5082" s="14"/>
      <c r="F5082" s="14"/>
      <c r="G5082" s="13">
        <v>0</v>
      </c>
      <c r="H5082" s="13">
        <v>0</v>
      </c>
      <c r="I5082" s="13"/>
      <c r="J5082" s="13"/>
      <c r="K5082" s="13"/>
      <c r="L5082" s="15">
        <v>0</v>
      </c>
    </row>
    <row r="5083" spans="1:12">
      <c r="A5083" s="12"/>
      <c r="E5083" s="14"/>
      <c r="F5083" s="14"/>
      <c r="G5083" s="13">
        <v>0</v>
      </c>
      <c r="H5083" s="13">
        <v>0</v>
      </c>
      <c r="I5083" s="13"/>
      <c r="J5083" s="13"/>
      <c r="K5083" s="13"/>
      <c r="L5083" s="15">
        <v>0</v>
      </c>
    </row>
    <row r="5084" spans="1:12">
      <c r="A5084" s="12"/>
      <c r="E5084" s="14"/>
      <c r="F5084" s="14"/>
      <c r="G5084" s="13">
        <v>0</v>
      </c>
      <c r="H5084" s="13">
        <v>0</v>
      </c>
      <c r="I5084" s="13"/>
      <c r="J5084" s="13"/>
      <c r="K5084" s="13"/>
      <c r="L5084" s="15">
        <v>0</v>
      </c>
    </row>
    <row r="5085" spans="1:12">
      <c r="A5085" s="12"/>
      <c r="E5085" s="14"/>
      <c r="F5085" s="14"/>
      <c r="G5085" s="13">
        <v>0</v>
      </c>
      <c r="H5085" s="13">
        <v>0</v>
      </c>
      <c r="I5085" s="13"/>
      <c r="J5085" s="13"/>
      <c r="K5085" s="13"/>
      <c r="L5085" s="15">
        <v>0</v>
      </c>
    </row>
    <row r="5086" spans="1:12">
      <c r="A5086" s="12"/>
      <c r="E5086" s="14"/>
      <c r="F5086" s="14"/>
      <c r="G5086" s="13">
        <v>0</v>
      </c>
      <c r="H5086" s="13">
        <v>0</v>
      </c>
      <c r="I5086" s="13"/>
      <c r="J5086" s="13"/>
      <c r="K5086" s="13"/>
      <c r="L5086" s="15">
        <v>0</v>
      </c>
    </row>
    <row r="5087" spans="1:12">
      <c r="A5087" s="12"/>
      <c r="E5087" s="14"/>
      <c r="F5087" s="14"/>
      <c r="G5087" s="13">
        <v>0</v>
      </c>
      <c r="H5087" s="13">
        <v>0</v>
      </c>
      <c r="I5087" s="13"/>
      <c r="J5087" s="13"/>
      <c r="K5087" s="13"/>
      <c r="L5087" s="15">
        <v>0</v>
      </c>
    </row>
    <row r="5088" spans="1:12">
      <c r="A5088" s="12"/>
      <c r="E5088" s="14"/>
      <c r="F5088" s="14"/>
      <c r="G5088" s="13">
        <v>0</v>
      </c>
      <c r="H5088" s="13">
        <v>0</v>
      </c>
      <c r="I5088" s="13"/>
      <c r="J5088" s="13"/>
      <c r="K5088" s="13"/>
      <c r="L5088" s="15">
        <v>0</v>
      </c>
    </row>
    <row r="5089" spans="1:12">
      <c r="A5089" s="12"/>
      <c r="E5089" s="14"/>
      <c r="F5089" s="14"/>
      <c r="G5089" s="13">
        <v>0</v>
      </c>
      <c r="H5089" s="13">
        <v>0</v>
      </c>
      <c r="I5089" s="13"/>
      <c r="J5089" s="13"/>
      <c r="K5089" s="13"/>
      <c r="L5089" s="15">
        <v>0</v>
      </c>
    </row>
    <row r="5090" spans="1:12">
      <c r="A5090" s="12"/>
      <c r="E5090" s="14"/>
      <c r="F5090" s="14"/>
      <c r="G5090" s="13">
        <v>0</v>
      </c>
      <c r="H5090" s="13">
        <v>0</v>
      </c>
      <c r="I5090" s="13"/>
      <c r="J5090" s="13"/>
      <c r="K5090" s="13"/>
      <c r="L5090" s="15">
        <v>0</v>
      </c>
    </row>
    <row r="5091" spans="1:12">
      <c r="A5091" s="12"/>
      <c r="E5091" s="14"/>
      <c r="F5091" s="14"/>
      <c r="G5091" s="13">
        <v>0</v>
      </c>
      <c r="H5091" s="13">
        <v>0</v>
      </c>
      <c r="I5091" s="13"/>
      <c r="J5091" s="13"/>
      <c r="K5091" s="13"/>
      <c r="L5091" s="15">
        <v>0</v>
      </c>
    </row>
    <row r="5092" spans="1:12">
      <c r="A5092" s="12"/>
      <c r="E5092" s="14"/>
      <c r="F5092" s="14"/>
      <c r="G5092" s="13">
        <v>0</v>
      </c>
      <c r="H5092" s="13">
        <v>0</v>
      </c>
      <c r="I5092" s="13"/>
      <c r="J5092" s="13"/>
      <c r="K5092" s="13"/>
      <c r="L5092" s="15">
        <v>0</v>
      </c>
    </row>
    <row r="5093" spans="1:12">
      <c r="A5093" s="12"/>
      <c r="E5093" s="14"/>
      <c r="F5093" s="14"/>
      <c r="G5093" s="13">
        <v>0</v>
      </c>
      <c r="H5093" s="13">
        <v>0</v>
      </c>
      <c r="I5093" s="13"/>
      <c r="J5093" s="13"/>
      <c r="K5093" s="13"/>
      <c r="L5093" s="15">
        <v>0</v>
      </c>
    </row>
    <row r="5094" spans="1:12">
      <c r="A5094" s="12"/>
      <c r="E5094" s="14"/>
      <c r="F5094" s="14"/>
      <c r="G5094" s="13">
        <v>0</v>
      </c>
      <c r="H5094" s="13">
        <v>0</v>
      </c>
      <c r="I5094" s="13"/>
      <c r="J5094" s="13"/>
      <c r="K5094" s="13"/>
      <c r="L5094" s="15">
        <v>0</v>
      </c>
    </row>
    <row r="5095" spans="1:12">
      <c r="A5095" s="12"/>
      <c r="E5095" s="14"/>
      <c r="F5095" s="14"/>
      <c r="G5095" s="13">
        <v>0</v>
      </c>
      <c r="H5095" s="13">
        <v>0</v>
      </c>
      <c r="I5095" s="13"/>
      <c r="J5095" s="13"/>
      <c r="K5095" s="13"/>
      <c r="L5095" s="15">
        <v>0</v>
      </c>
    </row>
    <row r="5096" spans="1:12">
      <c r="A5096" s="12"/>
      <c r="E5096" s="14"/>
      <c r="F5096" s="14"/>
      <c r="G5096" s="13">
        <v>0</v>
      </c>
      <c r="H5096" s="13">
        <v>0</v>
      </c>
      <c r="I5096" s="13"/>
      <c r="J5096" s="13"/>
      <c r="K5096" s="13"/>
      <c r="L5096" s="15">
        <v>0</v>
      </c>
    </row>
    <row r="5097" spans="1:12">
      <c r="A5097" s="12"/>
      <c r="E5097" s="14"/>
      <c r="F5097" s="14"/>
      <c r="G5097" s="13">
        <v>0</v>
      </c>
      <c r="H5097" s="13">
        <v>0</v>
      </c>
      <c r="I5097" s="13"/>
      <c r="J5097" s="13"/>
      <c r="K5097" s="13"/>
      <c r="L5097" s="15">
        <v>0</v>
      </c>
    </row>
    <row r="5098" spans="1:12">
      <c r="A5098" s="12"/>
      <c r="E5098" s="14"/>
      <c r="F5098" s="14"/>
      <c r="G5098" s="13">
        <v>0</v>
      </c>
      <c r="H5098" s="13">
        <v>0</v>
      </c>
      <c r="I5098" s="13"/>
      <c r="J5098" s="13"/>
      <c r="K5098" s="13"/>
      <c r="L5098" s="15">
        <v>0</v>
      </c>
    </row>
    <row r="5099" spans="1:12">
      <c r="A5099" s="12"/>
      <c r="E5099" s="14"/>
      <c r="F5099" s="14"/>
      <c r="G5099" s="13">
        <v>0</v>
      </c>
      <c r="H5099" s="13">
        <v>0</v>
      </c>
      <c r="I5099" s="13"/>
      <c r="J5099" s="13"/>
      <c r="K5099" s="13"/>
      <c r="L5099" s="15">
        <v>0</v>
      </c>
    </row>
    <row r="5100" spans="1:12">
      <c r="A5100" s="12"/>
      <c r="E5100" s="14"/>
      <c r="F5100" s="14"/>
      <c r="G5100" s="13">
        <v>0</v>
      </c>
      <c r="H5100" s="13">
        <v>0</v>
      </c>
      <c r="I5100" s="13"/>
      <c r="J5100" s="13"/>
      <c r="K5100" s="13"/>
      <c r="L5100" s="15">
        <v>0</v>
      </c>
    </row>
    <row r="5101" spans="1:12">
      <c r="A5101" s="12"/>
      <c r="E5101" s="14"/>
      <c r="F5101" s="14"/>
      <c r="G5101" s="13">
        <v>0</v>
      </c>
      <c r="H5101" s="13">
        <v>0</v>
      </c>
      <c r="I5101" s="13"/>
      <c r="J5101" s="13"/>
      <c r="K5101" s="13"/>
      <c r="L5101" s="15">
        <v>0</v>
      </c>
    </row>
    <row r="5102" spans="1:12">
      <c r="A5102" s="12"/>
      <c r="E5102" s="14"/>
      <c r="F5102" s="14"/>
      <c r="G5102" s="13">
        <v>0</v>
      </c>
      <c r="H5102" s="13">
        <v>0</v>
      </c>
      <c r="I5102" s="13"/>
      <c r="J5102" s="13"/>
      <c r="K5102" s="13"/>
      <c r="L5102" s="15">
        <v>0</v>
      </c>
    </row>
    <row r="5103" spans="1:12">
      <c r="A5103" s="12"/>
      <c r="E5103" s="14"/>
      <c r="F5103" s="14"/>
      <c r="G5103" s="13">
        <v>0</v>
      </c>
      <c r="H5103" s="13">
        <v>0</v>
      </c>
      <c r="I5103" s="13"/>
      <c r="J5103" s="13"/>
      <c r="K5103" s="13"/>
      <c r="L5103" s="15">
        <v>0</v>
      </c>
    </row>
    <row r="5104" spans="1:12">
      <c r="A5104" s="12"/>
      <c r="E5104" s="14"/>
      <c r="F5104" s="14"/>
      <c r="G5104" s="13">
        <v>0</v>
      </c>
      <c r="H5104" s="13">
        <v>0</v>
      </c>
      <c r="I5104" s="13"/>
      <c r="J5104" s="13"/>
      <c r="K5104" s="13"/>
      <c r="L5104" s="15">
        <v>0</v>
      </c>
    </row>
    <row r="5105" spans="1:12">
      <c r="A5105" s="12"/>
      <c r="E5105" s="14"/>
      <c r="F5105" s="14"/>
      <c r="G5105" s="13">
        <v>0</v>
      </c>
      <c r="H5105" s="13">
        <v>0</v>
      </c>
      <c r="I5105" s="13"/>
      <c r="J5105" s="13"/>
      <c r="K5105" s="13"/>
      <c r="L5105" s="15">
        <v>0</v>
      </c>
    </row>
    <row r="5106" spans="1:12">
      <c r="A5106" s="12"/>
      <c r="E5106" s="14"/>
      <c r="F5106" s="14"/>
      <c r="G5106" s="13">
        <v>0</v>
      </c>
      <c r="H5106" s="13">
        <v>0</v>
      </c>
      <c r="I5106" s="13"/>
      <c r="J5106" s="13"/>
      <c r="K5106" s="13"/>
      <c r="L5106" s="15">
        <v>0</v>
      </c>
    </row>
    <row r="5107" spans="1:12">
      <c r="A5107" s="12"/>
      <c r="E5107" s="14"/>
      <c r="F5107" s="14"/>
      <c r="G5107" s="13">
        <v>0</v>
      </c>
      <c r="H5107" s="13">
        <v>0</v>
      </c>
      <c r="I5107" s="13"/>
      <c r="J5107" s="13"/>
      <c r="K5107" s="13"/>
      <c r="L5107" s="15">
        <v>0</v>
      </c>
    </row>
    <row r="5108" spans="1:12">
      <c r="A5108" s="12"/>
      <c r="E5108" s="14"/>
      <c r="F5108" s="14"/>
      <c r="G5108" s="13">
        <v>0</v>
      </c>
      <c r="H5108" s="13">
        <v>0</v>
      </c>
      <c r="I5108" s="13"/>
      <c r="J5108" s="13"/>
      <c r="K5108" s="13"/>
      <c r="L5108" s="15">
        <v>0</v>
      </c>
    </row>
    <row r="5109" spans="1:12">
      <c r="A5109" s="12"/>
      <c r="E5109" s="14"/>
      <c r="F5109" s="14"/>
      <c r="G5109" s="13">
        <v>0</v>
      </c>
      <c r="H5109" s="13">
        <v>0</v>
      </c>
      <c r="I5109" s="13"/>
      <c r="J5109" s="13"/>
      <c r="K5109" s="13"/>
      <c r="L5109" s="15">
        <v>0</v>
      </c>
    </row>
    <row r="5110" spans="1:12">
      <c r="A5110" s="12"/>
      <c r="E5110" s="14"/>
      <c r="F5110" s="14"/>
      <c r="G5110" s="13">
        <v>0</v>
      </c>
      <c r="H5110" s="13">
        <v>0</v>
      </c>
      <c r="I5110" s="13"/>
      <c r="J5110" s="13"/>
      <c r="K5110" s="13"/>
      <c r="L5110" s="15">
        <v>0</v>
      </c>
    </row>
    <row r="5111" spans="1:12">
      <c r="A5111" s="12"/>
      <c r="E5111" s="14"/>
      <c r="F5111" s="14"/>
      <c r="G5111" s="13">
        <v>0</v>
      </c>
      <c r="H5111" s="13">
        <v>0</v>
      </c>
      <c r="I5111" s="13"/>
      <c r="J5111" s="13"/>
      <c r="K5111" s="13"/>
      <c r="L5111" s="15">
        <v>0</v>
      </c>
    </row>
    <row r="5112" spans="1:12">
      <c r="A5112" s="12"/>
      <c r="E5112" s="14"/>
      <c r="F5112" s="14"/>
      <c r="G5112" s="13">
        <v>0</v>
      </c>
      <c r="H5112" s="13">
        <v>0</v>
      </c>
      <c r="I5112" s="13"/>
      <c r="J5112" s="13"/>
      <c r="K5112" s="13"/>
      <c r="L5112" s="15">
        <v>0</v>
      </c>
    </row>
    <row r="5113" spans="1:12">
      <c r="A5113" s="12"/>
      <c r="E5113" s="14"/>
      <c r="F5113" s="14"/>
      <c r="G5113" s="13">
        <v>0</v>
      </c>
      <c r="H5113" s="13">
        <v>0</v>
      </c>
      <c r="I5113" s="13"/>
      <c r="J5113" s="13"/>
      <c r="K5113" s="13"/>
      <c r="L5113" s="15">
        <v>0</v>
      </c>
    </row>
    <row r="5114" spans="1:12">
      <c r="A5114" s="12"/>
      <c r="E5114" s="14"/>
      <c r="F5114" s="14"/>
      <c r="G5114" s="13">
        <v>0</v>
      </c>
      <c r="H5114" s="13">
        <v>0</v>
      </c>
      <c r="I5114" s="13"/>
      <c r="J5114" s="13"/>
      <c r="K5114" s="13"/>
      <c r="L5114" s="15">
        <v>0</v>
      </c>
    </row>
    <row r="5115" spans="1:12">
      <c r="A5115" s="12"/>
      <c r="E5115" s="14"/>
      <c r="F5115" s="14"/>
      <c r="G5115" s="13">
        <v>0</v>
      </c>
      <c r="H5115" s="13">
        <v>0</v>
      </c>
      <c r="I5115" s="13"/>
      <c r="J5115" s="13"/>
      <c r="K5115" s="13"/>
      <c r="L5115" s="15">
        <v>0</v>
      </c>
    </row>
    <row r="5116" spans="1:12">
      <c r="A5116" s="12"/>
      <c r="E5116" s="14"/>
      <c r="F5116" s="14"/>
      <c r="G5116" s="13">
        <v>0</v>
      </c>
      <c r="H5116" s="13">
        <v>0</v>
      </c>
      <c r="I5116" s="13"/>
      <c r="J5116" s="13"/>
      <c r="K5116" s="13"/>
      <c r="L5116" s="15">
        <v>0</v>
      </c>
    </row>
    <row r="5117" spans="1:12">
      <c r="A5117" s="12"/>
      <c r="E5117" s="14"/>
      <c r="F5117" s="14"/>
      <c r="G5117" s="13">
        <v>0</v>
      </c>
      <c r="H5117" s="13">
        <v>0</v>
      </c>
      <c r="I5117" s="13"/>
      <c r="J5117" s="13"/>
      <c r="K5117" s="13"/>
      <c r="L5117" s="15">
        <v>0</v>
      </c>
    </row>
    <row r="5118" spans="1:12">
      <c r="A5118" s="12"/>
      <c r="E5118" s="14"/>
      <c r="F5118" s="14"/>
      <c r="G5118" s="13">
        <v>0</v>
      </c>
      <c r="H5118" s="13">
        <v>0</v>
      </c>
      <c r="I5118" s="13"/>
      <c r="J5118" s="13"/>
      <c r="K5118" s="13"/>
      <c r="L5118" s="15">
        <v>0</v>
      </c>
    </row>
    <row r="5119" spans="1:12">
      <c r="A5119" s="12"/>
      <c r="E5119" s="14"/>
      <c r="F5119" s="14"/>
      <c r="G5119" s="13">
        <v>0</v>
      </c>
      <c r="H5119" s="13">
        <v>0</v>
      </c>
      <c r="I5119" s="13"/>
      <c r="J5119" s="13"/>
      <c r="K5119" s="13"/>
      <c r="L5119" s="15">
        <v>0</v>
      </c>
    </row>
    <row r="5120" spans="1:12">
      <c r="A5120" s="12"/>
      <c r="E5120" s="14"/>
      <c r="F5120" s="14"/>
      <c r="G5120" s="13">
        <v>0</v>
      </c>
      <c r="H5120" s="13">
        <v>0</v>
      </c>
      <c r="I5120" s="13"/>
      <c r="J5120" s="13"/>
      <c r="K5120" s="13"/>
      <c r="L5120" s="15">
        <v>0</v>
      </c>
    </row>
    <row r="5121" spans="1:12">
      <c r="A5121" s="12"/>
      <c r="E5121" s="14"/>
      <c r="F5121" s="14"/>
      <c r="G5121" s="13">
        <v>0</v>
      </c>
      <c r="H5121" s="13">
        <v>0</v>
      </c>
      <c r="I5121" s="13"/>
      <c r="J5121" s="13"/>
      <c r="K5121" s="13"/>
      <c r="L5121" s="15">
        <v>0</v>
      </c>
    </row>
    <row r="5122" spans="1:12">
      <c r="A5122" s="12"/>
      <c r="E5122" s="14"/>
      <c r="F5122" s="14"/>
      <c r="G5122" s="13">
        <v>0</v>
      </c>
      <c r="H5122" s="13">
        <v>0</v>
      </c>
      <c r="I5122" s="13"/>
      <c r="J5122" s="13"/>
      <c r="K5122" s="13"/>
      <c r="L5122" s="15">
        <v>0</v>
      </c>
    </row>
    <row r="5123" spans="1:12">
      <c r="A5123" s="12"/>
      <c r="E5123" s="14"/>
      <c r="F5123" s="14"/>
      <c r="G5123" s="13">
        <v>0</v>
      </c>
      <c r="H5123" s="13">
        <v>0</v>
      </c>
      <c r="I5123" s="13"/>
      <c r="J5123" s="13"/>
      <c r="K5123" s="13"/>
      <c r="L5123" s="15">
        <v>0</v>
      </c>
    </row>
    <row r="5124" spans="1:12">
      <c r="A5124" s="12"/>
      <c r="E5124" s="14"/>
      <c r="F5124" s="14"/>
      <c r="G5124" s="13">
        <v>0</v>
      </c>
      <c r="H5124" s="13">
        <v>0</v>
      </c>
      <c r="I5124" s="13"/>
      <c r="J5124" s="13"/>
      <c r="K5124" s="13"/>
      <c r="L5124" s="15">
        <v>0</v>
      </c>
    </row>
    <row r="5125" spans="1:12">
      <c r="A5125" s="12"/>
      <c r="E5125" s="14"/>
      <c r="F5125" s="14"/>
      <c r="G5125" s="13">
        <v>0</v>
      </c>
      <c r="H5125" s="13">
        <v>0</v>
      </c>
      <c r="I5125" s="13"/>
      <c r="J5125" s="13"/>
      <c r="K5125" s="13"/>
      <c r="L5125" s="15">
        <v>0</v>
      </c>
    </row>
    <row r="5126" spans="1:12">
      <c r="A5126" s="12"/>
      <c r="E5126" s="14"/>
      <c r="F5126" s="14"/>
      <c r="G5126" s="13">
        <v>0</v>
      </c>
      <c r="H5126" s="13">
        <v>0</v>
      </c>
      <c r="I5126" s="13"/>
      <c r="J5126" s="13"/>
      <c r="K5126" s="13"/>
      <c r="L5126" s="15">
        <v>0</v>
      </c>
    </row>
    <row r="5127" spans="1:12">
      <c r="A5127" s="12"/>
      <c r="E5127" s="14"/>
      <c r="F5127" s="14"/>
      <c r="G5127" s="13">
        <v>0</v>
      </c>
      <c r="H5127" s="13">
        <v>0</v>
      </c>
      <c r="I5127" s="13"/>
      <c r="J5127" s="13"/>
      <c r="K5127" s="13"/>
      <c r="L5127" s="15">
        <v>0</v>
      </c>
    </row>
    <row r="5128" spans="1:12">
      <c r="A5128" s="12"/>
      <c r="E5128" s="14"/>
      <c r="F5128" s="14"/>
      <c r="G5128" s="13">
        <v>0</v>
      </c>
      <c r="H5128" s="13">
        <v>0</v>
      </c>
      <c r="I5128" s="13"/>
      <c r="J5128" s="13"/>
      <c r="K5128" s="13"/>
      <c r="L5128" s="15">
        <v>0</v>
      </c>
    </row>
    <row r="5129" spans="1:12">
      <c r="A5129" s="12"/>
      <c r="E5129" s="14"/>
      <c r="F5129" s="14"/>
      <c r="G5129" s="13">
        <v>0</v>
      </c>
      <c r="H5129" s="13">
        <v>0</v>
      </c>
      <c r="I5129" s="13"/>
      <c r="J5129" s="13"/>
      <c r="K5129" s="13"/>
      <c r="L5129" s="15">
        <v>0</v>
      </c>
    </row>
    <row r="5130" spans="1:12">
      <c r="A5130" s="12"/>
      <c r="E5130" s="14"/>
      <c r="F5130" s="14"/>
      <c r="G5130" s="13">
        <v>0</v>
      </c>
      <c r="H5130" s="13">
        <v>0</v>
      </c>
      <c r="I5130" s="13"/>
      <c r="J5130" s="13"/>
      <c r="K5130" s="13"/>
      <c r="L5130" s="15">
        <v>0</v>
      </c>
    </row>
    <row r="5131" spans="1:12">
      <c r="A5131" s="12"/>
      <c r="E5131" s="14"/>
      <c r="F5131" s="14"/>
      <c r="G5131" s="13">
        <v>0</v>
      </c>
      <c r="H5131" s="13">
        <v>0</v>
      </c>
      <c r="I5131" s="13"/>
      <c r="J5131" s="13"/>
      <c r="K5131" s="13"/>
      <c r="L5131" s="15">
        <v>0</v>
      </c>
    </row>
    <row r="5132" spans="1:12">
      <c r="A5132" s="12"/>
      <c r="E5132" s="14"/>
      <c r="F5132" s="14"/>
      <c r="G5132" s="13">
        <v>0</v>
      </c>
      <c r="H5132" s="13">
        <v>0</v>
      </c>
      <c r="I5132" s="13"/>
      <c r="J5132" s="13"/>
      <c r="K5132" s="13"/>
      <c r="L5132" s="15">
        <v>0</v>
      </c>
    </row>
    <row r="5133" spans="1:12">
      <c r="A5133" s="12"/>
      <c r="E5133" s="14"/>
      <c r="F5133" s="14"/>
      <c r="G5133" s="13">
        <v>0</v>
      </c>
      <c r="H5133" s="13">
        <v>0</v>
      </c>
      <c r="I5133" s="13"/>
      <c r="J5133" s="13"/>
      <c r="K5133" s="13"/>
      <c r="L5133" s="15">
        <v>0</v>
      </c>
    </row>
    <row r="5134" spans="1:12">
      <c r="A5134" s="12"/>
      <c r="E5134" s="14"/>
      <c r="F5134" s="14"/>
      <c r="G5134" s="13">
        <v>0</v>
      </c>
      <c r="H5134" s="13">
        <v>0</v>
      </c>
      <c r="I5134" s="13"/>
      <c r="J5134" s="13"/>
      <c r="K5134" s="13"/>
      <c r="L5134" s="15">
        <v>0</v>
      </c>
    </row>
    <row r="5135" spans="1:12">
      <c r="A5135" s="12"/>
      <c r="E5135" s="14"/>
      <c r="F5135" s="14"/>
      <c r="G5135" s="13">
        <v>0</v>
      </c>
      <c r="H5135" s="13">
        <v>0</v>
      </c>
      <c r="I5135" s="13"/>
      <c r="J5135" s="13"/>
      <c r="K5135" s="13"/>
      <c r="L5135" s="15">
        <v>0</v>
      </c>
    </row>
    <row r="5136" spans="1:12">
      <c r="A5136" s="12"/>
      <c r="E5136" s="14"/>
      <c r="F5136" s="14"/>
      <c r="G5136" s="13">
        <v>0</v>
      </c>
      <c r="H5136" s="13">
        <v>0</v>
      </c>
      <c r="I5136" s="13"/>
      <c r="J5136" s="13"/>
      <c r="K5136" s="13"/>
      <c r="L5136" s="15">
        <v>0</v>
      </c>
    </row>
    <row r="5137" spans="1:12">
      <c r="A5137" s="12"/>
      <c r="E5137" s="14"/>
      <c r="F5137" s="14"/>
      <c r="G5137" s="13">
        <v>0</v>
      </c>
      <c r="H5137" s="13">
        <v>0</v>
      </c>
      <c r="I5137" s="13"/>
      <c r="J5137" s="13"/>
      <c r="K5137" s="13"/>
      <c r="L5137" s="15">
        <v>0</v>
      </c>
    </row>
    <row r="5138" spans="1:12">
      <c r="A5138" s="12"/>
      <c r="E5138" s="14"/>
      <c r="F5138" s="14"/>
      <c r="G5138" s="13">
        <v>0</v>
      </c>
      <c r="H5138" s="13">
        <v>0</v>
      </c>
      <c r="I5138" s="13"/>
      <c r="J5138" s="13"/>
      <c r="K5138" s="13"/>
      <c r="L5138" s="15">
        <v>0</v>
      </c>
    </row>
    <row r="5139" spans="1:12">
      <c r="A5139" s="12"/>
      <c r="E5139" s="14"/>
      <c r="F5139" s="14"/>
      <c r="G5139" s="13">
        <v>0</v>
      </c>
      <c r="H5139" s="13">
        <v>0</v>
      </c>
      <c r="I5139" s="13"/>
      <c r="J5139" s="13"/>
      <c r="K5139" s="13"/>
      <c r="L5139" s="15">
        <v>0</v>
      </c>
    </row>
    <row r="5140" spans="1:12">
      <c r="A5140" s="12"/>
      <c r="E5140" s="14"/>
      <c r="F5140" s="14"/>
      <c r="G5140" s="13">
        <v>0</v>
      </c>
      <c r="H5140" s="13">
        <v>0</v>
      </c>
      <c r="I5140" s="13"/>
      <c r="J5140" s="13"/>
      <c r="K5140" s="13"/>
      <c r="L5140" s="15">
        <v>0</v>
      </c>
    </row>
    <row r="5141" spans="1:12">
      <c r="A5141" s="12"/>
      <c r="E5141" s="14"/>
      <c r="F5141" s="14"/>
      <c r="G5141" s="13">
        <v>0</v>
      </c>
      <c r="H5141" s="13">
        <v>0</v>
      </c>
      <c r="I5141" s="13"/>
      <c r="J5141" s="13"/>
      <c r="K5141" s="13"/>
      <c r="L5141" s="15">
        <v>0</v>
      </c>
    </row>
    <row r="5142" spans="1:12">
      <c r="A5142" s="12"/>
      <c r="E5142" s="14"/>
      <c r="F5142" s="14"/>
      <c r="G5142" s="13">
        <v>0</v>
      </c>
      <c r="H5142" s="13">
        <v>0</v>
      </c>
      <c r="I5142" s="13"/>
      <c r="J5142" s="13"/>
      <c r="K5142" s="13"/>
      <c r="L5142" s="15">
        <v>0</v>
      </c>
    </row>
    <row r="5143" spans="1:12">
      <c r="A5143" s="12"/>
      <c r="E5143" s="14"/>
      <c r="F5143" s="14"/>
      <c r="G5143" s="13">
        <v>0</v>
      </c>
      <c r="H5143" s="13">
        <v>0</v>
      </c>
      <c r="I5143" s="13"/>
      <c r="J5143" s="13"/>
      <c r="K5143" s="13"/>
      <c r="L5143" s="15">
        <v>0</v>
      </c>
    </row>
    <row r="5144" spans="1:12">
      <c r="A5144" s="12"/>
      <c r="E5144" s="14"/>
      <c r="F5144" s="14"/>
      <c r="G5144" s="13">
        <v>0</v>
      </c>
      <c r="H5144" s="13">
        <v>0</v>
      </c>
      <c r="I5144" s="13"/>
      <c r="J5144" s="13"/>
      <c r="K5144" s="13"/>
      <c r="L5144" s="15">
        <v>0</v>
      </c>
    </row>
    <row r="5145" spans="1:12">
      <c r="A5145" s="12"/>
      <c r="E5145" s="14"/>
      <c r="F5145" s="14"/>
      <c r="G5145" s="13">
        <v>0</v>
      </c>
      <c r="H5145" s="13">
        <v>0</v>
      </c>
      <c r="I5145" s="13"/>
      <c r="J5145" s="13"/>
      <c r="K5145" s="13"/>
      <c r="L5145" s="15">
        <v>0</v>
      </c>
    </row>
    <row r="5146" spans="1:12">
      <c r="A5146" s="12"/>
      <c r="E5146" s="14"/>
      <c r="F5146" s="14"/>
      <c r="G5146" s="13">
        <v>0</v>
      </c>
      <c r="H5146" s="13">
        <v>0</v>
      </c>
      <c r="I5146" s="13"/>
      <c r="J5146" s="13"/>
      <c r="K5146" s="13"/>
      <c r="L5146" s="15">
        <v>0</v>
      </c>
    </row>
    <row r="5147" spans="1:12">
      <c r="A5147" s="12"/>
      <c r="E5147" s="14"/>
      <c r="F5147" s="14"/>
      <c r="G5147" s="13">
        <v>0</v>
      </c>
      <c r="H5147" s="13">
        <v>0</v>
      </c>
      <c r="I5147" s="13"/>
      <c r="J5147" s="13"/>
      <c r="K5147" s="13"/>
      <c r="L5147" s="15">
        <v>0</v>
      </c>
    </row>
    <row r="5148" spans="1:12">
      <c r="A5148" s="12"/>
      <c r="E5148" s="14"/>
      <c r="F5148" s="14"/>
      <c r="G5148" s="13">
        <v>0</v>
      </c>
      <c r="H5148" s="13">
        <v>0</v>
      </c>
      <c r="I5148" s="13"/>
      <c r="J5148" s="13"/>
      <c r="K5148" s="13"/>
      <c r="L5148" s="15">
        <v>0</v>
      </c>
    </row>
    <row r="5149" spans="1:12">
      <c r="A5149" s="12"/>
      <c r="E5149" s="14"/>
      <c r="F5149" s="14"/>
      <c r="G5149" s="13">
        <v>0</v>
      </c>
      <c r="H5149" s="13">
        <v>0</v>
      </c>
      <c r="I5149" s="13"/>
      <c r="J5149" s="13"/>
      <c r="K5149" s="13"/>
      <c r="L5149" s="15">
        <v>0</v>
      </c>
    </row>
    <row r="5150" spans="1:12">
      <c r="A5150" s="12"/>
      <c r="E5150" s="14"/>
      <c r="F5150" s="14"/>
      <c r="G5150" s="13">
        <v>0</v>
      </c>
      <c r="H5150" s="13">
        <v>0</v>
      </c>
      <c r="I5150" s="13"/>
      <c r="J5150" s="13"/>
      <c r="K5150" s="13"/>
      <c r="L5150" s="15">
        <v>0</v>
      </c>
    </row>
    <row r="5151" spans="1:12">
      <c r="A5151" s="12"/>
      <c r="E5151" s="14"/>
      <c r="F5151" s="14"/>
      <c r="G5151" s="13">
        <v>0</v>
      </c>
      <c r="H5151" s="13">
        <v>0</v>
      </c>
      <c r="I5151" s="13"/>
      <c r="J5151" s="13"/>
      <c r="K5151" s="13"/>
      <c r="L5151" s="15">
        <v>0</v>
      </c>
    </row>
    <row r="5152" spans="1:12">
      <c r="A5152" s="12"/>
      <c r="E5152" s="14"/>
      <c r="F5152" s="14"/>
      <c r="G5152" s="13">
        <v>0</v>
      </c>
      <c r="H5152" s="13">
        <v>0</v>
      </c>
      <c r="I5152" s="13"/>
      <c r="J5152" s="13"/>
      <c r="K5152" s="13"/>
      <c r="L5152" s="15">
        <v>0</v>
      </c>
    </row>
    <row r="5153" spans="1:12">
      <c r="A5153" s="12"/>
      <c r="E5153" s="14"/>
      <c r="F5153" s="14"/>
      <c r="G5153" s="13">
        <v>0</v>
      </c>
      <c r="H5153" s="13">
        <v>0</v>
      </c>
      <c r="I5153" s="13"/>
      <c r="J5153" s="13"/>
      <c r="K5153" s="13"/>
      <c r="L5153" s="15">
        <v>0</v>
      </c>
    </row>
    <row r="5154" spans="1:12">
      <c r="A5154" s="12"/>
      <c r="E5154" s="14"/>
      <c r="F5154" s="14"/>
      <c r="G5154" s="13">
        <v>0</v>
      </c>
      <c r="H5154" s="13">
        <v>0</v>
      </c>
      <c r="I5154" s="13"/>
      <c r="J5154" s="13"/>
      <c r="K5154" s="13"/>
      <c r="L5154" s="15">
        <v>0</v>
      </c>
    </row>
    <row r="5155" spans="1:12">
      <c r="A5155" s="12"/>
      <c r="E5155" s="14"/>
      <c r="F5155" s="14"/>
      <c r="G5155" s="13">
        <v>0</v>
      </c>
      <c r="H5155" s="13">
        <v>0</v>
      </c>
      <c r="I5155" s="13"/>
      <c r="J5155" s="13"/>
      <c r="K5155" s="13"/>
      <c r="L5155" s="15">
        <v>0</v>
      </c>
    </row>
    <row r="5156" spans="1:12">
      <c r="A5156" s="12"/>
      <c r="E5156" s="14"/>
      <c r="F5156" s="14"/>
      <c r="G5156" s="13">
        <v>0</v>
      </c>
      <c r="H5156" s="13">
        <v>0</v>
      </c>
      <c r="I5156" s="13"/>
      <c r="J5156" s="13"/>
      <c r="K5156" s="13"/>
      <c r="L5156" s="15">
        <v>0</v>
      </c>
    </row>
    <row r="5157" spans="1:12">
      <c r="A5157" s="12"/>
      <c r="E5157" s="14"/>
      <c r="F5157" s="14"/>
      <c r="G5157" s="13">
        <v>0</v>
      </c>
      <c r="H5157" s="13">
        <v>0</v>
      </c>
      <c r="I5157" s="13"/>
      <c r="J5157" s="13"/>
      <c r="K5157" s="13"/>
      <c r="L5157" s="15">
        <v>0</v>
      </c>
    </row>
    <row r="5158" spans="1:12">
      <c r="A5158" s="12"/>
      <c r="E5158" s="14"/>
      <c r="F5158" s="14"/>
      <c r="G5158" s="13">
        <v>0</v>
      </c>
      <c r="H5158" s="13">
        <v>0</v>
      </c>
      <c r="I5158" s="13"/>
      <c r="J5158" s="13"/>
      <c r="K5158" s="13"/>
      <c r="L5158" s="15">
        <v>0</v>
      </c>
    </row>
    <row r="5159" spans="1:12">
      <c r="A5159" s="12"/>
      <c r="E5159" s="14"/>
      <c r="F5159" s="14"/>
      <c r="G5159" s="13">
        <v>0</v>
      </c>
      <c r="H5159" s="13">
        <v>0</v>
      </c>
      <c r="I5159" s="13"/>
      <c r="J5159" s="13"/>
      <c r="K5159" s="13"/>
      <c r="L5159" s="15">
        <v>0</v>
      </c>
    </row>
    <row r="5160" spans="1:12">
      <c r="A5160" s="12"/>
      <c r="E5160" s="14"/>
      <c r="F5160" s="14"/>
      <c r="G5160" s="13">
        <v>0</v>
      </c>
      <c r="H5160" s="13">
        <v>0</v>
      </c>
      <c r="I5160" s="13"/>
      <c r="J5160" s="13"/>
      <c r="K5160" s="13"/>
      <c r="L5160" s="15">
        <v>0</v>
      </c>
    </row>
    <row r="5161" spans="1:12">
      <c r="A5161" s="12"/>
      <c r="E5161" s="14"/>
      <c r="F5161" s="14"/>
      <c r="G5161" s="13">
        <v>0</v>
      </c>
      <c r="H5161" s="13">
        <v>0</v>
      </c>
      <c r="I5161" s="13"/>
      <c r="J5161" s="13"/>
      <c r="K5161" s="13"/>
      <c r="L5161" s="15">
        <v>0</v>
      </c>
    </row>
    <row r="5162" spans="1:12">
      <c r="A5162" s="12"/>
      <c r="E5162" s="14"/>
      <c r="F5162" s="14"/>
      <c r="G5162" s="13">
        <v>0</v>
      </c>
      <c r="H5162" s="13">
        <v>0</v>
      </c>
      <c r="I5162" s="13"/>
      <c r="J5162" s="13"/>
      <c r="K5162" s="13"/>
      <c r="L5162" s="15">
        <v>0</v>
      </c>
    </row>
    <row r="5163" spans="1:12">
      <c r="A5163" s="12"/>
      <c r="E5163" s="14"/>
      <c r="F5163" s="14"/>
      <c r="G5163" s="13">
        <v>0</v>
      </c>
      <c r="H5163" s="13">
        <v>0</v>
      </c>
      <c r="I5163" s="13"/>
      <c r="J5163" s="13"/>
      <c r="K5163" s="13"/>
      <c r="L5163" s="15">
        <v>0</v>
      </c>
    </row>
    <row r="5164" spans="1:12">
      <c r="A5164" s="12"/>
      <c r="E5164" s="14"/>
      <c r="F5164" s="14"/>
      <c r="G5164" s="13">
        <v>0</v>
      </c>
      <c r="H5164" s="13">
        <v>0</v>
      </c>
      <c r="I5164" s="13"/>
      <c r="J5164" s="13"/>
      <c r="K5164" s="13"/>
      <c r="L5164" s="15">
        <v>0</v>
      </c>
    </row>
    <row r="5165" spans="1:12">
      <c r="A5165" s="12"/>
      <c r="E5165" s="14"/>
      <c r="F5165" s="14"/>
      <c r="G5165" s="13">
        <v>0</v>
      </c>
      <c r="H5165" s="13">
        <v>0</v>
      </c>
      <c r="I5165" s="13"/>
      <c r="J5165" s="13"/>
      <c r="K5165" s="13"/>
      <c r="L5165" s="15">
        <v>0</v>
      </c>
    </row>
    <row r="5166" spans="1:12">
      <c r="A5166" s="12"/>
      <c r="E5166" s="14"/>
      <c r="F5166" s="14"/>
      <c r="G5166" s="13">
        <v>0</v>
      </c>
      <c r="H5166" s="13">
        <v>0</v>
      </c>
      <c r="I5166" s="13"/>
      <c r="J5166" s="13"/>
      <c r="K5166" s="13"/>
      <c r="L5166" s="15">
        <v>0</v>
      </c>
    </row>
    <row r="5167" spans="1:12">
      <c r="A5167" s="12"/>
      <c r="E5167" s="14"/>
      <c r="F5167" s="14"/>
      <c r="G5167" s="13">
        <v>0</v>
      </c>
      <c r="H5167" s="13">
        <v>0</v>
      </c>
      <c r="I5167" s="13"/>
      <c r="J5167" s="13"/>
      <c r="K5167" s="13"/>
      <c r="L5167" s="15">
        <v>0</v>
      </c>
    </row>
    <row r="5168" spans="1:12">
      <c r="A5168" s="12"/>
      <c r="E5168" s="14"/>
      <c r="F5168" s="14"/>
      <c r="G5168" s="13">
        <v>0</v>
      </c>
      <c r="H5168" s="13">
        <v>0</v>
      </c>
      <c r="I5168" s="13"/>
      <c r="J5168" s="13"/>
      <c r="K5168" s="13"/>
      <c r="L5168" s="15">
        <v>0</v>
      </c>
    </row>
    <row r="5169" spans="1:12">
      <c r="A5169" s="12"/>
      <c r="E5169" s="14"/>
      <c r="F5169" s="14"/>
      <c r="G5169" s="13">
        <v>0</v>
      </c>
      <c r="H5169" s="13">
        <v>0</v>
      </c>
      <c r="I5169" s="13"/>
      <c r="J5169" s="13"/>
      <c r="K5169" s="13"/>
      <c r="L5169" s="15">
        <v>0</v>
      </c>
    </row>
    <row r="5170" spans="1:12">
      <c r="A5170" s="12"/>
      <c r="E5170" s="14"/>
      <c r="F5170" s="14"/>
      <c r="G5170" s="13">
        <v>0</v>
      </c>
      <c r="H5170" s="13">
        <v>0</v>
      </c>
      <c r="I5170" s="13"/>
      <c r="J5170" s="13"/>
      <c r="K5170" s="13"/>
      <c r="L5170" s="15">
        <v>0</v>
      </c>
    </row>
    <row r="5171" spans="1:12">
      <c r="A5171" s="12"/>
      <c r="E5171" s="14"/>
      <c r="F5171" s="14"/>
      <c r="G5171" s="13">
        <v>0</v>
      </c>
      <c r="H5171" s="13">
        <v>0</v>
      </c>
      <c r="I5171" s="13"/>
      <c r="J5171" s="13"/>
      <c r="K5171" s="13"/>
      <c r="L5171" s="15">
        <v>0</v>
      </c>
    </row>
    <row r="5172" spans="1:12">
      <c r="A5172" s="12"/>
      <c r="E5172" s="14"/>
      <c r="F5172" s="14"/>
      <c r="G5172" s="13">
        <v>0</v>
      </c>
      <c r="H5172" s="13">
        <v>0</v>
      </c>
      <c r="I5172" s="13"/>
      <c r="J5172" s="13"/>
      <c r="K5172" s="13"/>
      <c r="L5172" s="15">
        <v>0</v>
      </c>
    </row>
    <row r="5173" spans="1:12">
      <c r="A5173" s="12"/>
      <c r="E5173" s="14"/>
      <c r="F5173" s="14"/>
      <c r="G5173" s="13">
        <v>0</v>
      </c>
      <c r="H5173" s="13">
        <v>0</v>
      </c>
      <c r="I5173" s="13"/>
      <c r="J5173" s="13"/>
      <c r="K5173" s="13"/>
      <c r="L5173" s="15">
        <v>0</v>
      </c>
    </row>
    <row r="5174" spans="1:12">
      <c r="A5174" s="12"/>
      <c r="E5174" s="14"/>
      <c r="F5174" s="14"/>
      <c r="G5174" s="13">
        <v>0</v>
      </c>
      <c r="H5174" s="13">
        <v>0</v>
      </c>
      <c r="I5174" s="13"/>
      <c r="J5174" s="13"/>
      <c r="K5174" s="13"/>
      <c r="L5174" s="15">
        <v>0</v>
      </c>
    </row>
    <row r="5175" spans="1:12">
      <c r="A5175" s="12"/>
      <c r="E5175" s="14"/>
      <c r="F5175" s="14"/>
      <c r="G5175" s="13">
        <v>0</v>
      </c>
      <c r="H5175" s="13">
        <v>0</v>
      </c>
      <c r="I5175" s="13"/>
      <c r="J5175" s="13"/>
      <c r="K5175" s="13"/>
      <c r="L5175" s="15">
        <v>0</v>
      </c>
    </row>
    <row r="5176" spans="1:12">
      <c r="A5176" s="12"/>
      <c r="E5176" s="14"/>
      <c r="F5176" s="14"/>
      <c r="G5176" s="13">
        <v>0</v>
      </c>
      <c r="H5176" s="13">
        <v>0</v>
      </c>
      <c r="I5176" s="13"/>
      <c r="J5176" s="13"/>
      <c r="K5176" s="13"/>
      <c r="L5176" s="15">
        <v>0</v>
      </c>
    </row>
    <row r="5177" spans="1:12">
      <c r="A5177" s="12"/>
      <c r="E5177" s="14"/>
      <c r="F5177" s="14"/>
      <c r="G5177" s="13">
        <v>0</v>
      </c>
      <c r="H5177" s="13">
        <v>0</v>
      </c>
      <c r="I5177" s="13"/>
      <c r="J5177" s="13"/>
      <c r="K5177" s="13"/>
      <c r="L5177" s="15">
        <v>0</v>
      </c>
    </row>
    <row r="5178" spans="1:12">
      <c r="A5178" s="12"/>
      <c r="E5178" s="14"/>
      <c r="F5178" s="14"/>
      <c r="G5178" s="13">
        <v>0</v>
      </c>
      <c r="H5178" s="13">
        <v>0</v>
      </c>
      <c r="I5178" s="13"/>
      <c r="J5178" s="13"/>
      <c r="K5178" s="13"/>
      <c r="L5178" s="15">
        <v>0</v>
      </c>
    </row>
    <row r="5179" spans="1:12">
      <c r="A5179" s="12"/>
      <c r="E5179" s="14"/>
      <c r="F5179" s="14"/>
      <c r="G5179" s="13">
        <v>0</v>
      </c>
      <c r="H5179" s="13">
        <v>0</v>
      </c>
      <c r="I5179" s="13"/>
      <c r="J5179" s="13"/>
      <c r="K5179" s="13"/>
      <c r="L5179" s="15">
        <v>0</v>
      </c>
    </row>
    <row r="5180" spans="1:12">
      <c r="A5180" s="12"/>
      <c r="E5180" s="14"/>
      <c r="F5180" s="14"/>
      <c r="G5180" s="13">
        <v>0</v>
      </c>
      <c r="H5180" s="13">
        <v>0</v>
      </c>
      <c r="I5180" s="13"/>
      <c r="J5180" s="13"/>
      <c r="K5180" s="13"/>
      <c r="L5180" s="15">
        <v>0</v>
      </c>
    </row>
    <row r="5181" spans="1:12">
      <c r="A5181" s="12"/>
      <c r="E5181" s="14"/>
      <c r="F5181" s="14"/>
      <c r="G5181" s="13">
        <v>0</v>
      </c>
      <c r="H5181" s="13">
        <v>0</v>
      </c>
      <c r="I5181" s="13"/>
      <c r="J5181" s="13"/>
      <c r="K5181" s="13"/>
      <c r="L5181" s="15">
        <v>0</v>
      </c>
    </row>
    <row r="5182" spans="1:12">
      <c r="A5182" s="12"/>
      <c r="E5182" s="14"/>
      <c r="F5182" s="14"/>
      <c r="G5182" s="13">
        <v>0</v>
      </c>
      <c r="H5182" s="13">
        <v>0</v>
      </c>
      <c r="I5182" s="13"/>
      <c r="J5182" s="13"/>
      <c r="K5182" s="13"/>
      <c r="L5182" s="15">
        <v>0</v>
      </c>
    </row>
    <row r="5183" spans="1:12">
      <c r="A5183" s="12"/>
      <c r="E5183" s="14"/>
      <c r="F5183" s="14"/>
      <c r="G5183" s="13">
        <v>0</v>
      </c>
      <c r="H5183" s="13">
        <v>0</v>
      </c>
      <c r="I5183" s="13"/>
      <c r="J5183" s="13"/>
      <c r="K5183" s="13"/>
      <c r="L5183" s="15">
        <v>0</v>
      </c>
    </row>
    <row r="5184" spans="1:12">
      <c r="A5184" s="12"/>
      <c r="E5184" s="14"/>
      <c r="F5184" s="14"/>
      <c r="G5184" s="13">
        <v>0</v>
      </c>
      <c r="H5184" s="13">
        <v>0</v>
      </c>
      <c r="I5184" s="13"/>
      <c r="J5184" s="13"/>
      <c r="K5184" s="13"/>
      <c r="L5184" s="15">
        <v>0</v>
      </c>
    </row>
    <row r="5185" spans="1:12">
      <c r="A5185" s="12"/>
      <c r="E5185" s="14"/>
      <c r="F5185" s="14"/>
      <c r="G5185" s="13">
        <v>0</v>
      </c>
      <c r="H5185" s="13">
        <v>0</v>
      </c>
      <c r="I5185" s="13"/>
      <c r="J5185" s="13"/>
      <c r="K5185" s="13"/>
      <c r="L5185" s="15">
        <v>0</v>
      </c>
    </row>
    <row r="5186" spans="1:12">
      <c r="A5186" s="12"/>
      <c r="E5186" s="14"/>
      <c r="F5186" s="14"/>
      <c r="G5186" s="13">
        <v>0</v>
      </c>
      <c r="H5186" s="13">
        <v>0</v>
      </c>
      <c r="I5186" s="13"/>
      <c r="J5186" s="13"/>
      <c r="K5186" s="13"/>
      <c r="L5186" s="15">
        <v>0</v>
      </c>
    </row>
    <row r="5187" spans="1:12">
      <c r="A5187" s="12"/>
      <c r="E5187" s="14"/>
      <c r="F5187" s="14"/>
      <c r="G5187" s="13">
        <v>0</v>
      </c>
      <c r="H5187" s="13">
        <v>0</v>
      </c>
      <c r="I5187" s="13"/>
      <c r="J5187" s="13"/>
      <c r="K5187" s="13"/>
      <c r="L5187" s="15">
        <v>0</v>
      </c>
    </row>
    <row r="5188" spans="1:12">
      <c r="A5188" s="12"/>
      <c r="E5188" s="14"/>
      <c r="F5188" s="14"/>
      <c r="G5188" s="13">
        <v>0</v>
      </c>
      <c r="H5188" s="13">
        <v>0</v>
      </c>
      <c r="I5188" s="13"/>
      <c r="J5188" s="13"/>
      <c r="K5188" s="13"/>
      <c r="L5188" s="15">
        <v>0</v>
      </c>
    </row>
    <row r="5189" spans="1:12">
      <c r="A5189" s="12"/>
      <c r="E5189" s="14"/>
      <c r="F5189" s="14"/>
      <c r="G5189" s="13">
        <v>0</v>
      </c>
      <c r="H5189" s="13">
        <v>0</v>
      </c>
      <c r="I5189" s="13"/>
      <c r="J5189" s="13"/>
      <c r="K5189" s="13"/>
      <c r="L5189" s="15">
        <v>0</v>
      </c>
    </row>
    <row r="5190" spans="1:12">
      <c r="A5190" s="12"/>
      <c r="E5190" s="14"/>
      <c r="F5190" s="14"/>
      <c r="G5190" s="13">
        <v>0</v>
      </c>
      <c r="H5190" s="13">
        <v>0</v>
      </c>
      <c r="I5190" s="13"/>
      <c r="J5190" s="13"/>
      <c r="K5190" s="13"/>
      <c r="L5190" s="15">
        <v>0</v>
      </c>
    </row>
    <row r="5191" spans="1:12">
      <c r="A5191" s="12"/>
      <c r="E5191" s="14"/>
      <c r="F5191" s="14"/>
      <c r="G5191" s="13">
        <v>0</v>
      </c>
      <c r="H5191" s="13">
        <v>0</v>
      </c>
      <c r="I5191" s="13"/>
      <c r="J5191" s="13"/>
      <c r="K5191" s="13"/>
      <c r="L5191" s="15">
        <v>0</v>
      </c>
    </row>
    <row r="5192" spans="1:12">
      <c r="A5192" s="12"/>
      <c r="E5192" s="14"/>
      <c r="F5192" s="14"/>
      <c r="G5192" s="13">
        <v>0</v>
      </c>
      <c r="H5192" s="13">
        <v>0</v>
      </c>
      <c r="I5192" s="13"/>
      <c r="J5192" s="13"/>
      <c r="K5192" s="13"/>
      <c r="L5192" s="15">
        <v>0</v>
      </c>
    </row>
    <row r="5193" spans="1:12">
      <c r="A5193" s="12"/>
      <c r="E5193" s="14"/>
      <c r="F5193" s="14"/>
      <c r="G5193" s="13">
        <v>0</v>
      </c>
      <c r="H5193" s="13">
        <v>0</v>
      </c>
      <c r="I5193" s="13"/>
      <c r="J5193" s="13"/>
      <c r="K5193" s="13"/>
      <c r="L5193" s="15">
        <v>0</v>
      </c>
    </row>
    <row r="5194" spans="1:12">
      <c r="A5194" s="12"/>
      <c r="E5194" s="14"/>
      <c r="F5194" s="14"/>
      <c r="G5194" s="13">
        <v>0</v>
      </c>
      <c r="H5194" s="13">
        <v>0</v>
      </c>
      <c r="I5194" s="13"/>
      <c r="J5194" s="13"/>
      <c r="K5194" s="13"/>
      <c r="L5194" s="15">
        <v>0</v>
      </c>
    </row>
    <row r="5195" spans="1:12">
      <c r="A5195" s="12"/>
      <c r="E5195" s="14"/>
      <c r="F5195" s="14"/>
      <c r="G5195" s="13">
        <v>0</v>
      </c>
      <c r="H5195" s="13">
        <v>0</v>
      </c>
      <c r="I5195" s="13"/>
      <c r="J5195" s="13"/>
      <c r="K5195" s="13"/>
      <c r="L5195" s="15">
        <v>0</v>
      </c>
    </row>
    <row r="5196" spans="1:12">
      <c r="A5196" s="12"/>
      <c r="E5196" s="14"/>
      <c r="F5196" s="14"/>
      <c r="G5196" s="13">
        <v>0</v>
      </c>
      <c r="H5196" s="13">
        <v>0</v>
      </c>
      <c r="I5196" s="13"/>
      <c r="J5196" s="13"/>
      <c r="K5196" s="13"/>
      <c r="L5196" s="15">
        <v>0</v>
      </c>
    </row>
    <row r="5197" spans="1:12">
      <c r="A5197" s="12"/>
      <c r="E5197" s="14"/>
      <c r="F5197" s="14"/>
      <c r="G5197" s="13">
        <v>0</v>
      </c>
      <c r="H5197" s="13">
        <v>0</v>
      </c>
      <c r="I5197" s="13"/>
      <c r="J5197" s="13"/>
      <c r="K5197" s="13"/>
      <c r="L5197" s="15">
        <v>0</v>
      </c>
    </row>
    <row r="5198" spans="1:12">
      <c r="A5198" s="12"/>
      <c r="E5198" s="14"/>
      <c r="F5198" s="14"/>
      <c r="G5198" s="13">
        <v>0</v>
      </c>
      <c r="H5198" s="13">
        <v>0</v>
      </c>
      <c r="I5198" s="13"/>
      <c r="J5198" s="13"/>
      <c r="K5198" s="13"/>
      <c r="L5198" s="15">
        <v>0</v>
      </c>
    </row>
    <row r="5199" spans="1:12">
      <c r="A5199" s="12"/>
      <c r="E5199" s="14"/>
      <c r="F5199" s="14"/>
      <c r="G5199" s="13">
        <v>0</v>
      </c>
      <c r="H5199" s="13">
        <v>0</v>
      </c>
      <c r="I5199" s="13"/>
      <c r="J5199" s="13"/>
      <c r="K5199" s="13"/>
      <c r="L5199" s="15">
        <v>0</v>
      </c>
    </row>
    <row r="5200" spans="1:12">
      <c r="A5200" s="12"/>
      <c r="E5200" s="14"/>
      <c r="F5200" s="14"/>
      <c r="G5200" s="13">
        <v>0</v>
      </c>
      <c r="H5200" s="13">
        <v>0</v>
      </c>
      <c r="I5200" s="13"/>
      <c r="J5200" s="13"/>
      <c r="K5200" s="13"/>
      <c r="L5200" s="15">
        <v>0</v>
      </c>
    </row>
    <row r="5201" spans="1:12">
      <c r="A5201" s="12"/>
      <c r="E5201" s="14"/>
      <c r="F5201" s="14"/>
      <c r="G5201" s="13">
        <v>0</v>
      </c>
      <c r="H5201" s="13">
        <v>0</v>
      </c>
      <c r="I5201" s="13"/>
      <c r="J5201" s="13"/>
      <c r="K5201" s="13"/>
      <c r="L5201" s="15">
        <v>0</v>
      </c>
    </row>
    <row r="5202" spans="1:12">
      <c r="A5202" s="12"/>
      <c r="E5202" s="14"/>
      <c r="F5202" s="14"/>
      <c r="G5202" s="13">
        <v>0</v>
      </c>
      <c r="H5202" s="13">
        <v>0</v>
      </c>
      <c r="I5202" s="13"/>
      <c r="J5202" s="13"/>
      <c r="K5202" s="13"/>
      <c r="L5202" s="15">
        <v>0</v>
      </c>
    </row>
    <row r="5203" spans="1:12">
      <c r="A5203" s="12"/>
      <c r="E5203" s="14"/>
      <c r="F5203" s="14"/>
      <c r="G5203" s="13">
        <v>0</v>
      </c>
      <c r="H5203" s="13">
        <v>0</v>
      </c>
      <c r="I5203" s="13"/>
      <c r="J5203" s="13"/>
      <c r="K5203" s="13"/>
      <c r="L5203" s="15">
        <v>0</v>
      </c>
    </row>
    <row r="5204" spans="1:12">
      <c r="A5204" s="12"/>
      <c r="E5204" s="14"/>
      <c r="F5204" s="14"/>
      <c r="G5204" s="13">
        <v>0</v>
      </c>
      <c r="H5204" s="13">
        <v>0</v>
      </c>
      <c r="I5204" s="13"/>
      <c r="J5204" s="13"/>
      <c r="K5204" s="13"/>
      <c r="L5204" s="15">
        <v>0</v>
      </c>
    </row>
    <row r="5205" spans="1:12">
      <c r="A5205" s="12"/>
      <c r="E5205" s="14"/>
      <c r="F5205" s="14"/>
      <c r="G5205" s="13">
        <v>0</v>
      </c>
      <c r="H5205" s="13">
        <v>0</v>
      </c>
      <c r="I5205" s="13"/>
      <c r="J5205" s="13"/>
      <c r="K5205" s="13"/>
      <c r="L5205" s="15">
        <v>0</v>
      </c>
    </row>
    <row r="5206" spans="1:12">
      <c r="A5206" s="12"/>
      <c r="E5206" s="14"/>
      <c r="F5206" s="14"/>
      <c r="G5206" s="13">
        <v>0</v>
      </c>
      <c r="H5206" s="13">
        <v>0</v>
      </c>
      <c r="I5206" s="13"/>
      <c r="J5206" s="13"/>
      <c r="K5206" s="13"/>
      <c r="L5206" s="15">
        <v>0</v>
      </c>
    </row>
    <row r="5207" spans="1:12">
      <c r="A5207" s="12"/>
      <c r="E5207" s="14"/>
      <c r="F5207" s="14"/>
      <c r="G5207" s="13">
        <v>0</v>
      </c>
      <c r="H5207" s="13">
        <v>0</v>
      </c>
      <c r="I5207" s="13"/>
      <c r="J5207" s="13"/>
      <c r="K5207" s="13"/>
      <c r="L5207" s="15">
        <v>0</v>
      </c>
    </row>
    <row r="5208" spans="1:12">
      <c r="A5208" s="12"/>
      <c r="E5208" s="14"/>
      <c r="F5208" s="14"/>
      <c r="G5208" s="13">
        <v>0</v>
      </c>
      <c r="H5208" s="13">
        <v>0</v>
      </c>
      <c r="I5208" s="13"/>
      <c r="J5208" s="13"/>
      <c r="K5208" s="13"/>
      <c r="L5208" s="15">
        <v>0</v>
      </c>
    </row>
    <row r="5209" spans="1:12">
      <c r="A5209" s="12"/>
      <c r="E5209" s="14"/>
      <c r="F5209" s="14"/>
      <c r="G5209" s="13">
        <v>0</v>
      </c>
      <c r="H5209" s="13">
        <v>0</v>
      </c>
      <c r="I5209" s="13"/>
      <c r="J5209" s="13"/>
      <c r="K5209" s="13"/>
      <c r="L5209" s="15">
        <v>0</v>
      </c>
    </row>
    <row r="5210" spans="1:12">
      <c r="A5210" s="12"/>
      <c r="E5210" s="14"/>
      <c r="F5210" s="14"/>
      <c r="G5210" s="13">
        <v>0</v>
      </c>
      <c r="H5210" s="13">
        <v>0</v>
      </c>
      <c r="I5210" s="13"/>
      <c r="J5210" s="13"/>
      <c r="K5210" s="13"/>
      <c r="L5210" s="15">
        <v>0</v>
      </c>
    </row>
    <row r="5211" spans="1:12">
      <c r="A5211" s="12"/>
      <c r="E5211" s="14"/>
      <c r="F5211" s="14"/>
      <c r="G5211" s="13">
        <v>0</v>
      </c>
      <c r="H5211" s="13">
        <v>0</v>
      </c>
      <c r="I5211" s="13"/>
      <c r="J5211" s="13"/>
      <c r="K5211" s="13"/>
      <c r="L5211" s="15">
        <v>0</v>
      </c>
    </row>
    <row r="5212" spans="1:12">
      <c r="A5212" s="12"/>
      <c r="E5212" s="14"/>
      <c r="F5212" s="14"/>
      <c r="G5212" s="13">
        <v>0</v>
      </c>
      <c r="H5212" s="13">
        <v>0</v>
      </c>
      <c r="I5212" s="13"/>
      <c r="J5212" s="13"/>
      <c r="K5212" s="13"/>
      <c r="L5212" s="15">
        <v>0</v>
      </c>
    </row>
    <row r="5213" spans="1:12">
      <c r="A5213" s="12"/>
      <c r="E5213" s="14"/>
      <c r="F5213" s="14"/>
      <c r="G5213" s="13">
        <v>0</v>
      </c>
      <c r="H5213" s="13">
        <v>0</v>
      </c>
      <c r="I5213" s="13"/>
      <c r="J5213" s="13"/>
      <c r="K5213" s="13"/>
      <c r="L5213" s="15">
        <v>0</v>
      </c>
    </row>
    <row r="5214" spans="1:12">
      <c r="A5214" s="12"/>
      <c r="E5214" s="14"/>
      <c r="F5214" s="14"/>
      <c r="G5214" s="13">
        <v>0</v>
      </c>
      <c r="H5214" s="13">
        <v>0</v>
      </c>
      <c r="I5214" s="13"/>
      <c r="J5214" s="13"/>
      <c r="K5214" s="13"/>
      <c r="L5214" s="15">
        <v>0</v>
      </c>
    </row>
    <row r="5215" spans="1:12">
      <c r="A5215" s="12"/>
      <c r="E5215" s="14"/>
      <c r="F5215" s="14"/>
      <c r="G5215" s="13">
        <v>0</v>
      </c>
      <c r="H5215" s="13">
        <v>0</v>
      </c>
      <c r="I5215" s="13"/>
      <c r="J5215" s="13"/>
      <c r="K5215" s="13"/>
      <c r="L5215" s="15">
        <v>0</v>
      </c>
    </row>
    <row r="5216" spans="1:12">
      <c r="A5216" s="12"/>
      <c r="E5216" s="14"/>
      <c r="F5216" s="14"/>
      <c r="G5216" s="13">
        <v>0</v>
      </c>
      <c r="H5216" s="13">
        <v>0</v>
      </c>
      <c r="I5216" s="13"/>
      <c r="J5216" s="13"/>
      <c r="K5216" s="13"/>
      <c r="L5216" s="15">
        <v>0</v>
      </c>
    </row>
    <row r="5217" spans="1:12">
      <c r="A5217" s="12"/>
      <c r="E5217" s="14"/>
      <c r="F5217" s="14"/>
      <c r="G5217" s="13">
        <v>0</v>
      </c>
      <c r="H5217" s="13">
        <v>0</v>
      </c>
      <c r="I5217" s="13"/>
      <c r="J5217" s="13"/>
      <c r="K5217" s="13"/>
      <c r="L5217" s="15">
        <v>0</v>
      </c>
    </row>
    <row r="5218" spans="1:12">
      <c r="A5218" s="12"/>
      <c r="E5218" s="14"/>
      <c r="F5218" s="14"/>
      <c r="G5218" s="13">
        <v>0</v>
      </c>
      <c r="H5218" s="13">
        <v>0</v>
      </c>
      <c r="I5218" s="13"/>
      <c r="J5218" s="13"/>
      <c r="K5218" s="13"/>
      <c r="L5218" s="15">
        <v>0</v>
      </c>
    </row>
    <row r="5219" spans="1:12">
      <c r="A5219" s="12"/>
      <c r="E5219" s="14"/>
      <c r="F5219" s="14"/>
      <c r="G5219" s="13">
        <v>0</v>
      </c>
      <c r="H5219" s="13">
        <v>0</v>
      </c>
      <c r="I5219" s="13"/>
      <c r="J5219" s="13"/>
      <c r="K5219" s="13"/>
      <c r="L5219" s="15">
        <v>0</v>
      </c>
    </row>
    <row r="5220" spans="1:12">
      <c r="A5220" s="12"/>
      <c r="E5220" s="14"/>
      <c r="F5220" s="14"/>
      <c r="G5220" s="13">
        <v>0</v>
      </c>
      <c r="H5220" s="13">
        <v>0</v>
      </c>
      <c r="I5220" s="13"/>
      <c r="J5220" s="13"/>
      <c r="K5220" s="13"/>
      <c r="L5220" s="15">
        <v>0</v>
      </c>
    </row>
    <row r="5221" spans="1:12">
      <c r="A5221" s="12"/>
      <c r="E5221" s="14"/>
      <c r="F5221" s="14"/>
      <c r="G5221" s="13">
        <v>0</v>
      </c>
      <c r="H5221" s="13">
        <v>0</v>
      </c>
      <c r="I5221" s="13"/>
      <c r="J5221" s="13"/>
      <c r="K5221" s="13"/>
      <c r="L5221" s="15">
        <v>0</v>
      </c>
    </row>
    <row r="5222" spans="1:12">
      <c r="A5222" s="12"/>
      <c r="E5222" s="14"/>
      <c r="F5222" s="14"/>
      <c r="G5222" s="13">
        <v>0</v>
      </c>
      <c r="H5222" s="13">
        <v>0</v>
      </c>
      <c r="I5222" s="13"/>
      <c r="J5222" s="13"/>
      <c r="K5222" s="13"/>
      <c r="L5222" s="15">
        <v>0</v>
      </c>
    </row>
    <row r="5223" spans="1:12">
      <c r="A5223" s="12"/>
      <c r="E5223" s="14"/>
      <c r="F5223" s="14"/>
      <c r="G5223" s="13">
        <v>0</v>
      </c>
      <c r="H5223" s="13">
        <v>0</v>
      </c>
      <c r="I5223" s="13"/>
      <c r="J5223" s="13"/>
      <c r="K5223" s="13"/>
      <c r="L5223" s="15">
        <v>0</v>
      </c>
    </row>
    <row r="5224" spans="1:12">
      <c r="A5224" s="12"/>
      <c r="E5224" s="14"/>
      <c r="F5224" s="14"/>
      <c r="G5224" s="13">
        <v>0</v>
      </c>
      <c r="H5224" s="13">
        <v>0</v>
      </c>
      <c r="I5224" s="13"/>
      <c r="J5224" s="13"/>
      <c r="K5224" s="13"/>
      <c r="L5224" s="15">
        <v>0</v>
      </c>
    </row>
    <row r="5225" spans="1:12">
      <c r="A5225" s="12"/>
      <c r="E5225" s="14"/>
      <c r="F5225" s="14"/>
      <c r="G5225" s="13">
        <v>0</v>
      </c>
      <c r="H5225" s="13">
        <v>0</v>
      </c>
      <c r="I5225" s="13"/>
      <c r="J5225" s="13"/>
      <c r="K5225" s="13"/>
      <c r="L5225" s="15">
        <v>0</v>
      </c>
    </row>
    <row r="5226" spans="1:12">
      <c r="A5226" s="12"/>
      <c r="E5226" s="14"/>
      <c r="F5226" s="14"/>
      <c r="G5226" s="13">
        <v>0</v>
      </c>
      <c r="H5226" s="13">
        <v>0</v>
      </c>
      <c r="I5226" s="13"/>
      <c r="J5226" s="13"/>
      <c r="K5226" s="13"/>
      <c r="L5226" s="15">
        <v>0</v>
      </c>
    </row>
    <row r="5227" spans="1:12">
      <c r="A5227" s="12"/>
      <c r="E5227" s="14"/>
      <c r="F5227" s="14"/>
      <c r="G5227" s="13">
        <v>0</v>
      </c>
      <c r="H5227" s="13">
        <v>0</v>
      </c>
      <c r="I5227" s="13"/>
      <c r="J5227" s="13"/>
      <c r="K5227" s="13"/>
      <c r="L5227" s="15">
        <v>0</v>
      </c>
    </row>
    <row r="5228" spans="1:12">
      <c r="A5228" s="12"/>
      <c r="E5228" s="14"/>
      <c r="F5228" s="14"/>
      <c r="G5228" s="13">
        <v>0</v>
      </c>
      <c r="H5228" s="13">
        <v>0</v>
      </c>
      <c r="I5228" s="13"/>
      <c r="J5228" s="13"/>
      <c r="K5228" s="13"/>
      <c r="L5228" s="15">
        <v>0</v>
      </c>
    </row>
    <row r="5229" spans="1:12">
      <c r="A5229" s="12"/>
      <c r="E5229" s="14"/>
      <c r="F5229" s="14"/>
      <c r="G5229" s="13">
        <v>0</v>
      </c>
      <c r="H5229" s="13">
        <v>0</v>
      </c>
      <c r="I5229" s="13"/>
      <c r="J5229" s="13"/>
      <c r="K5229" s="13"/>
      <c r="L5229" s="15">
        <v>0</v>
      </c>
    </row>
    <row r="5230" spans="1:12">
      <c r="A5230" s="12"/>
      <c r="E5230" s="14"/>
      <c r="F5230" s="14"/>
      <c r="G5230" s="13">
        <v>0</v>
      </c>
      <c r="H5230" s="13">
        <v>0</v>
      </c>
      <c r="I5230" s="13"/>
      <c r="J5230" s="13"/>
      <c r="K5230" s="13"/>
      <c r="L5230" s="15">
        <v>0</v>
      </c>
    </row>
    <row r="5231" spans="1:12">
      <c r="A5231" s="12"/>
      <c r="E5231" s="14"/>
      <c r="F5231" s="14"/>
      <c r="G5231" s="13">
        <v>0</v>
      </c>
      <c r="H5231" s="13">
        <v>0</v>
      </c>
      <c r="I5231" s="13"/>
      <c r="J5231" s="13"/>
      <c r="K5231" s="13"/>
      <c r="L5231" s="15">
        <v>0</v>
      </c>
    </row>
    <row r="5232" spans="1:12">
      <c r="A5232" s="12"/>
      <c r="E5232" s="14"/>
      <c r="F5232" s="14"/>
      <c r="G5232" s="13">
        <v>0</v>
      </c>
      <c r="H5232" s="13">
        <v>0</v>
      </c>
      <c r="I5232" s="13"/>
      <c r="J5232" s="13"/>
      <c r="K5232" s="13"/>
      <c r="L5232" s="15">
        <v>0</v>
      </c>
    </row>
    <row r="5233" spans="1:12">
      <c r="A5233" s="12"/>
      <c r="E5233" s="14"/>
      <c r="F5233" s="14"/>
      <c r="G5233" s="13">
        <v>0</v>
      </c>
      <c r="H5233" s="13">
        <v>0</v>
      </c>
      <c r="I5233" s="13"/>
      <c r="J5233" s="13"/>
      <c r="K5233" s="13"/>
      <c r="L5233" s="15">
        <v>0</v>
      </c>
    </row>
    <row r="5234" spans="1:12">
      <c r="A5234" s="12"/>
      <c r="E5234" s="14"/>
      <c r="F5234" s="14"/>
      <c r="G5234" s="13">
        <v>0</v>
      </c>
      <c r="H5234" s="13">
        <v>0</v>
      </c>
      <c r="I5234" s="13"/>
      <c r="J5234" s="13"/>
      <c r="K5234" s="13"/>
      <c r="L5234" s="15">
        <v>0</v>
      </c>
    </row>
    <row r="5235" spans="1:12">
      <c r="A5235" s="12"/>
      <c r="E5235" s="14"/>
      <c r="F5235" s="14"/>
      <c r="G5235" s="13">
        <v>0</v>
      </c>
      <c r="H5235" s="13">
        <v>0</v>
      </c>
      <c r="I5235" s="13"/>
      <c r="J5235" s="13"/>
      <c r="K5235" s="13"/>
      <c r="L5235" s="15">
        <v>0</v>
      </c>
    </row>
    <row r="5236" spans="1:12">
      <c r="A5236" s="12"/>
      <c r="E5236" s="14"/>
      <c r="F5236" s="14"/>
      <c r="G5236" s="13">
        <v>0</v>
      </c>
      <c r="H5236" s="13">
        <v>0</v>
      </c>
      <c r="I5236" s="13"/>
      <c r="J5236" s="13"/>
      <c r="K5236" s="13"/>
      <c r="L5236" s="15">
        <v>0</v>
      </c>
    </row>
    <row r="5237" spans="1:12">
      <c r="A5237" s="12"/>
      <c r="E5237" s="14"/>
      <c r="F5237" s="14"/>
      <c r="G5237" s="13">
        <v>0</v>
      </c>
      <c r="H5237" s="13">
        <v>0</v>
      </c>
      <c r="I5237" s="13"/>
      <c r="J5237" s="13"/>
      <c r="K5237" s="13"/>
      <c r="L5237" s="15">
        <v>0</v>
      </c>
    </row>
    <row r="5238" spans="1:12">
      <c r="A5238" s="12"/>
      <c r="E5238" s="14"/>
      <c r="F5238" s="14"/>
      <c r="G5238" s="13">
        <v>0</v>
      </c>
      <c r="H5238" s="13">
        <v>0</v>
      </c>
      <c r="I5238" s="13"/>
      <c r="J5238" s="13"/>
      <c r="K5238" s="13"/>
      <c r="L5238" s="15">
        <v>0</v>
      </c>
    </row>
    <row r="5239" spans="1:12">
      <c r="A5239" s="12"/>
      <c r="E5239" s="14"/>
      <c r="F5239" s="14"/>
      <c r="G5239" s="13">
        <v>0</v>
      </c>
      <c r="H5239" s="13">
        <v>0</v>
      </c>
      <c r="I5239" s="13"/>
      <c r="J5239" s="13"/>
      <c r="K5239" s="13"/>
      <c r="L5239" s="15">
        <v>0</v>
      </c>
    </row>
    <row r="5240" spans="1:12">
      <c r="A5240" s="12"/>
      <c r="E5240" s="14"/>
      <c r="F5240" s="14"/>
      <c r="G5240" s="13">
        <v>0</v>
      </c>
      <c r="H5240" s="13">
        <v>0</v>
      </c>
      <c r="I5240" s="13"/>
      <c r="J5240" s="13"/>
      <c r="K5240" s="13"/>
      <c r="L5240" s="15">
        <v>0</v>
      </c>
    </row>
    <row r="5241" spans="1:12">
      <c r="A5241" s="12"/>
      <c r="E5241" s="14"/>
      <c r="F5241" s="14"/>
      <c r="G5241" s="13">
        <v>0</v>
      </c>
      <c r="H5241" s="13">
        <v>0</v>
      </c>
      <c r="I5241" s="13"/>
      <c r="J5241" s="13"/>
      <c r="K5241" s="13"/>
      <c r="L5241" s="15">
        <v>0</v>
      </c>
    </row>
    <row r="5242" spans="1:12">
      <c r="A5242" s="12"/>
      <c r="E5242" s="14"/>
      <c r="F5242" s="14"/>
      <c r="G5242" s="13">
        <v>0</v>
      </c>
      <c r="H5242" s="13">
        <v>0</v>
      </c>
      <c r="I5242" s="13"/>
      <c r="J5242" s="13"/>
      <c r="K5242" s="13"/>
      <c r="L5242" s="15">
        <v>0</v>
      </c>
    </row>
    <row r="5243" spans="1:12">
      <c r="A5243" s="12"/>
      <c r="E5243" s="14"/>
      <c r="F5243" s="14"/>
      <c r="G5243" s="13">
        <v>0</v>
      </c>
      <c r="H5243" s="13">
        <v>0</v>
      </c>
      <c r="I5243" s="13"/>
      <c r="J5243" s="13"/>
      <c r="K5243" s="13"/>
      <c r="L5243" s="15">
        <v>0</v>
      </c>
    </row>
    <row r="5244" spans="1:12">
      <c r="A5244" s="12"/>
      <c r="E5244" s="14"/>
      <c r="F5244" s="14"/>
      <c r="G5244" s="13">
        <v>0</v>
      </c>
      <c r="H5244" s="13">
        <v>0</v>
      </c>
      <c r="I5244" s="13"/>
      <c r="J5244" s="13"/>
      <c r="K5244" s="13"/>
      <c r="L5244" s="15">
        <v>0</v>
      </c>
    </row>
    <row r="5245" spans="1:12">
      <c r="A5245" s="12"/>
      <c r="E5245" s="14"/>
      <c r="F5245" s="14"/>
      <c r="G5245" s="13">
        <v>0</v>
      </c>
      <c r="H5245" s="13">
        <v>0</v>
      </c>
      <c r="I5245" s="13"/>
      <c r="J5245" s="13"/>
      <c r="K5245" s="13"/>
      <c r="L5245" s="15">
        <v>0</v>
      </c>
    </row>
    <row r="5246" spans="1:12">
      <c r="A5246" s="12"/>
      <c r="E5246" s="14"/>
      <c r="F5246" s="14"/>
      <c r="G5246" s="13">
        <v>0</v>
      </c>
      <c r="H5246" s="13">
        <v>0</v>
      </c>
      <c r="I5246" s="13"/>
      <c r="J5246" s="13"/>
      <c r="K5246" s="13"/>
      <c r="L5246" s="15">
        <v>0</v>
      </c>
    </row>
    <row r="5247" spans="1:12">
      <c r="A5247" s="12"/>
      <c r="E5247" s="14"/>
      <c r="F5247" s="14"/>
      <c r="G5247" s="13">
        <v>0</v>
      </c>
      <c r="H5247" s="13">
        <v>0</v>
      </c>
      <c r="I5247" s="13"/>
      <c r="J5247" s="13"/>
      <c r="K5247" s="13"/>
      <c r="L5247" s="15">
        <v>0</v>
      </c>
    </row>
    <row r="5248" spans="1:12">
      <c r="A5248" s="12"/>
      <c r="E5248" s="14"/>
      <c r="F5248" s="14"/>
      <c r="G5248" s="13">
        <v>0</v>
      </c>
      <c r="H5248" s="13">
        <v>0</v>
      </c>
      <c r="I5248" s="13"/>
      <c r="J5248" s="13"/>
      <c r="K5248" s="13"/>
      <c r="L5248" s="15">
        <v>0</v>
      </c>
    </row>
    <row r="5249" spans="1:12">
      <c r="A5249" s="12"/>
      <c r="E5249" s="14"/>
      <c r="F5249" s="14"/>
      <c r="G5249" s="13">
        <v>0</v>
      </c>
      <c r="H5249" s="13">
        <v>0</v>
      </c>
      <c r="I5249" s="13"/>
      <c r="J5249" s="13"/>
      <c r="K5249" s="13"/>
      <c r="L5249" s="15">
        <v>0</v>
      </c>
    </row>
    <row r="5250" spans="1:12">
      <c r="A5250" s="12"/>
      <c r="E5250" s="14"/>
      <c r="F5250" s="14"/>
      <c r="G5250" s="13">
        <v>0</v>
      </c>
      <c r="H5250" s="13">
        <v>0</v>
      </c>
      <c r="I5250" s="13"/>
      <c r="J5250" s="13"/>
      <c r="K5250" s="13"/>
      <c r="L5250" s="15">
        <v>0</v>
      </c>
    </row>
    <row r="5251" spans="1:12">
      <c r="A5251" s="12"/>
      <c r="E5251" s="14"/>
      <c r="F5251" s="14"/>
      <c r="G5251" s="13">
        <v>0</v>
      </c>
      <c r="H5251" s="13">
        <v>0</v>
      </c>
      <c r="I5251" s="13"/>
      <c r="J5251" s="13"/>
      <c r="K5251" s="13"/>
      <c r="L5251" s="15">
        <v>0</v>
      </c>
    </row>
    <row r="5252" spans="1:12">
      <c r="A5252" s="12"/>
      <c r="E5252" s="14"/>
      <c r="F5252" s="14"/>
      <c r="G5252" s="13">
        <v>0</v>
      </c>
      <c r="H5252" s="13">
        <v>0</v>
      </c>
      <c r="I5252" s="13"/>
      <c r="J5252" s="13"/>
      <c r="K5252" s="13"/>
      <c r="L5252" s="15">
        <v>0</v>
      </c>
    </row>
    <row r="5253" spans="1:12">
      <c r="A5253" s="12"/>
      <c r="E5253" s="14"/>
      <c r="F5253" s="14"/>
      <c r="G5253" s="13">
        <v>0</v>
      </c>
      <c r="H5253" s="13">
        <v>0</v>
      </c>
      <c r="I5253" s="13"/>
      <c r="J5253" s="13"/>
      <c r="K5253" s="13"/>
      <c r="L5253" s="15">
        <v>0</v>
      </c>
    </row>
    <row r="5254" spans="1:12">
      <c r="A5254" s="12"/>
      <c r="E5254" s="14"/>
      <c r="F5254" s="14"/>
      <c r="G5254" s="13">
        <v>0</v>
      </c>
      <c r="H5254" s="13">
        <v>0</v>
      </c>
      <c r="I5254" s="13"/>
      <c r="J5254" s="13"/>
      <c r="K5254" s="13"/>
      <c r="L5254" s="15">
        <v>0</v>
      </c>
    </row>
    <row r="5255" spans="1:12">
      <c r="A5255" s="12"/>
      <c r="E5255" s="14"/>
      <c r="F5255" s="14"/>
      <c r="G5255" s="13">
        <v>0</v>
      </c>
      <c r="H5255" s="13">
        <v>0</v>
      </c>
      <c r="I5255" s="13"/>
      <c r="J5255" s="13"/>
      <c r="K5255" s="13"/>
      <c r="L5255" s="15">
        <v>0</v>
      </c>
    </row>
    <row r="5256" spans="1:12">
      <c r="A5256" s="12"/>
      <c r="E5256" s="14"/>
      <c r="F5256" s="14"/>
      <c r="G5256" s="13">
        <v>0</v>
      </c>
      <c r="H5256" s="13">
        <v>0</v>
      </c>
      <c r="I5256" s="13"/>
      <c r="J5256" s="13"/>
      <c r="K5256" s="13"/>
      <c r="L5256" s="15">
        <v>0</v>
      </c>
    </row>
    <row r="5257" spans="1:12">
      <c r="A5257" s="12"/>
      <c r="E5257" s="14"/>
      <c r="F5257" s="14"/>
      <c r="G5257" s="13">
        <v>0</v>
      </c>
      <c r="H5257" s="13">
        <v>0</v>
      </c>
      <c r="I5257" s="13"/>
      <c r="J5257" s="13"/>
      <c r="K5257" s="13"/>
      <c r="L5257" s="15">
        <v>0</v>
      </c>
    </row>
    <row r="5258" spans="1:12">
      <c r="A5258" s="12"/>
      <c r="E5258" s="14"/>
      <c r="F5258" s="14"/>
      <c r="G5258" s="13">
        <v>0</v>
      </c>
      <c r="H5258" s="13">
        <v>0</v>
      </c>
      <c r="I5258" s="13"/>
      <c r="J5258" s="13"/>
      <c r="K5258" s="13"/>
      <c r="L5258" s="15">
        <v>0</v>
      </c>
    </row>
    <row r="5259" spans="1:12">
      <c r="A5259" s="12"/>
      <c r="E5259" s="14"/>
      <c r="F5259" s="14"/>
      <c r="G5259" s="13">
        <v>0</v>
      </c>
      <c r="H5259" s="13">
        <v>0</v>
      </c>
      <c r="I5259" s="13"/>
      <c r="J5259" s="13"/>
      <c r="K5259" s="13"/>
      <c r="L5259" s="15">
        <v>0</v>
      </c>
    </row>
    <row r="5260" spans="1:12">
      <c r="A5260" s="12"/>
      <c r="E5260" s="14"/>
      <c r="F5260" s="14"/>
      <c r="G5260" s="13">
        <v>0</v>
      </c>
      <c r="H5260" s="13">
        <v>0</v>
      </c>
      <c r="I5260" s="13"/>
      <c r="J5260" s="13"/>
      <c r="K5260" s="13"/>
      <c r="L5260" s="15">
        <v>0</v>
      </c>
    </row>
    <row r="5261" spans="1:12">
      <c r="A5261" s="12"/>
      <c r="E5261" s="14"/>
      <c r="F5261" s="14"/>
      <c r="G5261" s="13">
        <v>0</v>
      </c>
      <c r="H5261" s="13">
        <v>0</v>
      </c>
      <c r="I5261" s="13"/>
      <c r="J5261" s="13"/>
      <c r="K5261" s="13"/>
      <c r="L5261" s="15">
        <v>0</v>
      </c>
    </row>
    <row r="5262" spans="1:12">
      <c r="A5262" s="12"/>
      <c r="E5262" s="14"/>
      <c r="F5262" s="14"/>
      <c r="G5262" s="13">
        <v>0</v>
      </c>
      <c r="H5262" s="13">
        <v>0</v>
      </c>
      <c r="I5262" s="13"/>
      <c r="J5262" s="13"/>
      <c r="K5262" s="13"/>
      <c r="L5262" s="15">
        <v>0</v>
      </c>
    </row>
    <row r="5263" spans="1:12">
      <c r="A5263" s="12"/>
      <c r="E5263" s="14"/>
      <c r="F5263" s="14"/>
      <c r="G5263" s="13">
        <v>0</v>
      </c>
      <c r="H5263" s="13">
        <v>0</v>
      </c>
      <c r="I5263" s="13"/>
      <c r="J5263" s="13"/>
      <c r="K5263" s="13"/>
      <c r="L5263" s="15">
        <v>0</v>
      </c>
    </row>
    <row r="5264" spans="1:12">
      <c r="A5264" s="12"/>
      <c r="E5264" s="14"/>
      <c r="F5264" s="14"/>
      <c r="G5264" s="13">
        <v>0</v>
      </c>
      <c r="H5264" s="13">
        <v>0</v>
      </c>
      <c r="I5264" s="13"/>
      <c r="J5264" s="13"/>
      <c r="K5264" s="13"/>
      <c r="L5264" s="15">
        <v>0</v>
      </c>
    </row>
    <row r="5265" spans="1:12">
      <c r="A5265" s="12"/>
      <c r="E5265" s="14"/>
      <c r="F5265" s="14"/>
      <c r="G5265" s="13">
        <v>0</v>
      </c>
      <c r="H5265" s="13">
        <v>0</v>
      </c>
      <c r="I5265" s="13"/>
      <c r="J5265" s="13"/>
      <c r="K5265" s="13"/>
      <c r="L5265" s="15">
        <v>0</v>
      </c>
    </row>
    <row r="5266" spans="1:12">
      <c r="A5266" s="12"/>
      <c r="E5266" s="14"/>
      <c r="F5266" s="14"/>
      <c r="G5266" s="13">
        <v>0</v>
      </c>
      <c r="H5266" s="13">
        <v>0</v>
      </c>
      <c r="I5266" s="13"/>
      <c r="J5266" s="13"/>
      <c r="K5266" s="13"/>
      <c r="L5266" s="15">
        <v>0</v>
      </c>
    </row>
    <row r="5267" spans="1:12">
      <c r="A5267" s="12"/>
      <c r="E5267" s="14"/>
      <c r="F5267" s="14"/>
      <c r="G5267" s="13">
        <v>0</v>
      </c>
      <c r="H5267" s="13">
        <v>0</v>
      </c>
      <c r="I5267" s="13"/>
      <c r="J5267" s="13"/>
      <c r="K5267" s="13"/>
      <c r="L5267" s="15">
        <v>0</v>
      </c>
    </row>
    <row r="5268" spans="1:12">
      <c r="A5268" s="12"/>
      <c r="E5268" s="14"/>
      <c r="F5268" s="14"/>
      <c r="G5268" s="13">
        <v>0</v>
      </c>
      <c r="H5268" s="13">
        <v>0</v>
      </c>
      <c r="I5268" s="13"/>
      <c r="J5268" s="13"/>
      <c r="K5268" s="13"/>
      <c r="L5268" s="15">
        <v>0</v>
      </c>
    </row>
    <row r="5269" spans="1:12">
      <c r="A5269" s="12"/>
      <c r="E5269" s="14"/>
      <c r="F5269" s="14"/>
      <c r="G5269" s="13">
        <v>0</v>
      </c>
      <c r="H5269" s="13">
        <v>0</v>
      </c>
      <c r="I5269" s="13"/>
      <c r="J5269" s="13"/>
      <c r="K5269" s="13"/>
      <c r="L5269" s="15">
        <v>0</v>
      </c>
    </row>
    <row r="5270" spans="1:12">
      <c r="A5270" s="12"/>
      <c r="E5270" s="14"/>
      <c r="F5270" s="14"/>
      <c r="G5270" s="13">
        <v>0</v>
      </c>
      <c r="H5270" s="13">
        <v>0</v>
      </c>
      <c r="I5270" s="13"/>
      <c r="J5270" s="13"/>
      <c r="K5270" s="13"/>
      <c r="L5270" s="15">
        <v>0</v>
      </c>
    </row>
    <row r="5271" spans="1:12">
      <c r="A5271" s="12"/>
      <c r="E5271" s="14"/>
      <c r="F5271" s="14"/>
      <c r="G5271" s="13">
        <v>0</v>
      </c>
      <c r="H5271" s="13">
        <v>0</v>
      </c>
      <c r="I5271" s="13"/>
      <c r="J5271" s="13"/>
      <c r="K5271" s="13"/>
      <c r="L5271" s="15">
        <v>0</v>
      </c>
    </row>
    <row r="5272" spans="1:12">
      <c r="A5272" s="12"/>
      <c r="E5272" s="14"/>
      <c r="F5272" s="14"/>
      <c r="G5272" s="13">
        <v>0</v>
      </c>
      <c r="H5272" s="13">
        <v>0</v>
      </c>
      <c r="I5272" s="13"/>
      <c r="J5272" s="13"/>
      <c r="K5272" s="13"/>
      <c r="L5272" s="15">
        <v>0</v>
      </c>
    </row>
    <row r="5273" spans="1:12">
      <c r="A5273" s="12"/>
      <c r="E5273" s="14"/>
      <c r="F5273" s="14"/>
      <c r="G5273" s="13">
        <v>0</v>
      </c>
      <c r="H5273" s="13">
        <v>0</v>
      </c>
      <c r="I5273" s="13"/>
      <c r="J5273" s="13"/>
      <c r="K5273" s="13"/>
      <c r="L5273" s="15">
        <v>0</v>
      </c>
    </row>
    <row r="5274" spans="1:12">
      <c r="A5274" s="12"/>
      <c r="E5274" s="14"/>
      <c r="F5274" s="14"/>
      <c r="G5274" s="13">
        <v>0</v>
      </c>
      <c r="H5274" s="13">
        <v>0</v>
      </c>
      <c r="I5274" s="13"/>
      <c r="J5274" s="13"/>
      <c r="K5274" s="13"/>
      <c r="L5274" s="15">
        <v>0</v>
      </c>
    </row>
    <row r="5275" spans="1:12">
      <c r="A5275" s="12"/>
      <c r="E5275" s="14"/>
      <c r="F5275" s="14"/>
      <c r="G5275" s="13">
        <v>0</v>
      </c>
      <c r="H5275" s="13">
        <v>0</v>
      </c>
      <c r="I5275" s="13"/>
      <c r="J5275" s="13"/>
      <c r="K5275" s="13"/>
      <c r="L5275" s="15">
        <v>0</v>
      </c>
    </row>
    <row r="5276" spans="1:12">
      <c r="A5276" s="12"/>
      <c r="E5276" s="14"/>
      <c r="F5276" s="14"/>
      <c r="G5276" s="13">
        <v>0</v>
      </c>
      <c r="H5276" s="13">
        <v>0</v>
      </c>
      <c r="I5276" s="13"/>
      <c r="J5276" s="13"/>
      <c r="K5276" s="13"/>
      <c r="L5276" s="15">
        <v>0</v>
      </c>
    </row>
    <row r="5277" spans="1:12">
      <c r="A5277" s="12"/>
      <c r="E5277" s="14"/>
      <c r="F5277" s="14"/>
      <c r="G5277" s="13">
        <v>0</v>
      </c>
      <c r="H5277" s="13">
        <v>0</v>
      </c>
      <c r="I5277" s="13"/>
      <c r="J5277" s="13"/>
      <c r="K5277" s="13"/>
      <c r="L5277" s="15">
        <v>0</v>
      </c>
    </row>
    <row r="5278" spans="1:12">
      <c r="A5278" s="12"/>
      <c r="E5278" s="14"/>
      <c r="F5278" s="14"/>
      <c r="G5278" s="13">
        <v>0</v>
      </c>
      <c r="H5278" s="13">
        <v>0</v>
      </c>
      <c r="I5278" s="13"/>
      <c r="J5278" s="13"/>
      <c r="K5278" s="13"/>
      <c r="L5278" s="15">
        <v>0</v>
      </c>
    </row>
    <row r="5279" spans="1:12">
      <c r="A5279" s="12"/>
      <c r="E5279" s="14"/>
      <c r="F5279" s="14"/>
      <c r="G5279" s="13">
        <v>0</v>
      </c>
      <c r="H5279" s="13">
        <v>0</v>
      </c>
      <c r="I5279" s="13"/>
      <c r="J5279" s="13"/>
      <c r="K5279" s="13"/>
      <c r="L5279" s="15">
        <v>0</v>
      </c>
    </row>
    <row r="5280" spans="1:12">
      <c r="A5280" s="12"/>
      <c r="E5280" s="14"/>
      <c r="F5280" s="14"/>
      <c r="G5280" s="13">
        <v>0</v>
      </c>
      <c r="H5280" s="13">
        <v>0</v>
      </c>
      <c r="I5280" s="13"/>
      <c r="J5280" s="13"/>
      <c r="K5280" s="13"/>
      <c r="L5280" s="15">
        <v>0</v>
      </c>
    </row>
    <row r="5281" spans="1:12">
      <c r="A5281" s="12"/>
      <c r="E5281" s="14"/>
      <c r="F5281" s="14"/>
      <c r="G5281" s="13">
        <v>0</v>
      </c>
      <c r="H5281" s="13">
        <v>0</v>
      </c>
      <c r="I5281" s="13"/>
      <c r="J5281" s="13"/>
      <c r="K5281" s="13"/>
      <c r="L5281" s="15">
        <v>0</v>
      </c>
    </row>
    <row r="5282" spans="1:12">
      <c r="A5282" s="12"/>
      <c r="E5282" s="14"/>
      <c r="F5282" s="14"/>
      <c r="G5282" s="13">
        <v>0</v>
      </c>
      <c r="H5282" s="13">
        <v>0</v>
      </c>
      <c r="I5282" s="13"/>
      <c r="J5282" s="13"/>
      <c r="K5282" s="13"/>
      <c r="L5282" s="15">
        <v>0</v>
      </c>
    </row>
    <row r="5283" spans="1:12">
      <c r="A5283" s="12"/>
      <c r="E5283" s="14"/>
      <c r="F5283" s="14"/>
      <c r="G5283" s="13">
        <v>0</v>
      </c>
      <c r="H5283" s="13">
        <v>0</v>
      </c>
      <c r="I5283" s="13"/>
      <c r="J5283" s="13"/>
      <c r="K5283" s="13"/>
      <c r="L5283" s="15">
        <v>0</v>
      </c>
    </row>
    <row r="5284" spans="1:12">
      <c r="A5284" s="12"/>
      <c r="E5284" s="14"/>
      <c r="F5284" s="14"/>
      <c r="G5284" s="13">
        <v>0</v>
      </c>
      <c r="H5284" s="13">
        <v>0</v>
      </c>
      <c r="I5284" s="13"/>
      <c r="J5284" s="13"/>
      <c r="K5284" s="13"/>
      <c r="L5284" s="15">
        <v>0</v>
      </c>
    </row>
    <row r="5285" spans="1:12">
      <c r="A5285" s="12"/>
      <c r="E5285" s="14"/>
      <c r="F5285" s="14"/>
      <c r="G5285" s="13">
        <v>0</v>
      </c>
      <c r="H5285" s="13">
        <v>0</v>
      </c>
      <c r="I5285" s="13"/>
      <c r="J5285" s="13"/>
      <c r="K5285" s="13"/>
      <c r="L5285" s="15">
        <v>0</v>
      </c>
    </row>
    <row r="5286" spans="1:12">
      <c r="A5286" s="12"/>
      <c r="E5286" s="14"/>
      <c r="F5286" s="14"/>
      <c r="G5286" s="13">
        <v>0</v>
      </c>
      <c r="H5286" s="13">
        <v>0</v>
      </c>
      <c r="I5286" s="13"/>
      <c r="J5286" s="13"/>
      <c r="K5286" s="13"/>
      <c r="L5286" s="15">
        <v>0</v>
      </c>
    </row>
    <row r="5287" spans="1:12">
      <c r="A5287" s="12"/>
      <c r="E5287" s="14"/>
      <c r="F5287" s="14"/>
      <c r="G5287" s="13">
        <v>0</v>
      </c>
      <c r="H5287" s="13">
        <v>0</v>
      </c>
      <c r="I5287" s="13"/>
      <c r="J5287" s="13"/>
      <c r="K5287" s="13"/>
      <c r="L5287" s="15">
        <v>0</v>
      </c>
    </row>
    <row r="5288" spans="1:12">
      <c r="A5288" s="12"/>
      <c r="E5288" s="14"/>
      <c r="F5288" s="14"/>
      <c r="G5288" s="13">
        <v>0</v>
      </c>
      <c r="H5288" s="13">
        <v>0</v>
      </c>
      <c r="I5288" s="13"/>
      <c r="J5288" s="13"/>
      <c r="K5288" s="13"/>
      <c r="L5288" s="15">
        <v>0</v>
      </c>
    </row>
    <row r="5289" spans="1:12">
      <c r="A5289" s="12"/>
      <c r="E5289" s="14"/>
      <c r="F5289" s="14"/>
      <c r="G5289" s="13">
        <v>0</v>
      </c>
      <c r="H5289" s="13">
        <v>0</v>
      </c>
      <c r="I5289" s="13"/>
      <c r="J5289" s="13"/>
      <c r="K5289" s="13"/>
      <c r="L5289" s="15">
        <v>0</v>
      </c>
    </row>
    <row r="5290" spans="1:12">
      <c r="A5290" s="12"/>
      <c r="E5290" s="14"/>
      <c r="F5290" s="14"/>
      <c r="G5290" s="13">
        <v>0</v>
      </c>
      <c r="H5290" s="13">
        <v>0</v>
      </c>
      <c r="I5290" s="13"/>
      <c r="J5290" s="13"/>
      <c r="K5290" s="13"/>
      <c r="L5290" s="15">
        <v>0</v>
      </c>
    </row>
    <row r="5291" spans="1:12">
      <c r="A5291" s="12"/>
      <c r="E5291" s="14"/>
      <c r="F5291" s="14"/>
      <c r="G5291" s="13">
        <v>0</v>
      </c>
      <c r="H5291" s="13">
        <v>0</v>
      </c>
      <c r="I5291" s="13"/>
      <c r="J5291" s="13"/>
      <c r="K5291" s="13"/>
      <c r="L5291" s="15">
        <v>0</v>
      </c>
    </row>
    <row r="5292" spans="1:12">
      <c r="A5292" s="12"/>
      <c r="E5292" s="14"/>
      <c r="F5292" s="14"/>
      <c r="G5292" s="13">
        <v>0</v>
      </c>
      <c r="H5292" s="13">
        <v>0</v>
      </c>
      <c r="I5292" s="13"/>
      <c r="J5292" s="13"/>
      <c r="K5292" s="13"/>
      <c r="L5292" s="15">
        <v>0</v>
      </c>
    </row>
    <row r="5293" spans="1:12">
      <c r="A5293" s="12"/>
      <c r="E5293" s="14"/>
      <c r="F5293" s="14"/>
      <c r="G5293" s="13">
        <v>0</v>
      </c>
      <c r="H5293" s="13">
        <v>0</v>
      </c>
      <c r="I5293" s="13"/>
      <c r="J5293" s="13"/>
      <c r="K5293" s="13"/>
      <c r="L5293" s="15">
        <v>0</v>
      </c>
    </row>
    <row r="5294" spans="1:12">
      <c r="A5294" s="12"/>
      <c r="E5294" s="14"/>
      <c r="F5294" s="14"/>
      <c r="G5294" s="13">
        <v>0</v>
      </c>
      <c r="H5294" s="13">
        <v>0</v>
      </c>
      <c r="I5294" s="13"/>
      <c r="J5294" s="13"/>
      <c r="K5294" s="13"/>
      <c r="L5294" s="15">
        <v>0</v>
      </c>
    </row>
    <row r="5295" spans="1:12">
      <c r="A5295" s="12"/>
      <c r="E5295" s="14"/>
      <c r="F5295" s="14"/>
      <c r="G5295" s="13">
        <v>0</v>
      </c>
      <c r="H5295" s="13">
        <v>0</v>
      </c>
      <c r="I5295" s="13"/>
      <c r="J5295" s="13"/>
      <c r="K5295" s="13"/>
      <c r="L5295" s="15">
        <v>0</v>
      </c>
    </row>
    <row r="5296" spans="1:12">
      <c r="A5296" s="12"/>
      <c r="E5296" s="14"/>
      <c r="F5296" s="14"/>
      <c r="G5296" s="13">
        <v>0</v>
      </c>
      <c r="H5296" s="13">
        <v>0</v>
      </c>
      <c r="I5296" s="13"/>
      <c r="J5296" s="13"/>
      <c r="K5296" s="13"/>
      <c r="L5296" s="15">
        <v>0</v>
      </c>
    </row>
    <row r="5297" spans="1:12">
      <c r="A5297" s="12"/>
      <c r="E5297" s="14"/>
      <c r="F5297" s="14"/>
      <c r="G5297" s="13">
        <v>0</v>
      </c>
      <c r="H5297" s="13">
        <v>0</v>
      </c>
      <c r="I5297" s="13"/>
      <c r="J5297" s="13"/>
      <c r="K5297" s="13"/>
      <c r="L5297" s="15">
        <v>0</v>
      </c>
    </row>
    <row r="5298" spans="1:12">
      <c r="A5298" s="12"/>
      <c r="E5298" s="14"/>
      <c r="F5298" s="14"/>
      <c r="G5298" s="13">
        <v>0</v>
      </c>
      <c r="H5298" s="13">
        <v>0</v>
      </c>
      <c r="I5298" s="13"/>
      <c r="J5298" s="13"/>
      <c r="K5298" s="13"/>
      <c r="L5298" s="15">
        <v>0</v>
      </c>
    </row>
    <row r="5299" spans="1:12">
      <c r="A5299" s="12"/>
      <c r="E5299" s="14"/>
      <c r="F5299" s="14"/>
      <c r="G5299" s="13">
        <v>0</v>
      </c>
      <c r="H5299" s="13">
        <v>0</v>
      </c>
      <c r="I5299" s="13"/>
      <c r="J5299" s="13"/>
      <c r="K5299" s="13"/>
      <c r="L5299" s="15">
        <v>0</v>
      </c>
    </row>
    <row r="5300" spans="1:12">
      <c r="A5300" s="12"/>
      <c r="E5300" s="14"/>
      <c r="F5300" s="14"/>
      <c r="G5300" s="13">
        <v>0</v>
      </c>
      <c r="H5300" s="13">
        <v>0</v>
      </c>
      <c r="I5300" s="13"/>
      <c r="J5300" s="13"/>
      <c r="K5300" s="13"/>
      <c r="L5300" s="15">
        <v>0</v>
      </c>
    </row>
    <row r="5301" spans="1:12">
      <c r="A5301" s="12"/>
      <c r="E5301" s="14"/>
      <c r="F5301" s="14"/>
      <c r="G5301" s="13">
        <v>0</v>
      </c>
      <c r="H5301" s="13">
        <v>0</v>
      </c>
      <c r="I5301" s="13"/>
      <c r="J5301" s="13"/>
      <c r="K5301" s="13"/>
      <c r="L5301" s="15">
        <v>0</v>
      </c>
    </row>
    <row r="5302" spans="1:12">
      <c r="A5302" s="12"/>
      <c r="E5302" s="14"/>
      <c r="F5302" s="14"/>
      <c r="G5302" s="13">
        <v>0</v>
      </c>
      <c r="H5302" s="13">
        <v>0</v>
      </c>
      <c r="I5302" s="13"/>
      <c r="J5302" s="13"/>
      <c r="K5302" s="13"/>
      <c r="L5302" s="15">
        <v>0</v>
      </c>
    </row>
    <row r="5303" spans="1:12">
      <c r="A5303" s="12"/>
      <c r="E5303" s="14"/>
      <c r="F5303" s="14"/>
      <c r="G5303" s="13">
        <v>0</v>
      </c>
      <c r="H5303" s="13">
        <v>0</v>
      </c>
      <c r="I5303" s="13"/>
      <c r="J5303" s="13"/>
      <c r="K5303" s="13"/>
      <c r="L5303" s="15">
        <v>0</v>
      </c>
    </row>
    <row r="5304" spans="1:12">
      <c r="A5304" s="12"/>
      <c r="E5304" s="14"/>
      <c r="F5304" s="14"/>
      <c r="G5304" s="13">
        <v>0</v>
      </c>
      <c r="H5304" s="13">
        <v>0</v>
      </c>
      <c r="I5304" s="13"/>
      <c r="J5304" s="13"/>
      <c r="K5304" s="13"/>
      <c r="L5304" s="15">
        <v>0</v>
      </c>
    </row>
    <row r="5305" spans="1:12">
      <c r="A5305" s="12"/>
      <c r="E5305" s="14"/>
      <c r="F5305" s="14"/>
      <c r="G5305" s="13">
        <v>0</v>
      </c>
      <c r="H5305" s="13">
        <v>0</v>
      </c>
      <c r="I5305" s="13"/>
      <c r="J5305" s="13"/>
      <c r="K5305" s="13"/>
      <c r="L5305" s="15">
        <v>0</v>
      </c>
    </row>
    <row r="5306" spans="1:12">
      <c r="A5306" s="12"/>
      <c r="E5306" s="14"/>
      <c r="F5306" s="14"/>
      <c r="G5306" s="13">
        <v>0</v>
      </c>
      <c r="H5306" s="13">
        <v>0</v>
      </c>
      <c r="I5306" s="13"/>
      <c r="J5306" s="13"/>
      <c r="K5306" s="13"/>
      <c r="L5306" s="15">
        <v>0</v>
      </c>
    </row>
    <row r="5307" spans="1:12">
      <c r="A5307" s="12"/>
      <c r="E5307" s="14"/>
      <c r="F5307" s="14"/>
      <c r="G5307" s="13">
        <v>0</v>
      </c>
      <c r="H5307" s="13">
        <v>0</v>
      </c>
      <c r="I5307" s="13"/>
      <c r="J5307" s="13"/>
      <c r="K5307" s="13"/>
      <c r="L5307" s="15">
        <v>0</v>
      </c>
    </row>
    <row r="5308" spans="1:12">
      <c r="A5308" s="12"/>
      <c r="E5308" s="14"/>
      <c r="F5308" s="14"/>
      <c r="G5308" s="13">
        <v>0</v>
      </c>
      <c r="H5308" s="13">
        <v>0</v>
      </c>
      <c r="I5308" s="13"/>
      <c r="J5308" s="13"/>
      <c r="K5308" s="13"/>
      <c r="L5308" s="15">
        <v>0</v>
      </c>
    </row>
    <row r="5309" spans="1:12">
      <c r="A5309" s="12"/>
      <c r="E5309" s="14"/>
      <c r="F5309" s="14"/>
      <c r="G5309" s="13">
        <v>0</v>
      </c>
      <c r="H5309" s="13">
        <v>0</v>
      </c>
      <c r="I5309" s="13"/>
      <c r="J5309" s="13"/>
      <c r="K5309" s="13"/>
      <c r="L5309" s="15">
        <v>0</v>
      </c>
    </row>
    <row r="5310" spans="1:12">
      <c r="A5310" s="12"/>
      <c r="E5310" s="14"/>
      <c r="F5310" s="14"/>
      <c r="G5310" s="13">
        <v>0</v>
      </c>
      <c r="H5310" s="13">
        <v>0</v>
      </c>
      <c r="I5310" s="13"/>
      <c r="J5310" s="13"/>
      <c r="K5310" s="13"/>
      <c r="L5310" s="15">
        <v>0</v>
      </c>
    </row>
    <row r="5311" spans="1:12">
      <c r="A5311" s="12"/>
      <c r="E5311" s="14"/>
      <c r="F5311" s="14"/>
      <c r="G5311" s="13">
        <v>0</v>
      </c>
      <c r="H5311" s="13">
        <v>0</v>
      </c>
      <c r="I5311" s="13"/>
      <c r="J5311" s="13"/>
      <c r="K5311" s="13"/>
      <c r="L5311" s="15">
        <v>0</v>
      </c>
    </row>
    <row r="5312" spans="1:12">
      <c r="A5312" s="12"/>
      <c r="E5312" s="14"/>
      <c r="F5312" s="14"/>
      <c r="G5312" s="13">
        <v>0</v>
      </c>
      <c r="H5312" s="13">
        <v>0</v>
      </c>
      <c r="I5312" s="13"/>
      <c r="J5312" s="13"/>
      <c r="K5312" s="13"/>
      <c r="L5312" s="15">
        <v>0</v>
      </c>
    </row>
    <row r="5313" spans="1:12">
      <c r="A5313" s="12"/>
      <c r="E5313" s="14"/>
      <c r="F5313" s="14"/>
      <c r="G5313" s="13">
        <v>0</v>
      </c>
      <c r="H5313" s="13">
        <v>0</v>
      </c>
      <c r="I5313" s="13"/>
      <c r="J5313" s="13"/>
      <c r="K5313" s="13"/>
      <c r="L5313" s="15">
        <v>0</v>
      </c>
    </row>
    <row r="5314" spans="1:12">
      <c r="A5314" s="12"/>
      <c r="E5314" s="14"/>
      <c r="F5314" s="14"/>
      <c r="G5314" s="13">
        <v>0</v>
      </c>
      <c r="H5314" s="13">
        <v>0</v>
      </c>
      <c r="I5314" s="13"/>
      <c r="J5314" s="13"/>
      <c r="K5314" s="13"/>
      <c r="L5314" s="15">
        <v>0</v>
      </c>
    </row>
    <row r="5315" spans="1:12">
      <c r="A5315" s="12"/>
      <c r="E5315" s="14"/>
      <c r="F5315" s="14"/>
      <c r="G5315" s="13">
        <v>0</v>
      </c>
      <c r="H5315" s="13">
        <v>0</v>
      </c>
      <c r="I5315" s="13"/>
      <c r="J5315" s="13"/>
      <c r="K5315" s="13"/>
      <c r="L5315" s="15">
        <v>0</v>
      </c>
    </row>
    <row r="5316" spans="1:12">
      <c r="A5316" s="12"/>
      <c r="E5316" s="14"/>
      <c r="F5316" s="14"/>
      <c r="G5316" s="13">
        <v>0</v>
      </c>
      <c r="H5316" s="13">
        <v>0</v>
      </c>
      <c r="I5316" s="13"/>
      <c r="J5316" s="13"/>
      <c r="K5316" s="13"/>
      <c r="L5316" s="15">
        <v>0</v>
      </c>
    </row>
    <row r="5317" spans="1:12">
      <c r="A5317" s="12"/>
      <c r="E5317" s="14"/>
      <c r="F5317" s="14"/>
      <c r="G5317" s="13">
        <v>0</v>
      </c>
      <c r="H5317" s="13">
        <v>0</v>
      </c>
      <c r="I5317" s="13"/>
      <c r="J5317" s="13"/>
      <c r="K5317" s="13"/>
      <c r="L5317" s="15">
        <v>0</v>
      </c>
    </row>
    <row r="5318" spans="1:12">
      <c r="A5318" s="12"/>
      <c r="E5318" s="14"/>
      <c r="F5318" s="14"/>
      <c r="G5318" s="13">
        <v>0</v>
      </c>
      <c r="H5318" s="13">
        <v>0</v>
      </c>
      <c r="I5318" s="13"/>
      <c r="J5318" s="13"/>
      <c r="K5318" s="13"/>
      <c r="L5318" s="15">
        <v>0</v>
      </c>
    </row>
    <row r="5319" spans="1:12">
      <c r="A5319" s="12"/>
      <c r="E5319" s="14"/>
      <c r="F5319" s="14"/>
      <c r="G5319" s="13">
        <v>0</v>
      </c>
      <c r="H5319" s="13">
        <v>0</v>
      </c>
      <c r="I5319" s="13"/>
      <c r="J5319" s="13"/>
      <c r="K5319" s="13"/>
      <c r="L5319" s="15">
        <v>0</v>
      </c>
    </row>
    <row r="5320" spans="1:12">
      <c r="A5320" s="12"/>
      <c r="E5320" s="14"/>
      <c r="F5320" s="14"/>
      <c r="G5320" s="13">
        <v>0</v>
      </c>
      <c r="H5320" s="13">
        <v>0</v>
      </c>
      <c r="I5320" s="13"/>
      <c r="J5320" s="13"/>
      <c r="K5320" s="13"/>
      <c r="L5320" s="15">
        <v>0</v>
      </c>
    </row>
    <row r="5321" spans="1:12">
      <c r="A5321" s="12"/>
      <c r="E5321" s="14"/>
      <c r="F5321" s="14"/>
      <c r="G5321" s="13">
        <v>0</v>
      </c>
      <c r="H5321" s="13">
        <v>0</v>
      </c>
      <c r="I5321" s="13"/>
      <c r="J5321" s="13"/>
      <c r="K5321" s="13"/>
      <c r="L5321" s="15">
        <v>0</v>
      </c>
    </row>
    <row r="5322" spans="1:12">
      <c r="A5322" s="12"/>
      <c r="E5322" s="14"/>
      <c r="F5322" s="14"/>
      <c r="G5322" s="13">
        <v>0</v>
      </c>
      <c r="H5322" s="13">
        <v>0</v>
      </c>
      <c r="I5322" s="13"/>
      <c r="J5322" s="13"/>
      <c r="K5322" s="13"/>
      <c r="L5322" s="15">
        <v>0</v>
      </c>
    </row>
    <row r="5323" spans="1:12">
      <c r="A5323" s="12"/>
      <c r="E5323" s="14"/>
      <c r="F5323" s="14"/>
      <c r="G5323" s="13">
        <v>0</v>
      </c>
      <c r="H5323" s="13">
        <v>0</v>
      </c>
      <c r="I5323" s="13"/>
      <c r="J5323" s="13"/>
      <c r="K5323" s="13"/>
      <c r="L5323" s="15">
        <v>0</v>
      </c>
    </row>
    <row r="5324" spans="1:12">
      <c r="A5324" s="12"/>
      <c r="E5324" s="14"/>
      <c r="F5324" s="14"/>
      <c r="G5324" s="13">
        <v>0</v>
      </c>
      <c r="H5324" s="13">
        <v>0</v>
      </c>
      <c r="I5324" s="13"/>
      <c r="J5324" s="13"/>
      <c r="K5324" s="13"/>
      <c r="L5324" s="15">
        <v>0</v>
      </c>
    </row>
    <row r="5325" spans="1:12">
      <c r="A5325" s="12"/>
      <c r="E5325" s="14"/>
      <c r="F5325" s="14"/>
      <c r="G5325" s="13">
        <v>0</v>
      </c>
      <c r="H5325" s="13">
        <v>0</v>
      </c>
      <c r="I5325" s="13"/>
      <c r="J5325" s="13"/>
      <c r="K5325" s="13"/>
      <c r="L5325" s="15">
        <v>0</v>
      </c>
    </row>
    <row r="5326" spans="1:12">
      <c r="A5326" s="12"/>
      <c r="E5326" s="14"/>
      <c r="F5326" s="14"/>
      <c r="G5326" s="13">
        <v>0</v>
      </c>
      <c r="H5326" s="13">
        <v>0</v>
      </c>
      <c r="I5326" s="13"/>
      <c r="J5326" s="13"/>
      <c r="K5326" s="13"/>
      <c r="L5326" s="15">
        <v>0</v>
      </c>
    </row>
    <row r="5327" spans="1:12">
      <c r="A5327" s="12"/>
      <c r="E5327" s="14"/>
      <c r="F5327" s="14"/>
      <c r="G5327" s="13">
        <v>0</v>
      </c>
      <c r="H5327" s="13">
        <v>0</v>
      </c>
      <c r="I5327" s="13"/>
      <c r="J5327" s="13"/>
      <c r="K5327" s="13"/>
      <c r="L5327" s="15">
        <v>0</v>
      </c>
    </row>
    <row r="5328" spans="1:12">
      <c r="A5328" s="12"/>
      <c r="E5328" s="14"/>
      <c r="F5328" s="14"/>
      <c r="G5328" s="13">
        <v>0</v>
      </c>
      <c r="H5328" s="13">
        <v>0</v>
      </c>
      <c r="I5328" s="13"/>
      <c r="J5328" s="13"/>
      <c r="K5328" s="13"/>
      <c r="L5328" s="15">
        <v>0</v>
      </c>
    </row>
    <row r="5329" spans="1:12">
      <c r="A5329" s="12"/>
      <c r="E5329" s="14"/>
      <c r="F5329" s="14"/>
      <c r="G5329" s="13">
        <v>0</v>
      </c>
      <c r="H5329" s="13">
        <v>0</v>
      </c>
      <c r="I5329" s="13"/>
      <c r="J5329" s="13"/>
      <c r="K5329" s="13"/>
      <c r="L5329" s="15">
        <v>0</v>
      </c>
    </row>
    <row r="5330" spans="1:12">
      <c r="A5330" s="12"/>
      <c r="E5330" s="14"/>
      <c r="F5330" s="14"/>
      <c r="G5330" s="13">
        <v>0</v>
      </c>
      <c r="H5330" s="13">
        <v>0</v>
      </c>
      <c r="I5330" s="13"/>
      <c r="J5330" s="13"/>
      <c r="K5330" s="13"/>
      <c r="L5330" s="15">
        <v>0</v>
      </c>
    </row>
    <row r="5331" spans="1:12">
      <c r="A5331" s="12"/>
      <c r="E5331" s="14"/>
      <c r="F5331" s="14"/>
      <c r="G5331" s="13">
        <v>0</v>
      </c>
      <c r="H5331" s="13">
        <v>0</v>
      </c>
      <c r="I5331" s="13"/>
      <c r="J5331" s="13"/>
      <c r="K5331" s="13"/>
      <c r="L5331" s="15">
        <v>0</v>
      </c>
    </row>
    <row r="5332" spans="1:12">
      <c r="A5332" s="12"/>
      <c r="E5332" s="14"/>
      <c r="F5332" s="14"/>
      <c r="G5332" s="13">
        <v>0</v>
      </c>
      <c r="H5332" s="13">
        <v>0</v>
      </c>
      <c r="I5332" s="13"/>
      <c r="J5332" s="13"/>
      <c r="K5332" s="13"/>
      <c r="L5332" s="15">
        <v>0</v>
      </c>
    </row>
    <row r="5333" spans="1:12">
      <c r="A5333" s="12"/>
      <c r="E5333" s="14"/>
      <c r="F5333" s="14"/>
      <c r="G5333" s="13">
        <v>0</v>
      </c>
      <c r="H5333" s="13">
        <v>0</v>
      </c>
      <c r="I5333" s="13"/>
      <c r="J5333" s="13"/>
      <c r="K5333" s="13"/>
      <c r="L5333" s="15">
        <v>0</v>
      </c>
    </row>
    <row r="5334" spans="1:12">
      <c r="A5334" s="12"/>
      <c r="E5334" s="14"/>
      <c r="F5334" s="14"/>
      <c r="G5334" s="13">
        <v>0</v>
      </c>
      <c r="H5334" s="13">
        <v>0</v>
      </c>
      <c r="I5334" s="13"/>
      <c r="J5334" s="13"/>
      <c r="K5334" s="13"/>
      <c r="L5334" s="15">
        <v>0</v>
      </c>
    </row>
    <row r="5335" spans="1:12">
      <c r="A5335" s="12"/>
      <c r="E5335" s="14"/>
      <c r="F5335" s="14"/>
      <c r="G5335" s="13">
        <v>0</v>
      </c>
      <c r="H5335" s="13">
        <v>0</v>
      </c>
      <c r="I5335" s="13"/>
      <c r="J5335" s="13"/>
      <c r="K5335" s="13"/>
      <c r="L5335" s="15">
        <v>0</v>
      </c>
    </row>
    <row r="5336" spans="1:12">
      <c r="A5336" s="12"/>
      <c r="E5336" s="14"/>
      <c r="F5336" s="14"/>
      <c r="G5336" s="13">
        <v>0</v>
      </c>
      <c r="H5336" s="13">
        <v>0</v>
      </c>
      <c r="I5336" s="13"/>
      <c r="J5336" s="13"/>
      <c r="K5336" s="13"/>
      <c r="L5336" s="15">
        <v>0</v>
      </c>
    </row>
    <row r="5337" spans="1:12">
      <c r="A5337" s="12"/>
      <c r="E5337" s="14"/>
      <c r="F5337" s="14"/>
      <c r="G5337" s="13">
        <v>0</v>
      </c>
      <c r="H5337" s="13">
        <v>0</v>
      </c>
      <c r="I5337" s="13"/>
      <c r="J5337" s="13"/>
      <c r="K5337" s="13"/>
      <c r="L5337" s="15">
        <v>0</v>
      </c>
    </row>
    <row r="5338" spans="1:12">
      <c r="A5338" s="12"/>
      <c r="E5338" s="14"/>
      <c r="F5338" s="14"/>
      <c r="G5338" s="13">
        <v>0</v>
      </c>
      <c r="H5338" s="13">
        <v>0</v>
      </c>
      <c r="I5338" s="13"/>
      <c r="J5338" s="13"/>
      <c r="K5338" s="13"/>
      <c r="L5338" s="15">
        <v>0</v>
      </c>
    </row>
    <row r="5339" spans="1:12">
      <c r="A5339" s="12"/>
      <c r="E5339" s="14"/>
      <c r="F5339" s="14"/>
      <c r="G5339" s="13">
        <v>0</v>
      </c>
      <c r="H5339" s="13">
        <v>0</v>
      </c>
      <c r="I5339" s="13"/>
      <c r="J5339" s="13"/>
      <c r="K5339" s="13"/>
      <c r="L5339" s="15">
        <v>0</v>
      </c>
    </row>
    <row r="5340" spans="1:12">
      <c r="A5340" s="12"/>
      <c r="E5340" s="14"/>
      <c r="F5340" s="14"/>
      <c r="G5340" s="13">
        <v>0</v>
      </c>
      <c r="H5340" s="13">
        <v>0</v>
      </c>
      <c r="I5340" s="13"/>
      <c r="J5340" s="13"/>
      <c r="K5340" s="13"/>
      <c r="L5340" s="15">
        <v>0</v>
      </c>
    </row>
    <row r="5341" spans="1:12">
      <c r="A5341" s="12"/>
      <c r="E5341" s="14"/>
      <c r="F5341" s="14"/>
      <c r="G5341" s="13">
        <v>0</v>
      </c>
      <c r="H5341" s="13">
        <v>0</v>
      </c>
      <c r="I5341" s="13"/>
      <c r="J5341" s="13"/>
      <c r="K5341" s="13"/>
      <c r="L5341" s="15">
        <v>0</v>
      </c>
    </row>
    <row r="5342" spans="1:12">
      <c r="A5342" s="12"/>
      <c r="E5342" s="14"/>
      <c r="F5342" s="14"/>
      <c r="G5342" s="13">
        <v>0</v>
      </c>
      <c r="H5342" s="13">
        <v>0</v>
      </c>
      <c r="I5342" s="13"/>
      <c r="J5342" s="13"/>
      <c r="K5342" s="13"/>
      <c r="L5342" s="15">
        <v>0</v>
      </c>
    </row>
    <row r="5343" spans="1:12">
      <c r="A5343" s="12"/>
      <c r="E5343" s="14"/>
      <c r="F5343" s="14"/>
      <c r="G5343" s="13">
        <v>0</v>
      </c>
      <c r="H5343" s="13">
        <v>0</v>
      </c>
      <c r="I5343" s="13"/>
      <c r="J5343" s="13"/>
      <c r="K5343" s="13"/>
      <c r="L5343" s="15">
        <v>0</v>
      </c>
    </row>
    <row r="5344" spans="1:12">
      <c r="A5344" s="12"/>
      <c r="E5344" s="14"/>
      <c r="F5344" s="14"/>
      <c r="G5344" s="13">
        <v>0</v>
      </c>
      <c r="H5344" s="13">
        <v>0</v>
      </c>
      <c r="I5344" s="13"/>
      <c r="J5344" s="13"/>
      <c r="K5344" s="13"/>
      <c r="L5344" s="15">
        <v>0</v>
      </c>
    </row>
    <row r="5345" spans="1:12">
      <c r="A5345" s="12"/>
      <c r="E5345" s="14"/>
      <c r="F5345" s="14"/>
      <c r="G5345" s="13">
        <v>0</v>
      </c>
      <c r="H5345" s="13">
        <v>0</v>
      </c>
      <c r="I5345" s="13"/>
      <c r="J5345" s="13"/>
      <c r="K5345" s="13"/>
      <c r="L5345" s="15">
        <v>0</v>
      </c>
    </row>
    <row r="5346" spans="1:12">
      <c r="A5346" s="12"/>
      <c r="E5346" s="14"/>
      <c r="F5346" s="14"/>
      <c r="G5346" s="13">
        <v>0</v>
      </c>
      <c r="H5346" s="13">
        <v>0</v>
      </c>
      <c r="I5346" s="13"/>
      <c r="J5346" s="13"/>
      <c r="K5346" s="13"/>
      <c r="L5346" s="15">
        <v>0</v>
      </c>
    </row>
    <row r="5347" spans="1:12">
      <c r="A5347" s="12"/>
      <c r="E5347" s="14"/>
      <c r="F5347" s="14"/>
      <c r="G5347" s="13">
        <v>0</v>
      </c>
      <c r="H5347" s="13">
        <v>0</v>
      </c>
      <c r="I5347" s="13"/>
      <c r="J5347" s="13"/>
      <c r="K5347" s="13"/>
      <c r="L5347" s="15">
        <v>0</v>
      </c>
    </row>
    <row r="5348" spans="1:12">
      <c r="A5348" s="12"/>
      <c r="E5348" s="14"/>
      <c r="F5348" s="14"/>
      <c r="G5348" s="13">
        <v>0</v>
      </c>
      <c r="H5348" s="13">
        <v>0</v>
      </c>
      <c r="I5348" s="13"/>
      <c r="J5348" s="13"/>
      <c r="K5348" s="13"/>
      <c r="L5348" s="15">
        <v>0</v>
      </c>
    </row>
    <row r="5349" spans="1:12">
      <c r="A5349" s="12"/>
      <c r="E5349" s="14"/>
      <c r="F5349" s="14"/>
      <c r="G5349" s="13">
        <v>0</v>
      </c>
      <c r="H5349" s="13">
        <v>0</v>
      </c>
      <c r="I5349" s="13"/>
      <c r="J5349" s="13"/>
      <c r="K5349" s="13"/>
      <c r="L5349" s="15">
        <v>0</v>
      </c>
    </row>
    <row r="5350" spans="1:12">
      <c r="A5350" s="12"/>
      <c r="E5350" s="14"/>
      <c r="F5350" s="14"/>
      <c r="G5350" s="13">
        <v>0</v>
      </c>
      <c r="H5350" s="13">
        <v>0</v>
      </c>
      <c r="I5350" s="13"/>
      <c r="J5350" s="13"/>
      <c r="K5350" s="13"/>
      <c r="L5350" s="15">
        <v>0</v>
      </c>
    </row>
    <row r="5351" spans="1:12">
      <c r="A5351" s="12"/>
      <c r="E5351" s="14"/>
      <c r="F5351" s="14"/>
      <c r="G5351" s="13">
        <v>0</v>
      </c>
      <c r="H5351" s="13">
        <v>0</v>
      </c>
      <c r="I5351" s="13"/>
      <c r="J5351" s="13"/>
      <c r="K5351" s="13"/>
      <c r="L5351" s="15">
        <v>0</v>
      </c>
    </row>
    <row r="5352" spans="1:12">
      <c r="A5352" s="12"/>
      <c r="E5352" s="14"/>
      <c r="F5352" s="14"/>
      <c r="G5352" s="13">
        <v>0</v>
      </c>
      <c r="H5352" s="13">
        <v>0</v>
      </c>
      <c r="I5352" s="13"/>
      <c r="J5352" s="13"/>
      <c r="K5352" s="13"/>
      <c r="L5352" s="15">
        <v>0</v>
      </c>
    </row>
    <row r="5353" spans="1:12">
      <c r="A5353" s="12"/>
      <c r="E5353" s="14"/>
      <c r="F5353" s="14"/>
      <c r="G5353" s="13">
        <v>0</v>
      </c>
      <c r="H5353" s="13">
        <v>0</v>
      </c>
      <c r="I5353" s="13"/>
      <c r="J5353" s="13"/>
      <c r="K5353" s="13"/>
      <c r="L5353" s="15">
        <v>0</v>
      </c>
    </row>
    <row r="5354" spans="1:12">
      <c r="A5354" s="12"/>
      <c r="E5354" s="14"/>
      <c r="F5354" s="14"/>
      <c r="G5354" s="13">
        <v>0</v>
      </c>
      <c r="H5354" s="13">
        <v>0</v>
      </c>
      <c r="I5354" s="13"/>
      <c r="J5354" s="13"/>
      <c r="K5354" s="13"/>
      <c r="L5354" s="15">
        <v>0</v>
      </c>
    </row>
    <row r="5355" spans="1:12">
      <c r="A5355" s="12"/>
      <c r="E5355" s="14"/>
      <c r="F5355" s="14"/>
      <c r="G5355" s="13">
        <v>0</v>
      </c>
      <c r="H5355" s="13">
        <v>0</v>
      </c>
      <c r="I5355" s="13"/>
      <c r="J5355" s="13"/>
      <c r="K5355" s="13"/>
      <c r="L5355" s="15">
        <v>0</v>
      </c>
    </row>
    <row r="5356" spans="1:12">
      <c r="A5356" s="12"/>
      <c r="E5356" s="14"/>
      <c r="F5356" s="14"/>
      <c r="G5356" s="13">
        <v>0</v>
      </c>
      <c r="H5356" s="13">
        <v>0</v>
      </c>
      <c r="I5356" s="13"/>
      <c r="J5356" s="13"/>
      <c r="K5356" s="13"/>
      <c r="L5356" s="15">
        <v>0</v>
      </c>
    </row>
    <row r="5357" spans="1:12">
      <c r="A5357" s="12"/>
      <c r="E5357" s="14"/>
      <c r="F5357" s="14"/>
      <c r="G5357" s="13">
        <v>0</v>
      </c>
      <c r="H5357" s="13">
        <v>0</v>
      </c>
      <c r="I5357" s="13"/>
      <c r="J5357" s="13"/>
      <c r="K5357" s="13"/>
      <c r="L5357" s="15">
        <v>0</v>
      </c>
    </row>
    <row r="5358" spans="1:12">
      <c r="A5358" s="12"/>
      <c r="E5358" s="14"/>
      <c r="F5358" s="14"/>
      <c r="G5358" s="13">
        <v>0</v>
      </c>
      <c r="H5358" s="13">
        <v>0</v>
      </c>
      <c r="I5358" s="13"/>
      <c r="J5358" s="13"/>
      <c r="K5358" s="13"/>
      <c r="L5358" s="15">
        <v>0</v>
      </c>
    </row>
    <row r="5359" spans="1:12">
      <c r="A5359" s="12"/>
      <c r="E5359" s="14"/>
      <c r="F5359" s="14"/>
      <c r="G5359" s="13">
        <v>0</v>
      </c>
      <c r="H5359" s="13">
        <v>0</v>
      </c>
      <c r="I5359" s="13"/>
      <c r="J5359" s="13"/>
      <c r="K5359" s="13"/>
      <c r="L5359" s="15">
        <v>0</v>
      </c>
    </row>
    <row r="5360" spans="1:12">
      <c r="A5360" s="12"/>
      <c r="E5360" s="14"/>
      <c r="F5360" s="14"/>
      <c r="G5360" s="13">
        <v>0</v>
      </c>
      <c r="H5360" s="13">
        <v>0</v>
      </c>
      <c r="I5360" s="13"/>
      <c r="J5360" s="13"/>
      <c r="K5360" s="13"/>
      <c r="L5360" s="15">
        <v>0</v>
      </c>
    </row>
    <row r="5361" spans="1:12">
      <c r="A5361" s="12"/>
      <c r="E5361" s="14"/>
      <c r="F5361" s="14"/>
      <c r="G5361" s="13">
        <v>0</v>
      </c>
      <c r="H5361" s="13">
        <v>0</v>
      </c>
      <c r="I5361" s="13"/>
      <c r="J5361" s="13"/>
      <c r="K5361" s="13"/>
      <c r="L5361" s="15">
        <v>0</v>
      </c>
    </row>
    <row r="5362" spans="1:12">
      <c r="A5362" s="12"/>
      <c r="E5362" s="14"/>
      <c r="F5362" s="14"/>
      <c r="G5362" s="13">
        <v>0</v>
      </c>
      <c r="H5362" s="13">
        <v>0</v>
      </c>
      <c r="I5362" s="13"/>
      <c r="J5362" s="13"/>
      <c r="K5362" s="13"/>
      <c r="L5362" s="15">
        <v>0</v>
      </c>
    </row>
    <row r="5363" spans="1:12">
      <c r="A5363" s="12"/>
      <c r="E5363" s="14"/>
      <c r="F5363" s="14"/>
      <c r="G5363" s="13">
        <v>0</v>
      </c>
      <c r="H5363" s="13">
        <v>0</v>
      </c>
      <c r="I5363" s="13"/>
      <c r="J5363" s="13"/>
      <c r="K5363" s="13"/>
      <c r="L5363" s="15">
        <v>0</v>
      </c>
    </row>
    <row r="5364" spans="1:12">
      <c r="A5364" s="12"/>
      <c r="E5364" s="14"/>
      <c r="F5364" s="14"/>
      <c r="G5364" s="13">
        <v>0</v>
      </c>
      <c r="H5364" s="13">
        <v>0</v>
      </c>
      <c r="I5364" s="13"/>
      <c r="J5364" s="13"/>
      <c r="K5364" s="13"/>
      <c r="L5364" s="15">
        <v>0</v>
      </c>
    </row>
    <row r="5365" spans="1:12">
      <c r="A5365" s="12"/>
      <c r="E5365" s="14"/>
      <c r="F5365" s="14"/>
      <c r="G5365" s="13">
        <v>0</v>
      </c>
      <c r="H5365" s="13">
        <v>0</v>
      </c>
      <c r="I5365" s="13"/>
      <c r="J5365" s="13"/>
      <c r="K5365" s="13"/>
      <c r="L5365" s="15">
        <v>0</v>
      </c>
    </row>
    <row r="5366" spans="1:12">
      <c r="A5366" s="12"/>
      <c r="E5366" s="14"/>
      <c r="F5366" s="14"/>
      <c r="G5366" s="13">
        <v>0</v>
      </c>
      <c r="H5366" s="13">
        <v>0</v>
      </c>
      <c r="I5366" s="13"/>
      <c r="J5366" s="13"/>
      <c r="K5366" s="13"/>
      <c r="L5366" s="15">
        <v>0</v>
      </c>
    </row>
    <row r="5367" spans="1:12">
      <c r="A5367" s="12"/>
      <c r="E5367" s="14"/>
      <c r="F5367" s="14"/>
      <c r="G5367" s="13">
        <v>0</v>
      </c>
      <c r="H5367" s="13">
        <v>0</v>
      </c>
      <c r="I5367" s="13"/>
      <c r="J5367" s="13"/>
      <c r="K5367" s="13"/>
      <c r="L5367" s="15">
        <v>0</v>
      </c>
    </row>
    <row r="5368" spans="1:12">
      <c r="A5368" s="12"/>
      <c r="E5368" s="14"/>
      <c r="F5368" s="14"/>
      <c r="G5368" s="13">
        <v>0</v>
      </c>
      <c r="H5368" s="13">
        <v>0</v>
      </c>
      <c r="I5368" s="13"/>
      <c r="J5368" s="13"/>
      <c r="K5368" s="13"/>
      <c r="L5368" s="15">
        <v>0</v>
      </c>
    </row>
    <row r="5369" spans="1:12">
      <c r="A5369" s="12"/>
      <c r="E5369" s="14"/>
      <c r="F5369" s="14"/>
      <c r="G5369" s="13">
        <v>0</v>
      </c>
      <c r="H5369" s="13">
        <v>0</v>
      </c>
      <c r="I5369" s="13"/>
      <c r="J5369" s="13"/>
      <c r="K5369" s="13"/>
      <c r="L5369" s="15">
        <v>0</v>
      </c>
    </row>
    <row r="5370" spans="1:12">
      <c r="A5370" s="12"/>
      <c r="E5370" s="14"/>
      <c r="F5370" s="14"/>
      <c r="G5370" s="13">
        <v>0</v>
      </c>
      <c r="H5370" s="13">
        <v>0</v>
      </c>
      <c r="I5370" s="13"/>
      <c r="J5370" s="13"/>
      <c r="K5370" s="13"/>
      <c r="L5370" s="15">
        <v>0</v>
      </c>
    </row>
    <row r="5371" spans="1:12">
      <c r="A5371" s="12"/>
      <c r="E5371" s="14"/>
      <c r="F5371" s="14"/>
      <c r="G5371" s="13">
        <v>0</v>
      </c>
      <c r="H5371" s="13">
        <v>0</v>
      </c>
      <c r="I5371" s="13"/>
      <c r="J5371" s="13"/>
      <c r="K5371" s="13"/>
      <c r="L5371" s="15">
        <v>0</v>
      </c>
    </row>
    <row r="5372" spans="1:12">
      <c r="A5372" s="12"/>
      <c r="E5372" s="14"/>
      <c r="F5372" s="14"/>
      <c r="G5372" s="13">
        <v>0</v>
      </c>
      <c r="H5372" s="13">
        <v>0</v>
      </c>
      <c r="I5372" s="13"/>
      <c r="J5372" s="13"/>
      <c r="K5372" s="13"/>
      <c r="L5372" s="15">
        <v>0</v>
      </c>
    </row>
    <row r="5373" spans="1:12">
      <c r="A5373" s="12"/>
      <c r="E5373" s="14"/>
      <c r="F5373" s="14"/>
      <c r="G5373" s="13">
        <v>0</v>
      </c>
      <c r="H5373" s="13">
        <v>0</v>
      </c>
      <c r="I5373" s="13"/>
      <c r="J5373" s="13"/>
      <c r="K5373" s="13"/>
      <c r="L5373" s="15">
        <v>0</v>
      </c>
    </row>
    <row r="5374" spans="1:12">
      <c r="A5374" s="12"/>
      <c r="E5374" s="14"/>
      <c r="F5374" s="14"/>
      <c r="G5374" s="13">
        <v>0</v>
      </c>
      <c r="H5374" s="13">
        <v>0</v>
      </c>
      <c r="I5374" s="13"/>
      <c r="J5374" s="13"/>
      <c r="K5374" s="13"/>
      <c r="L5374" s="15">
        <v>0</v>
      </c>
    </row>
    <row r="5375" spans="1:12">
      <c r="A5375" s="12"/>
      <c r="E5375" s="14"/>
      <c r="F5375" s="14"/>
      <c r="G5375" s="13">
        <v>0</v>
      </c>
      <c r="H5375" s="13">
        <v>0</v>
      </c>
      <c r="I5375" s="13"/>
      <c r="J5375" s="13"/>
      <c r="K5375" s="13"/>
      <c r="L5375" s="15">
        <v>0</v>
      </c>
    </row>
    <row r="5376" spans="1:12">
      <c r="A5376" s="12"/>
      <c r="E5376" s="14"/>
      <c r="F5376" s="14"/>
      <c r="G5376" s="13">
        <v>0</v>
      </c>
      <c r="H5376" s="13">
        <v>0</v>
      </c>
      <c r="I5376" s="13"/>
      <c r="J5376" s="13"/>
      <c r="K5376" s="13"/>
      <c r="L5376" s="15">
        <v>0</v>
      </c>
    </row>
    <row r="5377" spans="1:12">
      <c r="A5377" s="12"/>
      <c r="E5377" s="14"/>
      <c r="F5377" s="14"/>
      <c r="G5377" s="13">
        <v>0</v>
      </c>
      <c r="H5377" s="13">
        <v>0</v>
      </c>
      <c r="I5377" s="13"/>
      <c r="J5377" s="13"/>
      <c r="K5377" s="13"/>
      <c r="L5377" s="15">
        <v>0</v>
      </c>
    </row>
    <row r="5378" spans="1:12">
      <c r="A5378" s="12"/>
      <c r="E5378" s="14"/>
      <c r="F5378" s="14"/>
      <c r="G5378" s="13">
        <v>0</v>
      </c>
      <c r="H5378" s="13">
        <v>0</v>
      </c>
      <c r="I5378" s="13"/>
      <c r="J5378" s="13"/>
      <c r="K5378" s="13"/>
      <c r="L5378" s="15">
        <v>0</v>
      </c>
    </row>
    <row r="5379" spans="1:12">
      <c r="A5379" s="12"/>
      <c r="E5379" s="14"/>
      <c r="F5379" s="14"/>
      <c r="G5379" s="13">
        <v>0</v>
      </c>
      <c r="H5379" s="13">
        <v>0</v>
      </c>
      <c r="I5379" s="13"/>
      <c r="J5379" s="13"/>
      <c r="K5379" s="13"/>
      <c r="L5379" s="15">
        <v>0</v>
      </c>
    </row>
    <row r="5380" spans="1:12">
      <c r="A5380" s="12"/>
      <c r="E5380" s="14"/>
      <c r="F5380" s="14"/>
      <c r="G5380" s="13">
        <v>0</v>
      </c>
      <c r="H5380" s="13">
        <v>0</v>
      </c>
      <c r="I5380" s="13"/>
      <c r="J5380" s="13"/>
      <c r="K5380" s="13"/>
      <c r="L5380" s="15">
        <v>0</v>
      </c>
    </row>
    <row r="5381" spans="1:12">
      <c r="A5381" s="12"/>
      <c r="E5381" s="14"/>
      <c r="F5381" s="14"/>
      <c r="G5381" s="13">
        <v>0</v>
      </c>
      <c r="H5381" s="13">
        <v>0</v>
      </c>
      <c r="I5381" s="13"/>
      <c r="J5381" s="13"/>
      <c r="K5381" s="13"/>
      <c r="L5381" s="15">
        <v>0</v>
      </c>
    </row>
    <row r="5382" spans="1:12">
      <c r="A5382" s="12"/>
      <c r="E5382" s="14"/>
      <c r="F5382" s="14"/>
      <c r="G5382" s="13">
        <v>0</v>
      </c>
      <c r="H5382" s="13">
        <v>0</v>
      </c>
      <c r="I5382" s="13"/>
      <c r="J5382" s="13"/>
      <c r="K5382" s="13"/>
      <c r="L5382" s="15">
        <v>0</v>
      </c>
    </row>
    <row r="5383" spans="1:12">
      <c r="A5383" s="12"/>
      <c r="E5383" s="14"/>
      <c r="F5383" s="14"/>
      <c r="G5383" s="13">
        <v>0</v>
      </c>
      <c r="H5383" s="13">
        <v>0</v>
      </c>
      <c r="I5383" s="13"/>
      <c r="J5383" s="13"/>
      <c r="K5383" s="13"/>
      <c r="L5383" s="15">
        <v>0</v>
      </c>
    </row>
    <row r="5384" spans="1:12">
      <c r="A5384" s="12"/>
      <c r="E5384" s="14"/>
      <c r="F5384" s="14"/>
      <c r="G5384" s="13">
        <v>0</v>
      </c>
      <c r="H5384" s="13">
        <v>0</v>
      </c>
      <c r="I5384" s="13"/>
      <c r="J5384" s="13"/>
      <c r="K5384" s="13"/>
      <c r="L5384" s="15">
        <v>0</v>
      </c>
    </row>
    <row r="5385" spans="1:12">
      <c r="A5385" s="12"/>
      <c r="E5385" s="14"/>
      <c r="F5385" s="14"/>
      <c r="G5385" s="13">
        <v>0</v>
      </c>
      <c r="H5385" s="13">
        <v>0</v>
      </c>
      <c r="I5385" s="13"/>
      <c r="J5385" s="13"/>
      <c r="K5385" s="13"/>
      <c r="L5385" s="15">
        <v>0</v>
      </c>
    </row>
    <row r="5386" spans="1:12">
      <c r="A5386" s="12"/>
      <c r="E5386" s="14"/>
      <c r="F5386" s="14"/>
      <c r="G5386" s="13">
        <v>0</v>
      </c>
      <c r="H5386" s="13">
        <v>0</v>
      </c>
      <c r="I5386" s="13"/>
      <c r="J5386" s="13"/>
      <c r="K5386" s="13"/>
      <c r="L5386" s="15">
        <v>0</v>
      </c>
    </row>
    <row r="5387" spans="1:12">
      <c r="A5387" s="12"/>
      <c r="E5387" s="14"/>
      <c r="F5387" s="14"/>
      <c r="G5387" s="13">
        <v>0</v>
      </c>
      <c r="H5387" s="13">
        <v>0</v>
      </c>
      <c r="I5387" s="13"/>
      <c r="J5387" s="13"/>
      <c r="K5387" s="13"/>
      <c r="L5387" s="15">
        <v>0</v>
      </c>
    </row>
    <row r="5388" spans="1:12">
      <c r="A5388" s="12"/>
      <c r="E5388" s="14"/>
      <c r="F5388" s="14"/>
      <c r="G5388" s="13">
        <v>0</v>
      </c>
      <c r="H5388" s="13">
        <v>0</v>
      </c>
      <c r="I5388" s="13"/>
      <c r="J5388" s="13"/>
      <c r="K5388" s="13"/>
      <c r="L5388" s="15">
        <v>0</v>
      </c>
    </row>
    <row r="5389" spans="1:12">
      <c r="A5389" s="12"/>
      <c r="E5389" s="14"/>
      <c r="F5389" s="14"/>
      <c r="G5389" s="13">
        <v>0</v>
      </c>
      <c r="H5389" s="13">
        <v>0</v>
      </c>
      <c r="I5389" s="13"/>
      <c r="J5389" s="13"/>
      <c r="K5389" s="13"/>
      <c r="L5389" s="15">
        <v>0</v>
      </c>
    </row>
    <row r="5390" spans="1:12">
      <c r="A5390" s="12"/>
      <c r="E5390" s="14"/>
      <c r="F5390" s="14"/>
      <c r="G5390" s="13">
        <v>0</v>
      </c>
      <c r="H5390" s="13">
        <v>0</v>
      </c>
      <c r="I5390" s="13"/>
      <c r="J5390" s="13"/>
      <c r="K5390" s="13"/>
      <c r="L5390" s="15">
        <v>0</v>
      </c>
    </row>
    <row r="5391" spans="1:12">
      <c r="A5391" s="12"/>
      <c r="E5391" s="14"/>
      <c r="F5391" s="14"/>
      <c r="G5391" s="13">
        <v>0</v>
      </c>
      <c r="H5391" s="13">
        <v>0</v>
      </c>
      <c r="I5391" s="13"/>
      <c r="J5391" s="13"/>
      <c r="K5391" s="13"/>
      <c r="L5391" s="15">
        <v>0</v>
      </c>
    </row>
    <row r="5392" spans="1:12">
      <c r="A5392" s="12"/>
      <c r="E5392" s="14"/>
      <c r="F5392" s="14"/>
      <c r="G5392" s="13">
        <v>0</v>
      </c>
      <c r="H5392" s="13">
        <v>0</v>
      </c>
      <c r="I5392" s="13"/>
      <c r="J5392" s="13"/>
      <c r="K5392" s="13"/>
      <c r="L5392" s="15">
        <v>0</v>
      </c>
    </row>
    <row r="5393" spans="1:12">
      <c r="A5393" s="12"/>
      <c r="E5393" s="14"/>
      <c r="F5393" s="14"/>
      <c r="G5393" s="13">
        <v>0</v>
      </c>
      <c r="H5393" s="13">
        <v>0</v>
      </c>
      <c r="I5393" s="13"/>
      <c r="J5393" s="13"/>
      <c r="K5393" s="13"/>
      <c r="L5393" s="15">
        <v>0</v>
      </c>
    </row>
    <row r="5394" spans="1:12">
      <c r="A5394" s="12"/>
      <c r="E5394" s="14"/>
      <c r="F5394" s="14"/>
      <c r="G5394" s="13">
        <v>0</v>
      </c>
      <c r="H5394" s="13">
        <v>0</v>
      </c>
      <c r="I5394" s="13"/>
      <c r="J5394" s="13"/>
      <c r="K5394" s="13"/>
      <c r="L5394" s="15">
        <v>0</v>
      </c>
    </row>
    <row r="5395" spans="1:12">
      <c r="A5395" s="12"/>
      <c r="E5395" s="14"/>
      <c r="F5395" s="14"/>
      <c r="G5395" s="13">
        <v>0</v>
      </c>
      <c r="H5395" s="13">
        <v>0</v>
      </c>
      <c r="I5395" s="13"/>
      <c r="J5395" s="13"/>
      <c r="K5395" s="13"/>
      <c r="L5395" s="15">
        <v>0</v>
      </c>
    </row>
    <row r="5396" spans="1:12">
      <c r="A5396" s="12"/>
      <c r="E5396" s="14"/>
      <c r="F5396" s="14"/>
      <c r="G5396" s="13">
        <v>0</v>
      </c>
      <c r="H5396" s="13">
        <v>0</v>
      </c>
      <c r="I5396" s="13"/>
      <c r="J5396" s="13"/>
      <c r="K5396" s="13"/>
      <c r="L5396" s="15">
        <v>0</v>
      </c>
    </row>
    <row r="5397" spans="1:12">
      <c r="A5397" s="12"/>
      <c r="E5397" s="14"/>
      <c r="F5397" s="14"/>
      <c r="G5397" s="13">
        <v>0</v>
      </c>
      <c r="H5397" s="13">
        <v>0</v>
      </c>
      <c r="I5397" s="13"/>
      <c r="J5397" s="13"/>
      <c r="K5397" s="13"/>
      <c r="L5397" s="15">
        <v>0</v>
      </c>
    </row>
    <row r="5398" spans="1:12">
      <c r="A5398" s="12"/>
      <c r="E5398" s="14"/>
      <c r="F5398" s="14"/>
      <c r="G5398" s="13">
        <v>0</v>
      </c>
      <c r="H5398" s="13">
        <v>0</v>
      </c>
      <c r="I5398" s="13"/>
      <c r="J5398" s="13"/>
      <c r="K5398" s="13"/>
      <c r="L5398" s="15">
        <v>0</v>
      </c>
    </row>
    <row r="5399" spans="1:12">
      <c r="A5399" s="12"/>
      <c r="E5399" s="14"/>
      <c r="F5399" s="14"/>
      <c r="G5399" s="13">
        <v>0</v>
      </c>
      <c r="H5399" s="13">
        <v>0</v>
      </c>
      <c r="I5399" s="13"/>
      <c r="J5399" s="13"/>
      <c r="K5399" s="13"/>
      <c r="L5399" s="15">
        <v>0</v>
      </c>
    </row>
    <row r="5400" spans="1:12">
      <c r="A5400" s="12"/>
      <c r="E5400" s="14"/>
      <c r="F5400" s="14"/>
      <c r="G5400" s="13">
        <v>0</v>
      </c>
      <c r="H5400" s="13">
        <v>0</v>
      </c>
      <c r="I5400" s="13"/>
      <c r="J5400" s="13"/>
      <c r="K5400" s="13"/>
      <c r="L5400" s="15">
        <v>0</v>
      </c>
    </row>
    <row r="5401" spans="1:12">
      <c r="A5401" s="12"/>
      <c r="E5401" s="14"/>
      <c r="F5401" s="14"/>
      <c r="G5401" s="13">
        <v>0</v>
      </c>
      <c r="H5401" s="13">
        <v>0</v>
      </c>
      <c r="I5401" s="13"/>
      <c r="J5401" s="13"/>
      <c r="K5401" s="13"/>
      <c r="L5401" s="15">
        <v>0</v>
      </c>
    </row>
    <row r="5402" spans="1:12">
      <c r="A5402" s="12"/>
      <c r="E5402" s="14"/>
      <c r="F5402" s="14"/>
      <c r="G5402" s="13">
        <v>0</v>
      </c>
      <c r="H5402" s="13">
        <v>0</v>
      </c>
      <c r="I5402" s="13"/>
      <c r="J5402" s="13"/>
      <c r="K5402" s="13"/>
      <c r="L5402" s="15">
        <v>0</v>
      </c>
    </row>
    <row r="5403" spans="1:12">
      <c r="A5403" s="12"/>
      <c r="E5403" s="14"/>
      <c r="F5403" s="14"/>
      <c r="G5403" s="13">
        <v>0</v>
      </c>
      <c r="H5403" s="13">
        <v>0</v>
      </c>
      <c r="I5403" s="13"/>
      <c r="J5403" s="13"/>
      <c r="K5403" s="13"/>
      <c r="L5403" s="15">
        <v>0</v>
      </c>
    </row>
    <row r="5404" spans="1:12">
      <c r="A5404" s="12"/>
      <c r="E5404" s="14"/>
      <c r="F5404" s="14"/>
      <c r="G5404" s="13">
        <v>0</v>
      </c>
      <c r="H5404" s="13">
        <v>0</v>
      </c>
      <c r="I5404" s="13"/>
      <c r="J5404" s="13"/>
      <c r="K5404" s="13"/>
      <c r="L5404" s="15">
        <v>0</v>
      </c>
    </row>
    <row r="5405" spans="1:12">
      <c r="A5405" s="12"/>
      <c r="E5405" s="14"/>
      <c r="F5405" s="14"/>
      <c r="G5405" s="13">
        <v>0</v>
      </c>
      <c r="H5405" s="13">
        <v>0</v>
      </c>
      <c r="I5405" s="13"/>
      <c r="J5405" s="13"/>
      <c r="K5405" s="13"/>
      <c r="L5405" s="15">
        <v>0</v>
      </c>
    </row>
    <row r="5406" spans="1:12">
      <c r="A5406" s="12"/>
      <c r="E5406" s="14"/>
      <c r="F5406" s="14"/>
      <c r="G5406" s="13">
        <v>0</v>
      </c>
      <c r="H5406" s="13">
        <v>0</v>
      </c>
      <c r="I5406" s="13"/>
      <c r="J5406" s="13"/>
      <c r="K5406" s="13"/>
      <c r="L5406" s="15">
        <v>0</v>
      </c>
    </row>
    <row r="5407" spans="1:12">
      <c r="A5407" s="12"/>
      <c r="E5407" s="14"/>
      <c r="F5407" s="14"/>
      <c r="G5407" s="13">
        <v>0</v>
      </c>
      <c r="H5407" s="13">
        <v>0</v>
      </c>
      <c r="I5407" s="13"/>
      <c r="J5407" s="13"/>
      <c r="K5407" s="13"/>
      <c r="L5407" s="15">
        <v>0</v>
      </c>
    </row>
    <row r="5408" spans="1:12">
      <c r="A5408" s="12"/>
      <c r="E5408" s="14"/>
      <c r="F5408" s="14"/>
      <c r="G5408" s="13">
        <v>0</v>
      </c>
      <c r="H5408" s="13">
        <v>0</v>
      </c>
      <c r="I5408" s="13"/>
      <c r="J5408" s="13"/>
      <c r="K5408" s="13"/>
      <c r="L5408" s="15">
        <v>0</v>
      </c>
    </row>
    <row r="5409" spans="1:12">
      <c r="A5409" s="12"/>
      <c r="E5409" s="14"/>
      <c r="F5409" s="14"/>
      <c r="G5409" s="13">
        <v>0</v>
      </c>
      <c r="H5409" s="13">
        <v>0</v>
      </c>
      <c r="I5409" s="13"/>
      <c r="J5409" s="13"/>
      <c r="K5409" s="13"/>
      <c r="L5409" s="15">
        <v>0</v>
      </c>
    </row>
    <row r="5410" spans="1:12">
      <c r="A5410" s="12"/>
      <c r="E5410" s="14"/>
      <c r="F5410" s="14"/>
      <c r="G5410" s="13">
        <v>0</v>
      </c>
      <c r="H5410" s="13">
        <v>0</v>
      </c>
      <c r="I5410" s="13"/>
      <c r="J5410" s="13"/>
      <c r="K5410" s="13"/>
      <c r="L5410" s="15">
        <v>0</v>
      </c>
    </row>
    <row r="5411" spans="1:12">
      <c r="A5411" s="12"/>
      <c r="E5411" s="14"/>
      <c r="F5411" s="14"/>
      <c r="G5411" s="13">
        <v>0</v>
      </c>
      <c r="H5411" s="13">
        <v>0</v>
      </c>
      <c r="I5411" s="13"/>
      <c r="J5411" s="13"/>
      <c r="K5411" s="13"/>
      <c r="L5411" s="15">
        <v>0</v>
      </c>
    </row>
    <row r="5412" spans="1:12">
      <c r="A5412" s="12"/>
      <c r="E5412" s="14"/>
      <c r="F5412" s="14"/>
      <c r="G5412" s="13">
        <v>0</v>
      </c>
      <c r="H5412" s="13">
        <v>0</v>
      </c>
      <c r="I5412" s="13"/>
      <c r="J5412" s="13"/>
      <c r="K5412" s="13"/>
      <c r="L5412" s="15">
        <v>0</v>
      </c>
    </row>
    <row r="5413" spans="1:12">
      <c r="A5413" s="12"/>
      <c r="E5413" s="14"/>
      <c r="F5413" s="14"/>
      <c r="G5413" s="13">
        <v>0</v>
      </c>
      <c r="H5413" s="13">
        <v>0</v>
      </c>
      <c r="I5413" s="13"/>
      <c r="J5413" s="13"/>
      <c r="K5413" s="13"/>
      <c r="L5413" s="15">
        <v>0</v>
      </c>
    </row>
    <row r="5414" spans="1:12">
      <c r="A5414" s="12"/>
      <c r="E5414" s="14"/>
      <c r="F5414" s="14"/>
      <c r="G5414" s="13">
        <v>0</v>
      </c>
      <c r="H5414" s="13">
        <v>0</v>
      </c>
      <c r="I5414" s="13"/>
      <c r="J5414" s="13"/>
      <c r="K5414" s="13"/>
      <c r="L5414" s="15">
        <v>0</v>
      </c>
    </row>
    <row r="5415" spans="1:12">
      <c r="A5415" s="12"/>
      <c r="E5415" s="14"/>
      <c r="F5415" s="14"/>
      <c r="G5415" s="13">
        <v>0</v>
      </c>
      <c r="H5415" s="13">
        <v>0</v>
      </c>
      <c r="I5415" s="13"/>
      <c r="J5415" s="13"/>
      <c r="K5415" s="13"/>
      <c r="L5415" s="15">
        <v>0</v>
      </c>
    </row>
    <row r="5416" spans="1:12">
      <c r="A5416" s="12"/>
      <c r="E5416" s="14"/>
      <c r="F5416" s="14"/>
      <c r="G5416" s="13">
        <v>0</v>
      </c>
      <c r="H5416" s="13">
        <v>0</v>
      </c>
      <c r="I5416" s="13"/>
      <c r="J5416" s="13"/>
      <c r="K5416" s="13"/>
      <c r="L5416" s="15">
        <v>0</v>
      </c>
    </row>
    <row r="5417" spans="1:12">
      <c r="A5417" s="12"/>
      <c r="E5417" s="14"/>
      <c r="F5417" s="14"/>
      <c r="G5417" s="13">
        <v>0</v>
      </c>
      <c r="H5417" s="13">
        <v>0</v>
      </c>
      <c r="I5417" s="13"/>
      <c r="J5417" s="13"/>
      <c r="K5417" s="13"/>
      <c r="L5417" s="15">
        <v>0</v>
      </c>
    </row>
    <row r="5418" spans="1:12">
      <c r="A5418" s="12"/>
      <c r="E5418" s="14"/>
      <c r="F5418" s="14"/>
      <c r="G5418" s="13">
        <v>0</v>
      </c>
      <c r="H5418" s="13">
        <v>0</v>
      </c>
      <c r="I5418" s="13"/>
      <c r="J5418" s="13"/>
      <c r="K5418" s="13"/>
      <c r="L5418" s="15">
        <v>0</v>
      </c>
    </row>
    <row r="5419" spans="1:12">
      <c r="A5419" s="12"/>
      <c r="E5419" s="14"/>
      <c r="F5419" s="14"/>
      <c r="G5419" s="13">
        <v>0</v>
      </c>
      <c r="H5419" s="13">
        <v>0</v>
      </c>
      <c r="I5419" s="13"/>
      <c r="J5419" s="13"/>
      <c r="K5419" s="13"/>
      <c r="L5419" s="15">
        <v>0</v>
      </c>
    </row>
    <row r="5420" spans="1:12">
      <c r="A5420" s="12"/>
      <c r="E5420" s="14"/>
      <c r="F5420" s="14"/>
      <c r="G5420" s="13">
        <v>0</v>
      </c>
      <c r="H5420" s="13">
        <v>0</v>
      </c>
      <c r="I5420" s="13"/>
      <c r="J5420" s="13"/>
      <c r="K5420" s="13"/>
      <c r="L5420" s="15">
        <v>0</v>
      </c>
    </row>
    <row r="5421" spans="1:12">
      <c r="A5421" s="12"/>
      <c r="E5421" s="14"/>
      <c r="F5421" s="14"/>
      <c r="G5421" s="13">
        <v>0</v>
      </c>
      <c r="H5421" s="13">
        <v>0</v>
      </c>
      <c r="I5421" s="13"/>
      <c r="J5421" s="13"/>
      <c r="K5421" s="13"/>
      <c r="L5421" s="15">
        <v>0</v>
      </c>
    </row>
    <row r="5422" spans="1:12">
      <c r="A5422" s="12"/>
      <c r="E5422" s="14"/>
      <c r="F5422" s="14"/>
      <c r="G5422" s="13">
        <v>0</v>
      </c>
      <c r="H5422" s="13">
        <v>0</v>
      </c>
      <c r="I5422" s="13"/>
      <c r="J5422" s="13"/>
      <c r="K5422" s="13"/>
      <c r="L5422" s="15">
        <v>0</v>
      </c>
    </row>
    <row r="5423" spans="1:12">
      <c r="A5423" s="12"/>
      <c r="E5423" s="14"/>
      <c r="F5423" s="14"/>
      <c r="G5423" s="13">
        <v>0</v>
      </c>
      <c r="H5423" s="13">
        <v>0</v>
      </c>
      <c r="I5423" s="13"/>
      <c r="J5423" s="13"/>
      <c r="K5423" s="13"/>
      <c r="L5423" s="15">
        <v>0</v>
      </c>
    </row>
    <row r="5424" spans="1:12">
      <c r="A5424" s="12"/>
      <c r="E5424" s="14"/>
      <c r="F5424" s="14"/>
      <c r="G5424" s="13">
        <v>0</v>
      </c>
      <c r="H5424" s="13">
        <v>0</v>
      </c>
      <c r="I5424" s="13"/>
      <c r="J5424" s="13"/>
      <c r="K5424" s="13"/>
      <c r="L5424" s="15">
        <v>0</v>
      </c>
    </row>
    <row r="5425" spans="1:12">
      <c r="A5425" s="12"/>
      <c r="E5425" s="14"/>
      <c r="F5425" s="14"/>
      <c r="G5425" s="13">
        <v>0</v>
      </c>
      <c r="H5425" s="13">
        <v>0</v>
      </c>
      <c r="I5425" s="13"/>
      <c r="J5425" s="13"/>
      <c r="K5425" s="13"/>
      <c r="L5425" s="15">
        <v>0</v>
      </c>
    </row>
    <row r="5426" spans="1:12">
      <c r="A5426" s="12"/>
      <c r="E5426" s="14"/>
      <c r="F5426" s="14"/>
      <c r="G5426" s="13">
        <v>0</v>
      </c>
      <c r="H5426" s="13">
        <v>0</v>
      </c>
      <c r="I5426" s="13"/>
      <c r="J5426" s="13"/>
      <c r="K5426" s="13"/>
      <c r="L5426" s="15">
        <v>0</v>
      </c>
    </row>
    <row r="5427" spans="1:12">
      <c r="A5427" s="12"/>
      <c r="E5427" s="14"/>
      <c r="F5427" s="14"/>
      <c r="G5427" s="13">
        <v>0</v>
      </c>
      <c r="H5427" s="13">
        <v>0</v>
      </c>
      <c r="I5427" s="13"/>
      <c r="J5427" s="13"/>
      <c r="K5427" s="13"/>
      <c r="L5427" s="15">
        <v>0</v>
      </c>
    </row>
    <row r="5428" spans="1:12">
      <c r="A5428" s="12"/>
      <c r="E5428" s="14"/>
      <c r="F5428" s="14"/>
      <c r="G5428" s="13">
        <v>0</v>
      </c>
      <c r="H5428" s="13">
        <v>0</v>
      </c>
      <c r="I5428" s="13"/>
      <c r="J5428" s="13"/>
      <c r="K5428" s="13"/>
      <c r="L5428" s="15">
        <v>0</v>
      </c>
    </row>
    <row r="5429" spans="1:12">
      <c r="A5429" s="12"/>
      <c r="E5429" s="14"/>
      <c r="F5429" s="14"/>
      <c r="G5429" s="13">
        <v>0</v>
      </c>
      <c r="H5429" s="13">
        <v>0</v>
      </c>
      <c r="I5429" s="13"/>
      <c r="J5429" s="13"/>
      <c r="K5429" s="13"/>
      <c r="L5429" s="15">
        <v>0</v>
      </c>
    </row>
    <row r="5430" spans="1:12">
      <c r="A5430" s="12"/>
      <c r="E5430" s="14"/>
      <c r="F5430" s="14"/>
      <c r="G5430" s="13">
        <v>0</v>
      </c>
      <c r="H5430" s="13">
        <v>0</v>
      </c>
      <c r="I5430" s="13"/>
      <c r="J5430" s="13"/>
      <c r="K5430" s="13"/>
      <c r="L5430" s="15">
        <v>0</v>
      </c>
    </row>
    <row r="5431" spans="1:12">
      <c r="A5431" s="12"/>
      <c r="E5431" s="14"/>
      <c r="F5431" s="14"/>
      <c r="G5431" s="13">
        <v>0</v>
      </c>
      <c r="H5431" s="13">
        <v>0</v>
      </c>
      <c r="I5431" s="13"/>
      <c r="J5431" s="13"/>
      <c r="K5431" s="13"/>
      <c r="L5431" s="15">
        <v>0</v>
      </c>
    </row>
    <row r="5432" spans="1:12">
      <c r="A5432" s="12"/>
      <c r="E5432" s="14"/>
      <c r="F5432" s="14"/>
      <c r="G5432" s="13">
        <v>0</v>
      </c>
      <c r="H5432" s="13">
        <v>0</v>
      </c>
      <c r="I5432" s="13"/>
      <c r="J5432" s="13"/>
      <c r="K5432" s="13"/>
      <c r="L5432" s="15">
        <v>0</v>
      </c>
    </row>
    <row r="5433" spans="1:12">
      <c r="A5433" s="12"/>
      <c r="E5433" s="14"/>
      <c r="F5433" s="14"/>
      <c r="G5433" s="13">
        <v>0</v>
      </c>
      <c r="H5433" s="13">
        <v>0</v>
      </c>
      <c r="I5433" s="13"/>
      <c r="J5433" s="13"/>
      <c r="K5433" s="13"/>
      <c r="L5433" s="15">
        <v>0</v>
      </c>
    </row>
    <row r="5434" spans="1:12">
      <c r="A5434" s="12"/>
      <c r="E5434" s="14"/>
      <c r="F5434" s="14"/>
      <c r="G5434" s="13">
        <v>0</v>
      </c>
      <c r="H5434" s="13">
        <v>0</v>
      </c>
      <c r="I5434" s="13"/>
      <c r="J5434" s="13"/>
      <c r="K5434" s="13"/>
      <c r="L5434" s="15">
        <v>0</v>
      </c>
    </row>
    <row r="5435" spans="1:12">
      <c r="A5435" s="12"/>
      <c r="E5435" s="14"/>
      <c r="F5435" s="14"/>
      <c r="G5435" s="13">
        <v>0</v>
      </c>
      <c r="H5435" s="13">
        <v>0</v>
      </c>
      <c r="I5435" s="13"/>
      <c r="J5435" s="13"/>
      <c r="K5435" s="13"/>
      <c r="L5435" s="15">
        <v>0</v>
      </c>
    </row>
    <row r="5436" spans="1:12">
      <c r="A5436" s="12"/>
      <c r="E5436" s="14"/>
      <c r="F5436" s="14"/>
      <c r="G5436" s="13">
        <v>0</v>
      </c>
      <c r="H5436" s="13">
        <v>0</v>
      </c>
      <c r="I5436" s="13"/>
      <c r="J5436" s="13"/>
      <c r="K5436" s="13"/>
      <c r="L5436" s="15">
        <v>0</v>
      </c>
    </row>
    <row r="5437" spans="1:12">
      <c r="A5437" s="12"/>
      <c r="E5437" s="14"/>
      <c r="F5437" s="14"/>
      <c r="G5437" s="13">
        <v>0</v>
      </c>
      <c r="H5437" s="13">
        <v>0</v>
      </c>
      <c r="I5437" s="13"/>
      <c r="J5437" s="13"/>
      <c r="K5437" s="13"/>
      <c r="L5437" s="15">
        <v>0</v>
      </c>
    </row>
    <row r="5438" spans="1:12">
      <c r="A5438" s="12"/>
      <c r="E5438" s="14"/>
      <c r="F5438" s="14"/>
      <c r="G5438" s="13">
        <v>0</v>
      </c>
      <c r="H5438" s="13">
        <v>0</v>
      </c>
      <c r="I5438" s="13"/>
      <c r="J5438" s="13"/>
      <c r="K5438" s="13"/>
      <c r="L5438" s="15">
        <v>0</v>
      </c>
    </row>
    <row r="5439" spans="1:12">
      <c r="A5439" s="12"/>
      <c r="E5439" s="14"/>
      <c r="F5439" s="14"/>
      <c r="G5439" s="13">
        <v>0</v>
      </c>
      <c r="H5439" s="13">
        <v>0</v>
      </c>
      <c r="I5439" s="13"/>
      <c r="J5439" s="13"/>
      <c r="K5439" s="13"/>
      <c r="L5439" s="15">
        <v>0</v>
      </c>
    </row>
    <row r="5440" spans="1:12">
      <c r="A5440" s="12"/>
      <c r="E5440" s="14"/>
      <c r="F5440" s="14"/>
      <c r="G5440" s="13">
        <v>0</v>
      </c>
      <c r="H5440" s="13">
        <v>0</v>
      </c>
      <c r="I5440" s="13"/>
      <c r="J5440" s="13"/>
      <c r="K5440" s="13"/>
      <c r="L5440" s="15">
        <v>0</v>
      </c>
    </row>
    <row r="5441" spans="1:12">
      <c r="A5441" s="12"/>
      <c r="E5441" s="14"/>
      <c r="F5441" s="14"/>
      <c r="G5441" s="13">
        <v>0</v>
      </c>
      <c r="H5441" s="13">
        <v>0</v>
      </c>
      <c r="I5441" s="13"/>
      <c r="J5441" s="13"/>
      <c r="K5441" s="13"/>
      <c r="L5441" s="15">
        <v>0</v>
      </c>
    </row>
    <row r="5442" spans="1:12">
      <c r="A5442" s="12"/>
      <c r="E5442" s="14"/>
      <c r="F5442" s="14"/>
      <c r="G5442" s="13">
        <v>0</v>
      </c>
      <c r="H5442" s="13">
        <v>0</v>
      </c>
      <c r="I5442" s="13"/>
      <c r="J5442" s="13"/>
      <c r="K5442" s="13"/>
      <c r="L5442" s="15">
        <v>0</v>
      </c>
    </row>
    <row r="5443" spans="1:12">
      <c r="A5443" s="12"/>
      <c r="E5443" s="14"/>
      <c r="F5443" s="14"/>
      <c r="G5443" s="13">
        <v>0</v>
      </c>
      <c r="H5443" s="13">
        <v>0</v>
      </c>
      <c r="I5443" s="13"/>
      <c r="J5443" s="13"/>
      <c r="K5443" s="13"/>
      <c r="L5443" s="15">
        <v>0</v>
      </c>
    </row>
    <row r="5444" spans="1:12">
      <c r="A5444" s="12"/>
      <c r="E5444" s="14"/>
      <c r="F5444" s="14"/>
      <c r="G5444" s="13">
        <v>0</v>
      </c>
      <c r="H5444" s="13">
        <v>0</v>
      </c>
      <c r="I5444" s="13"/>
      <c r="J5444" s="13"/>
      <c r="K5444" s="13"/>
      <c r="L5444" s="15">
        <v>0</v>
      </c>
    </row>
    <row r="5445" spans="1:12">
      <c r="A5445" s="12"/>
      <c r="E5445" s="14"/>
      <c r="F5445" s="14"/>
      <c r="G5445" s="13">
        <v>0</v>
      </c>
      <c r="H5445" s="13">
        <v>0</v>
      </c>
      <c r="I5445" s="13"/>
      <c r="J5445" s="13"/>
      <c r="K5445" s="13"/>
      <c r="L5445" s="15">
        <v>0</v>
      </c>
    </row>
    <row r="5446" spans="1:12">
      <c r="A5446" s="12"/>
      <c r="E5446" s="14"/>
      <c r="F5446" s="14"/>
      <c r="G5446" s="13">
        <v>0</v>
      </c>
      <c r="H5446" s="13">
        <v>0</v>
      </c>
      <c r="I5446" s="13"/>
      <c r="J5446" s="13"/>
      <c r="K5446" s="13"/>
      <c r="L5446" s="15">
        <v>0</v>
      </c>
    </row>
    <row r="5447" spans="1:12">
      <c r="A5447" s="12"/>
      <c r="E5447" s="14"/>
      <c r="F5447" s="14"/>
      <c r="G5447" s="13">
        <v>0</v>
      </c>
      <c r="H5447" s="13">
        <v>0</v>
      </c>
      <c r="I5447" s="13"/>
      <c r="J5447" s="13"/>
      <c r="K5447" s="13"/>
      <c r="L5447" s="15">
        <v>0</v>
      </c>
    </row>
    <row r="5448" spans="1:12">
      <c r="A5448" s="12"/>
      <c r="E5448" s="14"/>
      <c r="F5448" s="14"/>
      <c r="G5448" s="13">
        <v>0</v>
      </c>
      <c r="H5448" s="13">
        <v>0</v>
      </c>
      <c r="I5448" s="13"/>
      <c r="J5448" s="13"/>
      <c r="K5448" s="13"/>
      <c r="L5448" s="15">
        <v>0</v>
      </c>
    </row>
    <row r="5449" spans="1:12">
      <c r="A5449" s="12"/>
      <c r="E5449" s="14"/>
      <c r="F5449" s="14"/>
      <c r="G5449" s="13">
        <v>0</v>
      </c>
      <c r="H5449" s="13">
        <v>0</v>
      </c>
      <c r="I5449" s="13"/>
      <c r="J5449" s="13"/>
      <c r="K5449" s="13"/>
      <c r="L5449" s="15">
        <v>0</v>
      </c>
    </row>
    <row r="5450" spans="1:12">
      <c r="A5450" s="12"/>
      <c r="E5450" s="14"/>
      <c r="F5450" s="14"/>
      <c r="G5450" s="13">
        <v>0</v>
      </c>
      <c r="H5450" s="13">
        <v>0</v>
      </c>
      <c r="I5450" s="13"/>
      <c r="J5450" s="13"/>
      <c r="K5450" s="13"/>
      <c r="L5450" s="15">
        <v>0</v>
      </c>
    </row>
    <row r="5451" spans="1:12">
      <c r="A5451" s="12"/>
      <c r="E5451" s="14"/>
      <c r="F5451" s="14"/>
      <c r="G5451" s="13">
        <v>0</v>
      </c>
      <c r="H5451" s="13">
        <v>0</v>
      </c>
      <c r="I5451" s="13"/>
      <c r="J5451" s="13"/>
      <c r="K5451" s="13"/>
      <c r="L5451" s="15">
        <v>0</v>
      </c>
    </row>
    <row r="5452" spans="1:12">
      <c r="A5452" s="12"/>
      <c r="E5452" s="14"/>
      <c r="F5452" s="14"/>
      <c r="G5452" s="13">
        <v>0</v>
      </c>
      <c r="H5452" s="13">
        <v>0</v>
      </c>
      <c r="I5452" s="13"/>
      <c r="J5452" s="13"/>
      <c r="K5452" s="13"/>
      <c r="L5452" s="15">
        <v>0</v>
      </c>
    </row>
    <row r="5453" spans="1:12">
      <c r="A5453" s="12"/>
      <c r="E5453" s="14"/>
      <c r="F5453" s="14"/>
      <c r="G5453" s="13">
        <v>0</v>
      </c>
      <c r="H5453" s="13">
        <v>0</v>
      </c>
      <c r="I5453" s="13"/>
      <c r="J5453" s="13"/>
      <c r="K5453" s="13"/>
      <c r="L5453" s="15">
        <v>0</v>
      </c>
    </row>
    <row r="5454" spans="1:12">
      <c r="A5454" s="12"/>
      <c r="E5454" s="14"/>
      <c r="F5454" s="14"/>
      <c r="G5454" s="13">
        <v>0</v>
      </c>
      <c r="H5454" s="13">
        <v>0</v>
      </c>
      <c r="I5454" s="13"/>
      <c r="J5454" s="13"/>
      <c r="K5454" s="13"/>
      <c r="L5454" s="15">
        <v>0</v>
      </c>
    </row>
    <row r="5455" spans="1:12">
      <c r="A5455" s="12"/>
      <c r="E5455" s="14"/>
      <c r="F5455" s="14"/>
      <c r="G5455" s="13">
        <v>0</v>
      </c>
      <c r="H5455" s="13">
        <v>0</v>
      </c>
      <c r="I5455" s="13"/>
      <c r="J5455" s="13"/>
      <c r="K5455" s="13"/>
      <c r="L5455" s="15">
        <v>0</v>
      </c>
    </row>
    <row r="5456" spans="1:12">
      <c r="A5456" s="12"/>
      <c r="E5456" s="14"/>
      <c r="F5456" s="14"/>
      <c r="G5456" s="13">
        <v>0</v>
      </c>
      <c r="H5456" s="13">
        <v>0</v>
      </c>
      <c r="I5456" s="13"/>
      <c r="J5456" s="13"/>
      <c r="K5456" s="13"/>
      <c r="L5456" s="15">
        <v>0</v>
      </c>
    </row>
    <row r="5457" spans="1:12">
      <c r="A5457" s="12"/>
      <c r="E5457" s="14"/>
      <c r="F5457" s="14"/>
      <c r="G5457" s="13">
        <v>0</v>
      </c>
      <c r="H5457" s="13">
        <v>0</v>
      </c>
      <c r="I5457" s="13"/>
      <c r="J5457" s="13"/>
      <c r="K5457" s="13"/>
      <c r="L5457" s="15">
        <v>0</v>
      </c>
    </row>
    <row r="5458" spans="1:12">
      <c r="A5458" s="12"/>
      <c r="E5458" s="14"/>
      <c r="F5458" s="14"/>
      <c r="G5458" s="13">
        <v>0</v>
      </c>
      <c r="H5458" s="13">
        <v>0</v>
      </c>
      <c r="I5458" s="13"/>
      <c r="J5458" s="13"/>
      <c r="K5458" s="13"/>
      <c r="L5458" s="15">
        <v>0</v>
      </c>
    </row>
    <row r="5459" spans="1:12">
      <c r="A5459" s="12"/>
      <c r="E5459" s="14"/>
      <c r="F5459" s="14"/>
      <c r="G5459" s="13">
        <v>0</v>
      </c>
      <c r="H5459" s="13">
        <v>0</v>
      </c>
      <c r="I5459" s="13"/>
      <c r="J5459" s="13"/>
      <c r="K5459" s="13"/>
      <c r="L5459" s="15">
        <v>0</v>
      </c>
    </row>
    <row r="5460" spans="1:12">
      <c r="A5460" s="12"/>
      <c r="E5460" s="14"/>
      <c r="F5460" s="14"/>
      <c r="G5460" s="13">
        <v>0</v>
      </c>
      <c r="H5460" s="13">
        <v>0</v>
      </c>
      <c r="I5460" s="13"/>
      <c r="J5460" s="13"/>
      <c r="K5460" s="13"/>
      <c r="L5460" s="15">
        <v>0</v>
      </c>
    </row>
    <row r="5461" spans="1:12">
      <c r="A5461" s="12"/>
      <c r="E5461" s="14"/>
      <c r="F5461" s="14"/>
      <c r="G5461" s="13">
        <v>0</v>
      </c>
      <c r="H5461" s="13">
        <v>0</v>
      </c>
      <c r="I5461" s="13"/>
      <c r="J5461" s="13"/>
      <c r="K5461" s="13"/>
      <c r="L5461" s="15">
        <v>0</v>
      </c>
    </row>
    <row r="5462" spans="1:12">
      <c r="A5462" s="12"/>
      <c r="E5462" s="14"/>
      <c r="F5462" s="14"/>
      <c r="G5462" s="13">
        <v>0</v>
      </c>
      <c r="H5462" s="13">
        <v>0</v>
      </c>
      <c r="I5462" s="13"/>
      <c r="J5462" s="13"/>
      <c r="K5462" s="13"/>
      <c r="L5462" s="15">
        <v>0</v>
      </c>
    </row>
    <row r="5463" spans="1:12">
      <c r="A5463" s="12"/>
      <c r="E5463" s="14"/>
      <c r="F5463" s="14"/>
      <c r="G5463" s="13">
        <v>0</v>
      </c>
      <c r="H5463" s="13">
        <v>0</v>
      </c>
      <c r="I5463" s="13"/>
      <c r="J5463" s="13"/>
      <c r="K5463" s="13"/>
      <c r="L5463" s="15">
        <v>0</v>
      </c>
    </row>
    <row r="5464" spans="1:12">
      <c r="A5464" s="12"/>
      <c r="E5464" s="14"/>
      <c r="F5464" s="14"/>
      <c r="G5464" s="13">
        <v>0</v>
      </c>
      <c r="H5464" s="13">
        <v>0</v>
      </c>
      <c r="I5464" s="13"/>
      <c r="J5464" s="13"/>
      <c r="K5464" s="13"/>
      <c r="L5464" s="15">
        <v>0</v>
      </c>
    </row>
    <row r="5465" spans="1:12">
      <c r="A5465" s="12"/>
      <c r="E5465" s="14"/>
      <c r="F5465" s="14"/>
      <c r="G5465" s="13">
        <v>0</v>
      </c>
      <c r="H5465" s="13">
        <v>0</v>
      </c>
      <c r="I5465" s="13"/>
      <c r="J5465" s="13"/>
      <c r="K5465" s="13"/>
      <c r="L5465" s="15">
        <v>0</v>
      </c>
    </row>
    <row r="5466" spans="1:12">
      <c r="A5466" s="12"/>
      <c r="E5466" s="14"/>
      <c r="F5466" s="14"/>
      <c r="G5466" s="13">
        <v>0</v>
      </c>
      <c r="H5466" s="13">
        <v>0</v>
      </c>
      <c r="I5466" s="13"/>
      <c r="J5466" s="13"/>
      <c r="K5466" s="13"/>
      <c r="L5466" s="15">
        <v>0</v>
      </c>
    </row>
    <row r="5467" spans="1:12">
      <c r="A5467" s="12"/>
      <c r="E5467" s="14"/>
      <c r="F5467" s="14"/>
      <c r="G5467" s="13">
        <v>0</v>
      </c>
      <c r="H5467" s="13">
        <v>0</v>
      </c>
      <c r="I5467" s="13"/>
      <c r="J5467" s="13"/>
      <c r="K5467" s="13"/>
      <c r="L5467" s="15">
        <v>0</v>
      </c>
    </row>
    <row r="5468" spans="1:12">
      <c r="A5468" s="12"/>
      <c r="E5468" s="14"/>
      <c r="F5468" s="14"/>
      <c r="G5468" s="13">
        <v>0</v>
      </c>
      <c r="H5468" s="13">
        <v>0</v>
      </c>
      <c r="I5468" s="13"/>
      <c r="J5468" s="13"/>
      <c r="K5468" s="13"/>
      <c r="L5468" s="15">
        <v>0</v>
      </c>
    </row>
    <row r="5469" spans="1:12">
      <c r="A5469" s="12"/>
      <c r="E5469" s="14"/>
      <c r="F5469" s="14"/>
      <c r="G5469" s="13">
        <v>0</v>
      </c>
      <c r="H5469" s="13">
        <v>0</v>
      </c>
      <c r="I5469" s="13"/>
      <c r="J5469" s="13"/>
      <c r="K5469" s="13"/>
      <c r="L5469" s="15">
        <v>0</v>
      </c>
    </row>
    <row r="5470" spans="1:12">
      <c r="A5470" s="12"/>
      <c r="E5470" s="14"/>
      <c r="F5470" s="14"/>
      <c r="G5470" s="13">
        <v>0</v>
      </c>
      <c r="H5470" s="13">
        <v>0</v>
      </c>
      <c r="I5470" s="13"/>
      <c r="J5470" s="13"/>
      <c r="K5470" s="13"/>
      <c r="L5470" s="15">
        <v>0</v>
      </c>
    </row>
    <row r="5471" spans="1:12">
      <c r="A5471" s="12"/>
      <c r="E5471" s="14"/>
      <c r="F5471" s="14"/>
      <c r="G5471" s="13">
        <v>0</v>
      </c>
      <c r="H5471" s="13">
        <v>0</v>
      </c>
      <c r="I5471" s="13"/>
      <c r="J5471" s="13"/>
      <c r="K5471" s="13"/>
      <c r="L5471" s="15">
        <v>0</v>
      </c>
    </row>
    <row r="5472" spans="1:12">
      <c r="A5472" s="12"/>
      <c r="E5472" s="14"/>
      <c r="F5472" s="14"/>
      <c r="G5472" s="13">
        <v>0</v>
      </c>
      <c r="H5472" s="13">
        <v>0</v>
      </c>
      <c r="I5472" s="13"/>
      <c r="J5472" s="13"/>
      <c r="K5472" s="13"/>
      <c r="L5472" s="15">
        <v>0</v>
      </c>
    </row>
    <row r="5473" spans="1:12">
      <c r="A5473" s="12"/>
      <c r="E5473" s="14"/>
      <c r="F5473" s="14"/>
      <c r="G5473" s="13">
        <v>0</v>
      </c>
      <c r="H5473" s="13">
        <v>0</v>
      </c>
      <c r="I5473" s="13"/>
      <c r="J5473" s="13"/>
      <c r="K5473" s="13"/>
      <c r="L5473" s="15">
        <v>0</v>
      </c>
    </row>
    <row r="5474" spans="1:12">
      <c r="A5474" s="12"/>
      <c r="E5474" s="14"/>
      <c r="F5474" s="14"/>
      <c r="G5474" s="13">
        <v>0</v>
      </c>
      <c r="H5474" s="13">
        <v>0</v>
      </c>
      <c r="I5474" s="13"/>
      <c r="J5474" s="13"/>
      <c r="K5474" s="13"/>
      <c r="L5474" s="15">
        <v>0</v>
      </c>
    </row>
    <row r="5475" spans="1:12">
      <c r="A5475" s="12"/>
      <c r="E5475" s="14"/>
      <c r="F5475" s="14"/>
      <c r="G5475" s="13">
        <v>0</v>
      </c>
      <c r="H5475" s="13">
        <v>0</v>
      </c>
      <c r="I5475" s="13"/>
      <c r="J5475" s="13"/>
      <c r="K5475" s="13"/>
      <c r="L5475" s="15">
        <v>0</v>
      </c>
    </row>
    <row r="5476" spans="1:12">
      <c r="A5476" s="12"/>
      <c r="E5476" s="14"/>
      <c r="F5476" s="14"/>
      <c r="G5476" s="13">
        <v>0</v>
      </c>
      <c r="H5476" s="13">
        <v>0</v>
      </c>
      <c r="I5476" s="13"/>
      <c r="J5476" s="13"/>
      <c r="K5476" s="13"/>
      <c r="L5476" s="15">
        <v>0</v>
      </c>
    </row>
    <row r="5477" spans="1:12">
      <c r="A5477" s="12"/>
      <c r="E5477" s="14"/>
      <c r="F5477" s="14"/>
      <c r="G5477" s="13">
        <v>0</v>
      </c>
      <c r="H5477" s="13">
        <v>0</v>
      </c>
      <c r="I5477" s="13"/>
      <c r="J5477" s="13"/>
      <c r="K5477" s="13"/>
      <c r="L5477" s="15">
        <v>0</v>
      </c>
    </row>
    <row r="5478" spans="1:12">
      <c r="A5478" s="12"/>
      <c r="E5478" s="14"/>
      <c r="F5478" s="14"/>
      <c r="G5478" s="13">
        <v>0</v>
      </c>
      <c r="H5478" s="13">
        <v>0</v>
      </c>
      <c r="I5478" s="13"/>
      <c r="J5478" s="13"/>
      <c r="K5478" s="13"/>
      <c r="L5478" s="15">
        <v>0</v>
      </c>
    </row>
    <row r="5479" spans="1:12">
      <c r="A5479" s="12"/>
      <c r="E5479" s="14"/>
      <c r="F5479" s="14"/>
      <c r="G5479" s="13">
        <v>0</v>
      </c>
      <c r="H5479" s="13">
        <v>0</v>
      </c>
      <c r="I5479" s="13"/>
      <c r="J5479" s="13"/>
      <c r="K5479" s="13"/>
      <c r="L5479" s="15">
        <v>0</v>
      </c>
    </row>
    <row r="5480" spans="1:12">
      <c r="A5480" s="12"/>
      <c r="E5480" s="14"/>
      <c r="F5480" s="14"/>
      <c r="G5480" s="13">
        <v>0</v>
      </c>
      <c r="H5480" s="13">
        <v>0</v>
      </c>
      <c r="I5480" s="13"/>
      <c r="J5480" s="13"/>
      <c r="K5480" s="13"/>
      <c r="L5480" s="15">
        <v>0</v>
      </c>
    </row>
    <row r="5481" spans="1:12">
      <c r="A5481" s="12"/>
      <c r="E5481" s="14"/>
      <c r="F5481" s="14"/>
      <c r="G5481" s="13">
        <v>0</v>
      </c>
      <c r="H5481" s="13">
        <v>0</v>
      </c>
      <c r="I5481" s="13"/>
      <c r="J5481" s="13"/>
      <c r="K5481" s="13"/>
      <c r="L5481" s="15">
        <v>0</v>
      </c>
    </row>
    <row r="5482" spans="1:12">
      <c r="A5482" s="12"/>
      <c r="E5482" s="14"/>
      <c r="F5482" s="14"/>
      <c r="G5482" s="13">
        <v>0</v>
      </c>
      <c r="H5482" s="13">
        <v>0</v>
      </c>
      <c r="I5482" s="13"/>
      <c r="J5482" s="13"/>
      <c r="K5482" s="13"/>
      <c r="L5482" s="15">
        <v>0</v>
      </c>
    </row>
    <row r="5483" spans="1:12">
      <c r="A5483" s="12"/>
      <c r="E5483" s="14"/>
      <c r="F5483" s="14"/>
      <c r="G5483" s="13">
        <v>0</v>
      </c>
      <c r="H5483" s="13">
        <v>0</v>
      </c>
      <c r="I5483" s="13"/>
      <c r="J5483" s="13"/>
      <c r="K5483" s="13"/>
      <c r="L5483" s="15">
        <v>0</v>
      </c>
    </row>
    <row r="5484" spans="1:12">
      <c r="A5484" s="12"/>
      <c r="E5484" s="14"/>
      <c r="F5484" s="14"/>
      <c r="G5484" s="13">
        <v>0</v>
      </c>
      <c r="H5484" s="13">
        <v>0</v>
      </c>
      <c r="I5484" s="13"/>
      <c r="J5484" s="13"/>
      <c r="K5484" s="13"/>
      <c r="L5484" s="15">
        <v>0</v>
      </c>
    </row>
    <row r="5485" spans="1:12">
      <c r="A5485" s="12"/>
      <c r="E5485" s="14"/>
      <c r="F5485" s="14"/>
      <c r="G5485" s="13">
        <v>0</v>
      </c>
      <c r="H5485" s="13">
        <v>0</v>
      </c>
      <c r="I5485" s="13"/>
      <c r="J5485" s="13"/>
      <c r="K5485" s="13"/>
      <c r="L5485" s="15">
        <v>0</v>
      </c>
    </row>
    <row r="5486" spans="1:12">
      <c r="A5486" s="12"/>
      <c r="E5486" s="14"/>
      <c r="F5486" s="14"/>
      <c r="G5486" s="13">
        <v>0</v>
      </c>
      <c r="H5486" s="13">
        <v>0</v>
      </c>
      <c r="I5486" s="13"/>
      <c r="J5486" s="13"/>
      <c r="K5486" s="13"/>
      <c r="L5486" s="15">
        <v>0</v>
      </c>
    </row>
    <row r="5487" spans="1:12">
      <c r="A5487" s="12"/>
      <c r="E5487" s="14"/>
      <c r="F5487" s="14"/>
      <c r="G5487" s="13">
        <v>0</v>
      </c>
      <c r="H5487" s="13">
        <v>0</v>
      </c>
      <c r="I5487" s="13"/>
      <c r="J5487" s="13"/>
      <c r="K5487" s="13"/>
      <c r="L5487" s="15">
        <v>0</v>
      </c>
    </row>
    <row r="5488" spans="1:12">
      <c r="A5488" s="12"/>
      <c r="E5488" s="14"/>
      <c r="F5488" s="14"/>
      <c r="G5488" s="13">
        <v>0</v>
      </c>
      <c r="H5488" s="13">
        <v>0</v>
      </c>
      <c r="I5488" s="13"/>
      <c r="J5488" s="13"/>
      <c r="K5488" s="13"/>
      <c r="L5488" s="15">
        <v>0</v>
      </c>
    </row>
    <row r="5489" spans="1:12">
      <c r="A5489" s="12"/>
      <c r="E5489" s="14"/>
      <c r="F5489" s="14"/>
      <c r="G5489" s="13">
        <v>0</v>
      </c>
      <c r="H5489" s="13">
        <v>0</v>
      </c>
      <c r="I5489" s="13"/>
      <c r="J5489" s="13"/>
      <c r="K5489" s="13"/>
      <c r="L5489" s="15">
        <v>0</v>
      </c>
    </row>
    <row r="5490" spans="1:12">
      <c r="A5490" s="12"/>
      <c r="E5490" s="14"/>
      <c r="F5490" s="14"/>
      <c r="G5490" s="13">
        <v>0</v>
      </c>
      <c r="H5490" s="13">
        <v>0</v>
      </c>
      <c r="I5490" s="13"/>
      <c r="J5490" s="13"/>
      <c r="K5490" s="13"/>
      <c r="L5490" s="15">
        <v>0</v>
      </c>
    </row>
    <row r="5491" spans="1:12">
      <c r="A5491" s="12"/>
      <c r="E5491" s="14"/>
      <c r="F5491" s="14"/>
      <c r="G5491" s="13">
        <v>0</v>
      </c>
      <c r="H5491" s="13">
        <v>0</v>
      </c>
      <c r="I5491" s="13"/>
      <c r="J5491" s="13"/>
      <c r="K5491" s="13"/>
      <c r="L5491" s="15">
        <v>0</v>
      </c>
    </row>
    <row r="5492" spans="1:12">
      <c r="A5492" s="12"/>
      <c r="E5492" s="14"/>
      <c r="F5492" s="14"/>
      <c r="G5492" s="13">
        <v>0</v>
      </c>
      <c r="H5492" s="13">
        <v>0</v>
      </c>
      <c r="I5492" s="13"/>
      <c r="J5492" s="13"/>
      <c r="K5492" s="13"/>
      <c r="L5492" s="15">
        <v>0</v>
      </c>
    </row>
    <row r="5493" spans="1:12">
      <c r="A5493" s="12"/>
      <c r="E5493" s="14"/>
      <c r="F5493" s="14"/>
      <c r="G5493" s="13">
        <v>0</v>
      </c>
      <c r="H5493" s="13">
        <v>0</v>
      </c>
      <c r="I5493" s="13"/>
      <c r="J5493" s="13"/>
      <c r="K5493" s="13"/>
      <c r="L5493" s="15">
        <v>0</v>
      </c>
    </row>
    <row r="5494" spans="1:12">
      <c r="A5494" s="12"/>
      <c r="E5494" s="14"/>
      <c r="F5494" s="14"/>
      <c r="G5494" s="13">
        <v>0</v>
      </c>
      <c r="H5494" s="13">
        <v>0</v>
      </c>
      <c r="I5494" s="13"/>
      <c r="J5494" s="13"/>
      <c r="K5494" s="13"/>
      <c r="L5494" s="15">
        <v>0</v>
      </c>
    </row>
    <row r="5495" spans="1:12">
      <c r="A5495" s="12"/>
      <c r="E5495" s="14"/>
      <c r="F5495" s="14"/>
      <c r="G5495" s="13">
        <v>0</v>
      </c>
      <c r="H5495" s="13">
        <v>0</v>
      </c>
      <c r="I5495" s="13"/>
      <c r="J5495" s="13"/>
      <c r="K5495" s="13"/>
      <c r="L5495" s="15">
        <v>0</v>
      </c>
    </row>
    <row r="5496" spans="1:12">
      <c r="A5496" s="12"/>
      <c r="E5496" s="14"/>
      <c r="F5496" s="14"/>
      <c r="G5496" s="13">
        <v>0</v>
      </c>
      <c r="H5496" s="13">
        <v>0</v>
      </c>
      <c r="I5496" s="13"/>
      <c r="J5496" s="13"/>
      <c r="K5496" s="13"/>
      <c r="L5496" s="15">
        <v>0</v>
      </c>
    </row>
    <row r="5497" spans="1:12">
      <c r="A5497" s="12"/>
      <c r="E5497" s="14"/>
      <c r="F5497" s="14"/>
      <c r="G5497" s="13">
        <v>0</v>
      </c>
      <c r="H5497" s="13">
        <v>0</v>
      </c>
      <c r="I5497" s="13"/>
      <c r="J5497" s="13"/>
      <c r="K5497" s="13"/>
      <c r="L5497" s="15">
        <v>0</v>
      </c>
    </row>
    <row r="5498" spans="1:12">
      <c r="A5498" s="12"/>
      <c r="E5498" s="14"/>
      <c r="F5498" s="14"/>
      <c r="G5498" s="13">
        <v>0</v>
      </c>
      <c r="H5498" s="13">
        <v>0</v>
      </c>
      <c r="I5498" s="13"/>
      <c r="J5498" s="13"/>
      <c r="K5498" s="13"/>
      <c r="L5498" s="15">
        <v>0</v>
      </c>
    </row>
    <row r="5499" spans="1:12">
      <c r="A5499" s="12"/>
      <c r="E5499" s="14"/>
      <c r="F5499" s="14"/>
      <c r="G5499" s="13">
        <v>0</v>
      </c>
      <c r="H5499" s="13">
        <v>0</v>
      </c>
      <c r="I5499" s="13"/>
      <c r="J5499" s="13"/>
      <c r="K5499" s="13"/>
      <c r="L5499" s="15">
        <v>0</v>
      </c>
    </row>
    <row r="5500" spans="1:12">
      <c r="A5500" s="12"/>
      <c r="E5500" s="14"/>
      <c r="F5500" s="14"/>
      <c r="G5500" s="13">
        <v>0</v>
      </c>
      <c r="H5500" s="13">
        <v>0</v>
      </c>
      <c r="I5500" s="13"/>
      <c r="J5500" s="13"/>
      <c r="K5500" s="13"/>
      <c r="L5500" s="15">
        <v>0</v>
      </c>
    </row>
    <row r="5501" spans="1:12">
      <c r="A5501" s="12"/>
      <c r="E5501" s="14"/>
      <c r="F5501" s="14"/>
      <c r="G5501" s="13">
        <v>0</v>
      </c>
      <c r="H5501" s="13">
        <v>0</v>
      </c>
      <c r="I5501" s="13"/>
      <c r="J5501" s="13"/>
      <c r="K5501" s="13"/>
      <c r="L5501" s="15">
        <v>0</v>
      </c>
    </row>
    <row r="5502" spans="1:12">
      <c r="A5502" s="12"/>
      <c r="E5502" s="14"/>
      <c r="F5502" s="14"/>
      <c r="G5502" s="13">
        <v>0</v>
      </c>
      <c r="H5502" s="13">
        <v>0</v>
      </c>
      <c r="I5502" s="13"/>
      <c r="J5502" s="13"/>
      <c r="K5502" s="13"/>
      <c r="L5502" s="15">
        <v>0</v>
      </c>
    </row>
    <row r="5503" spans="1:12">
      <c r="A5503" s="12"/>
      <c r="E5503" s="14"/>
      <c r="F5503" s="14"/>
      <c r="G5503" s="13">
        <v>0</v>
      </c>
      <c r="H5503" s="13">
        <v>0</v>
      </c>
      <c r="I5503" s="13"/>
      <c r="J5503" s="13"/>
      <c r="K5503" s="13"/>
      <c r="L5503" s="15">
        <v>0</v>
      </c>
    </row>
    <row r="5504" spans="1:12">
      <c r="A5504" s="12"/>
      <c r="E5504" s="14"/>
      <c r="F5504" s="14"/>
      <c r="G5504" s="13">
        <v>0</v>
      </c>
      <c r="H5504" s="13">
        <v>0</v>
      </c>
      <c r="I5504" s="13"/>
      <c r="J5504" s="13"/>
      <c r="K5504" s="13"/>
      <c r="L5504" s="15">
        <v>0</v>
      </c>
    </row>
    <row r="5505" spans="1:12">
      <c r="A5505" s="12"/>
      <c r="E5505" s="14"/>
      <c r="F5505" s="14"/>
      <c r="G5505" s="13">
        <v>0</v>
      </c>
      <c r="H5505" s="13">
        <v>0</v>
      </c>
      <c r="I5505" s="13"/>
      <c r="J5505" s="13"/>
      <c r="K5505" s="13"/>
      <c r="L5505" s="15">
        <v>0</v>
      </c>
    </row>
    <row r="5506" spans="1:12">
      <c r="A5506" s="12"/>
      <c r="E5506" s="14"/>
      <c r="F5506" s="14"/>
      <c r="G5506" s="13">
        <v>0</v>
      </c>
      <c r="H5506" s="13">
        <v>0</v>
      </c>
      <c r="I5506" s="13"/>
      <c r="J5506" s="13"/>
      <c r="K5506" s="13"/>
      <c r="L5506" s="15">
        <v>0</v>
      </c>
    </row>
    <row r="5507" spans="1:12">
      <c r="A5507" s="12"/>
      <c r="E5507" s="14"/>
      <c r="F5507" s="14"/>
      <c r="G5507" s="13">
        <v>0</v>
      </c>
      <c r="H5507" s="13">
        <v>0</v>
      </c>
      <c r="I5507" s="13"/>
      <c r="J5507" s="13"/>
      <c r="K5507" s="13"/>
      <c r="L5507" s="15">
        <v>0</v>
      </c>
    </row>
    <row r="5508" spans="1:12">
      <c r="A5508" s="12"/>
      <c r="E5508" s="14"/>
      <c r="F5508" s="14"/>
      <c r="G5508" s="13">
        <v>0</v>
      </c>
      <c r="H5508" s="13">
        <v>0</v>
      </c>
      <c r="I5508" s="13"/>
      <c r="J5508" s="13"/>
      <c r="K5508" s="13"/>
      <c r="L5508" s="15">
        <v>0</v>
      </c>
    </row>
    <row r="5509" spans="1:12">
      <c r="A5509" s="12"/>
      <c r="E5509" s="14"/>
      <c r="F5509" s="14"/>
      <c r="G5509" s="13">
        <v>0</v>
      </c>
      <c r="H5509" s="13">
        <v>0</v>
      </c>
      <c r="I5509" s="13"/>
      <c r="J5509" s="13"/>
      <c r="K5509" s="13"/>
      <c r="L5509" s="15">
        <v>0</v>
      </c>
    </row>
    <row r="5510" spans="1:12">
      <c r="A5510" s="12"/>
      <c r="E5510" s="14"/>
      <c r="F5510" s="14"/>
      <c r="G5510" s="13">
        <v>0</v>
      </c>
      <c r="H5510" s="13">
        <v>0</v>
      </c>
      <c r="I5510" s="13"/>
      <c r="J5510" s="13"/>
      <c r="K5510" s="13"/>
      <c r="L5510" s="15">
        <v>0</v>
      </c>
    </row>
    <row r="5511" spans="1:12">
      <c r="A5511" s="12"/>
      <c r="E5511" s="14"/>
      <c r="F5511" s="14"/>
      <c r="G5511" s="13">
        <v>0</v>
      </c>
      <c r="H5511" s="13">
        <v>0</v>
      </c>
      <c r="I5511" s="13"/>
      <c r="J5511" s="13"/>
      <c r="K5511" s="13"/>
      <c r="L5511" s="15">
        <v>0</v>
      </c>
    </row>
    <row r="5512" spans="1:12">
      <c r="A5512" s="12"/>
      <c r="E5512" s="14"/>
      <c r="F5512" s="14"/>
      <c r="G5512" s="13">
        <v>0</v>
      </c>
      <c r="H5512" s="13">
        <v>0</v>
      </c>
      <c r="I5512" s="13"/>
      <c r="J5512" s="13"/>
      <c r="K5512" s="13"/>
      <c r="L5512" s="15">
        <v>0</v>
      </c>
    </row>
    <row r="5513" spans="1:12">
      <c r="A5513" s="12"/>
      <c r="E5513" s="14"/>
      <c r="F5513" s="14"/>
      <c r="G5513" s="13">
        <v>0</v>
      </c>
      <c r="H5513" s="13">
        <v>0</v>
      </c>
      <c r="I5513" s="13"/>
      <c r="J5513" s="13"/>
      <c r="K5513" s="13"/>
      <c r="L5513" s="15">
        <v>0</v>
      </c>
    </row>
    <row r="5514" spans="1:12">
      <c r="A5514" s="12"/>
      <c r="E5514" s="14"/>
      <c r="F5514" s="14"/>
      <c r="G5514" s="13">
        <v>0</v>
      </c>
      <c r="H5514" s="13">
        <v>0</v>
      </c>
      <c r="I5514" s="13"/>
      <c r="J5514" s="13"/>
      <c r="K5514" s="13"/>
      <c r="L5514" s="15">
        <v>0</v>
      </c>
    </row>
    <row r="5515" spans="1:12">
      <c r="A5515" s="12"/>
      <c r="E5515" s="14"/>
      <c r="F5515" s="14"/>
      <c r="G5515" s="13">
        <v>0</v>
      </c>
      <c r="H5515" s="13">
        <v>0</v>
      </c>
      <c r="I5515" s="13"/>
      <c r="J5515" s="13"/>
      <c r="K5515" s="13"/>
      <c r="L5515" s="15">
        <v>0</v>
      </c>
    </row>
    <row r="5516" spans="1:12">
      <c r="A5516" s="12"/>
      <c r="E5516" s="14"/>
      <c r="F5516" s="14"/>
      <c r="G5516" s="13">
        <v>0</v>
      </c>
      <c r="H5516" s="13">
        <v>0</v>
      </c>
      <c r="I5516" s="13"/>
      <c r="J5516" s="13"/>
      <c r="K5516" s="13"/>
      <c r="L5516" s="15">
        <v>0</v>
      </c>
    </row>
    <row r="5517" spans="1:12">
      <c r="A5517" s="12"/>
      <c r="E5517" s="14"/>
      <c r="F5517" s="14"/>
      <c r="G5517" s="13">
        <v>0</v>
      </c>
      <c r="H5517" s="13">
        <v>0</v>
      </c>
      <c r="I5517" s="13"/>
      <c r="J5517" s="13"/>
      <c r="K5517" s="13"/>
      <c r="L5517" s="15">
        <v>0</v>
      </c>
    </row>
    <row r="5518" spans="1:12">
      <c r="A5518" s="12"/>
      <c r="E5518" s="14"/>
      <c r="F5518" s="14"/>
      <c r="G5518" s="13">
        <v>0</v>
      </c>
      <c r="H5518" s="13">
        <v>0</v>
      </c>
      <c r="I5518" s="13"/>
      <c r="J5518" s="13"/>
      <c r="K5518" s="13"/>
      <c r="L5518" s="15">
        <v>0</v>
      </c>
    </row>
    <row r="5519" spans="1:12">
      <c r="A5519" s="12"/>
      <c r="E5519" s="14"/>
      <c r="F5519" s="14"/>
      <c r="G5519" s="13">
        <v>0</v>
      </c>
      <c r="H5519" s="13">
        <v>0</v>
      </c>
      <c r="I5519" s="13"/>
      <c r="J5519" s="13"/>
      <c r="K5519" s="13"/>
      <c r="L5519" s="15">
        <v>0</v>
      </c>
    </row>
    <row r="5520" spans="1:12">
      <c r="A5520" s="12"/>
      <c r="E5520" s="14"/>
      <c r="F5520" s="14"/>
      <c r="G5520" s="13">
        <v>0</v>
      </c>
      <c r="H5520" s="13">
        <v>0</v>
      </c>
      <c r="I5520" s="13"/>
      <c r="J5520" s="13"/>
      <c r="K5520" s="13"/>
      <c r="L5520" s="15">
        <v>0</v>
      </c>
    </row>
    <row r="5521" spans="1:12">
      <c r="A5521" s="12"/>
      <c r="E5521" s="14"/>
      <c r="F5521" s="14"/>
      <c r="G5521" s="13">
        <v>0</v>
      </c>
      <c r="H5521" s="13">
        <v>0</v>
      </c>
      <c r="I5521" s="13"/>
      <c r="J5521" s="13"/>
      <c r="K5521" s="13"/>
      <c r="L5521" s="15">
        <v>0</v>
      </c>
    </row>
    <row r="5522" spans="1:12">
      <c r="A5522" s="12"/>
      <c r="E5522" s="14"/>
      <c r="F5522" s="14"/>
      <c r="G5522" s="13">
        <v>0</v>
      </c>
      <c r="H5522" s="13">
        <v>0</v>
      </c>
      <c r="I5522" s="13"/>
      <c r="J5522" s="13"/>
      <c r="K5522" s="13"/>
      <c r="L5522" s="15">
        <v>0</v>
      </c>
    </row>
    <row r="5523" spans="1:12">
      <c r="A5523" s="12"/>
      <c r="E5523" s="14"/>
      <c r="F5523" s="14"/>
      <c r="G5523" s="13">
        <v>0</v>
      </c>
      <c r="H5523" s="13">
        <v>0</v>
      </c>
      <c r="I5523" s="13"/>
      <c r="J5523" s="13"/>
      <c r="K5523" s="13"/>
      <c r="L5523" s="15">
        <v>0</v>
      </c>
    </row>
    <row r="5524" spans="1:12">
      <c r="A5524" s="12"/>
      <c r="E5524" s="14"/>
      <c r="F5524" s="14"/>
      <c r="G5524" s="13">
        <v>0</v>
      </c>
      <c r="H5524" s="13">
        <v>0</v>
      </c>
      <c r="I5524" s="13"/>
      <c r="J5524" s="13"/>
      <c r="K5524" s="13"/>
      <c r="L5524" s="15">
        <v>0</v>
      </c>
    </row>
    <row r="5525" spans="1:12">
      <c r="A5525" s="12"/>
      <c r="E5525" s="14"/>
      <c r="F5525" s="14"/>
      <c r="G5525" s="13">
        <v>0</v>
      </c>
      <c r="H5525" s="13">
        <v>0</v>
      </c>
      <c r="I5525" s="13"/>
      <c r="J5525" s="13"/>
      <c r="K5525" s="13"/>
      <c r="L5525" s="15">
        <v>0</v>
      </c>
    </row>
    <row r="5526" spans="1:12">
      <c r="A5526" s="12"/>
      <c r="E5526" s="14"/>
      <c r="F5526" s="14"/>
      <c r="G5526" s="13">
        <v>0</v>
      </c>
      <c r="H5526" s="13">
        <v>0</v>
      </c>
      <c r="I5526" s="13"/>
      <c r="J5526" s="13"/>
      <c r="K5526" s="13"/>
      <c r="L5526" s="15">
        <v>0</v>
      </c>
    </row>
    <row r="5527" spans="1:12">
      <c r="A5527" s="12"/>
      <c r="E5527" s="14"/>
      <c r="F5527" s="14"/>
      <c r="G5527" s="13">
        <v>0</v>
      </c>
      <c r="H5527" s="13">
        <v>0</v>
      </c>
      <c r="I5527" s="13"/>
      <c r="J5527" s="13"/>
      <c r="K5527" s="13"/>
      <c r="L5527" s="15">
        <v>0</v>
      </c>
    </row>
    <row r="5528" spans="1:12">
      <c r="A5528" s="12"/>
      <c r="E5528" s="14"/>
      <c r="F5528" s="14"/>
      <c r="G5528" s="13">
        <v>0</v>
      </c>
      <c r="H5528" s="13">
        <v>0</v>
      </c>
      <c r="I5528" s="13"/>
      <c r="J5528" s="13"/>
      <c r="K5528" s="13"/>
      <c r="L5528" s="15">
        <v>0</v>
      </c>
    </row>
    <row r="5529" spans="1:12">
      <c r="A5529" s="12"/>
      <c r="E5529" s="14"/>
      <c r="F5529" s="14"/>
      <c r="G5529" s="13">
        <v>0</v>
      </c>
      <c r="H5529" s="13">
        <v>0</v>
      </c>
      <c r="I5529" s="13"/>
      <c r="J5529" s="13"/>
      <c r="K5529" s="13"/>
      <c r="L5529" s="15">
        <v>0</v>
      </c>
    </row>
    <row r="5530" spans="1:12">
      <c r="A5530" s="12"/>
      <c r="E5530" s="14"/>
      <c r="F5530" s="14"/>
      <c r="G5530" s="13">
        <v>0</v>
      </c>
      <c r="H5530" s="13">
        <v>0</v>
      </c>
      <c r="I5530" s="13"/>
      <c r="J5530" s="13"/>
      <c r="K5530" s="13"/>
      <c r="L5530" s="15">
        <v>0</v>
      </c>
    </row>
    <row r="5531" spans="1:12">
      <c r="A5531" s="12"/>
      <c r="E5531" s="14"/>
      <c r="F5531" s="14"/>
      <c r="G5531" s="13">
        <v>0</v>
      </c>
      <c r="H5531" s="13">
        <v>0</v>
      </c>
      <c r="I5531" s="13"/>
      <c r="J5531" s="13"/>
      <c r="K5531" s="13"/>
      <c r="L5531" s="15">
        <v>0</v>
      </c>
    </row>
    <row r="5532" spans="1:12">
      <c r="A5532" s="12"/>
      <c r="E5532" s="14"/>
      <c r="F5532" s="14"/>
      <c r="G5532" s="13">
        <v>0</v>
      </c>
      <c r="H5532" s="13">
        <v>0</v>
      </c>
      <c r="I5532" s="13"/>
      <c r="J5532" s="13"/>
      <c r="K5532" s="13"/>
      <c r="L5532" s="15">
        <v>0</v>
      </c>
    </row>
    <row r="5533" spans="1:12">
      <c r="A5533" s="12"/>
      <c r="E5533" s="14"/>
      <c r="F5533" s="14"/>
      <c r="G5533" s="13">
        <v>0</v>
      </c>
      <c r="H5533" s="13">
        <v>0</v>
      </c>
      <c r="I5533" s="13"/>
      <c r="J5533" s="13"/>
      <c r="K5533" s="13"/>
      <c r="L5533" s="15">
        <v>0</v>
      </c>
    </row>
    <row r="5534" spans="1:12">
      <c r="A5534" s="12"/>
      <c r="E5534" s="14"/>
      <c r="F5534" s="14"/>
      <c r="G5534" s="13">
        <v>0</v>
      </c>
      <c r="H5534" s="13">
        <v>0</v>
      </c>
      <c r="I5534" s="13"/>
      <c r="J5534" s="13"/>
      <c r="K5534" s="13"/>
      <c r="L5534" s="15">
        <v>0</v>
      </c>
    </row>
    <row r="5535" spans="1:12">
      <c r="A5535" s="12"/>
      <c r="E5535" s="14"/>
      <c r="F5535" s="14"/>
      <c r="G5535" s="13">
        <v>0</v>
      </c>
      <c r="H5535" s="13">
        <v>0</v>
      </c>
      <c r="I5535" s="13"/>
      <c r="J5535" s="13"/>
      <c r="K5535" s="13"/>
      <c r="L5535" s="15">
        <v>0</v>
      </c>
    </row>
    <row r="5536" spans="1:12">
      <c r="A5536" s="12"/>
      <c r="E5536" s="14"/>
      <c r="F5536" s="14"/>
      <c r="G5536" s="13">
        <v>0</v>
      </c>
      <c r="H5536" s="13">
        <v>0</v>
      </c>
      <c r="I5536" s="13"/>
      <c r="J5536" s="13"/>
      <c r="K5536" s="13"/>
      <c r="L5536" s="15">
        <v>0</v>
      </c>
    </row>
    <row r="5537" spans="1:12">
      <c r="A5537" s="12"/>
      <c r="E5537" s="14"/>
      <c r="F5537" s="14"/>
      <c r="G5537" s="13">
        <v>0</v>
      </c>
      <c r="H5537" s="13">
        <v>0</v>
      </c>
      <c r="I5537" s="13"/>
      <c r="J5537" s="13"/>
      <c r="K5537" s="13"/>
      <c r="L5537" s="15">
        <v>0</v>
      </c>
    </row>
    <row r="5538" spans="1:12">
      <c r="A5538" s="12"/>
      <c r="E5538" s="14"/>
      <c r="F5538" s="14"/>
      <c r="G5538" s="13">
        <v>0</v>
      </c>
      <c r="H5538" s="13">
        <v>0</v>
      </c>
      <c r="I5538" s="13"/>
      <c r="J5538" s="13"/>
      <c r="K5538" s="13"/>
      <c r="L5538" s="15">
        <v>0</v>
      </c>
    </row>
    <row r="5539" spans="1:12">
      <c r="A5539" s="12"/>
      <c r="E5539" s="14"/>
      <c r="F5539" s="14"/>
      <c r="G5539" s="13">
        <v>0</v>
      </c>
      <c r="H5539" s="13">
        <v>0</v>
      </c>
      <c r="I5539" s="13"/>
      <c r="J5539" s="13"/>
      <c r="K5539" s="13"/>
      <c r="L5539" s="15">
        <v>0</v>
      </c>
    </row>
    <row r="5540" spans="1:12">
      <c r="A5540" s="12"/>
      <c r="E5540" s="14"/>
      <c r="F5540" s="14"/>
      <c r="G5540" s="13">
        <v>0</v>
      </c>
      <c r="H5540" s="13">
        <v>0</v>
      </c>
      <c r="I5540" s="13"/>
      <c r="J5540" s="13"/>
      <c r="K5540" s="13"/>
      <c r="L5540" s="15">
        <v>0</v>
      </c>
    </row>
    <row r="5541" spans="1:12">
      <c r="A5541" s="12"/>
      <c r="E5541" s="14"/>
      <c r="F5541" s="14"/>
      <c r="G5541" s="13">
        <v>0</v>
      </c>
      <c r="H5541" s="13">
        <v>0</v>
      </c>
      <c r="I5541" s="13"/>
      <c r="J5541" s="13"/>
      <c r="K5541" s="13"/>
      <c r="L5541" s="15">
        <v>0</v>
      </c>
    </row>
    <row r="5542" spans="1:12">
      <c r="A5542" s="12"/>
      <c r="E5542" s="14"/>
      <c r="F5542" s="14"/>
      <c r="G5542" s="13">
        <v>0</v>
      </c>
      <c r="H5542" s="13">
        <v>0</v>
      </c>
      <c r="I5542" s="13"/>
      <c r="J5542" s="13"/>
      <c r="K5542" s="13"/>
      <c r="L5542" s="15">
        <v>0</v>
      </c>
    </row>
    <row r="5543" spans="1:12">
      <c r="A5543" s="12"/>
      <c r="E5543" s="14"/>
      <c r="F5543" s="14"/>
      <c r="G5543" s="13">
        <v>0</v>
      </c>
      <c r="H5543" s="13">
        <v>0</v>
      </c>
      <c r="I5543" s="13"/>
      <c r="J5543" s="13"/>
      <c r="K5543" s="13"/>
      <c r="L5543" s="15">
        <v>0</v>
      </c>
    </row>
    <row r="5544" spans="1:12">
      <c r="A5544" s="12"/>
      <c r="E5544" s="14"/>
      <c r="F5544" s="14"/>
      <c r="G5544" s="13">
        <v>0</v>
      </c>
      <c r="H5544" s="13">
        <v>0</v>
      </c>
      <c r="I5544" s="13"/>
      <c r="J5544" s="13"/>
      <c r="K5544" s="13"/>
      <c r="L5544" s="15">
        <v>0</v>
      </c>
    </row>
    <row r="5545" spans="1:12">
      <c r="A5545" s="12"/>
      <c r="E5545" s="14"/>
      <c r="F5545" s="14"/>
      <c r="G5545" s="13">
        <v>0</v>
      </c>
      <c r="H5545" s="13">
        <v>0</v>
      </c>
      <c r="I5545" s="13"/>
      <c r="J5545" s="13"/>
      <c r="K5545" s="13"/>
      <c r="L5545" s="15">
        <v>0</v>
      </c>
    </row>
    <row r="5546" spans="1:12">
      <c r="A5546" s="12"/>
      <c r="E5546" s="14"/>
      <c r="F5546" s="14"/>
      <c r="G5546" s="13">
        <v>0</v>
      </c>
      <c r="H5546" s="13">
        <v>0</v>
      </c>
      <c r="I5546" s="13"/>
      <c r="J5546" s="13"/>
      <c r="K5546" s="13"/>
      <c r="L5546" s="15">
        <v>0</v>
      </c>
    </row>
    <row r="5547" spans="1:12">
      <c r="A5547" s="12"/>
      <c r="E5547" s="14"/>
      <c r="F5547" s="14"/>
      <c r="G5547" s="13">
        <v>0</v>
      </c>
      <c r="H5547" s="13">
        <v>0</v>
      </c>
      <c r="I5547" s="13"/>
      <c r="J5547" s="13"/>
      <c r="K5547" s="13"/>
      <c r="L5547" s="15">
        <v>0</v>
      </c>
    </row>
    <row r="5548" spans="1:12">
      <c r="A5548" s="12"/>
      <c r="E5548" s="14"/>
      <c r="F5548" s="14"/>
      <c r="G5548" s="13">
        <v>0</v>
      </c>
      <c r="H5548" s="13">
        <v>0</v>
      </c>
      <c r="I5548" s="13"/>
      <c r="J5548" s="13"/>
      <c r="K5548" s="13"/>
      <c r="L5548" s="15">
        <v>0</v>
      </c>
    </row>
    <row r="5549" spans="1:12">
      <c r="A5549" s="12"/>
      <c r="E5549" s="14"/>
      <c r="F5549" s="14"/>
      <c r="G5549" s="13">
        <v>0</v>
      </c>
      <c r="H5549" s="13">
        <v>0</v>
      </c>
      <c r="I5549" s="13"/>
      <c r="J5549" s="13"/>
      <c r="K5549" s="13"/>
      <c r="L5549" s="15">
        <v>0</v>
      </c>
    </row>
    <row r="5550" spans="1:12">
      <c r="A5550" s="12"/>
      <c r="E5550" s="14"/>
      <c r="F5550" s="14"/>
      <c r="G5550" s="13">
        <v>0</v>
      </c>
      <c r="H5550" s="13">
        <v>0</v>
      </c>
      <c r="I5550" s="13"/>
      <c r="J5550" s="13"/>
      <c r="K5550" s="13"/>
      <c r="L5550" s="15">
        <v>0</v>
      </c>
    </row>
    <row r="5551" spans="1:12">
      <c r="A5551" s="12"/>
      <c r="E5551" s="14"/>
      <c r="F5551" s="14"/>
      <c r="G5551" s="13">
        <v>0</v>
      </c>
      <c r="H5551" s="13">
        <v>0</v>
      </c>
      <c r="I5551" s="13"/>
      <c r="J5551" s="13"/>
      <c r="K5551" s="13"/>
      <c r="L5551" s="15">
        <v>0</v>
      </c>
    </row>
    <row r="5552" spans="1:12">
      <c r="A5552" s="12"/>
      <c r="E5552" s="14"/>
      <c r="F5552" s="14"/>
      <c r="G5552" s="13">
        <v>0</v>
      </c>
      <c r="H5552" s="13">
        <v>0</v>
      </c>
      <c r="I5552" s="13"/>
      <c r="J5552" s="13"/>
      <c r="K5552" s="13"/>
      <c r="L5552" s="15">
        <v>0</v>
      </c>
    </row>
    <row r="5553" spans="1:12">
      <c r="A5553" s="12"/>
      <c r="E5553" s="14"/>
      <c r="F5553" s="14"/>
      <c r="G5553" s="13">
        <v>0</v>
      </c>
      <c r="H5553" s="13">
        <v>0</v>
      </c>
      <c r="I5553" s="13"/>
      <c r="J5553" s="13"/>
      <c r="K5553" s="13"/>
      <c r="L5553" s="15">
        <v>0</v>
      </c>
    </row>
    <row r="5554" spans="1:12">
      <c r="A5554" s="12"/>
      <c r="E5554" s="14"/>
      <c r="F5554" s="14"/>
      <c r="G5554" s="13">
        <v>0</v>
      </c>
      <c r="H5554" s="13">
        <v>0</v>
      </c>
      <c r="I5554" s="13"/>
      <c r="J5554" s="13"/>
      <c r="K5554" s="13"/>
      <c r="L5554" s="15">
        <v>0</v>
      </c>
    </row>
    <row r="5555" spans="1:12">
      <c r="A5555" s="12"/>
      <c r="E5555" s="14"/>
      <c r="F5555" s="14"/>
      <c r="G5555" s="13">
        <v>0</v>
      </c>
      <c r="H5555" s="13">
        <v>0</v>
      </c>
      <c r="I5555" s="13"/>
      <c r="J5555" s="13"/>
      <c r="K5555" s="13"/>
      <c r="L5555" s="15">
        <v>0</v>
      </c>
    </row>
    <row r="5556" spans="1:12">
      <c r="A5556" s="12"/>
      <c r="E5556" s="14"/>
      <c r="F5556" s="14"/>
      <c r="G5556" s="13">
        <v>0</v>
      </c>
      <c r="H5556" s="13">
        <v>0</v>
      </c>
      <c r="I5556" s="13"/>
      <c r="J5556" s="13"/>
      <c r="K5556" s="13"/>
      <c r="L5556" s="15">
        <v>0</v>
      </c>
    </row>
    <row r="5557" spans="1:12">
      <c r="A5557" s="12"/>
      <c r="E5557" s="14"/>
      <c r="F5557" s="14"/>
      <c r="G5557" s="13">
        <v>0</v>
      </c>
      <c r="H5557" s="13">
        <v>0</v>
      </c>
      <c r="I5557" s="13"/>
      <c r="J5557" s="13"/>
      <c r="K5557" s="13"/>
      <c r="L5557" s="15">
        <v>0</v>
      </c>
    </row>
    <row r="5558" spans="1:12">
      <c r="A5558" s="12"/>
      <c r="E5558" s="14"/>
      <c r="F5558" s="14"/>
      <c r="G5558" s="13">
        <v>0</v>
      </c>
      <c r="H5558" s="13">
        <v>0</v>
      </c>
      <c r="I5558" s="13"/>
      <c r="J5558" s="13"/>
      <c r="K5558" s="13"/>
      <c r="L5558" s="15">
        <v>0</v>
      </c>
    </row>
    <row r="5559" spans="1:12">
      <c r="A5559" s="12"/>
      <c r="E5559" s="14"/>
      <c r="F5559" s="14"/>
      <c r="G5559" s="13">
        <v>0</v>
      </c>
      <c r="H5559" s="13">
        <v>0</v>
      </c>
      <c r="I5559" s="13"/>
      <c r="J5559" s="13"/>
      <c r="K5559" s="13"/>
      <c r="L5559" s="15">
        <v>0</v>
      </c>
    </row>
    <row r="5560" spans="1:12">
      <c r="A5560" s="12"/>
      <c r="E5560" s="14"/>
      <c r="F5560" s="14"/>
      <c r="G5560" s="13">
        <v>0</v>
      </c>
      <c r="H5560" s="13">
        <v>0</v>
      </c>
      <c r="I5560" s="13"/>
      <c r="J5560" s="13"/>
      <c r="K5560" s="13"/>
      <c r="L5560" s="15">
        <v>0</v>
      </c>
    </row>
    <row r="5561" spans="1:12">
      <c r="A5561" s="12"/>
      <c r="E5561" s="14"/>
      <c r="F5561" s="14"/>
      <c r="G5561" s="13">
        <v>0</v>
      </c>
      <c r="H5561" s="13">
        <v>0</v>
      </c>
      <c r="I5561" s="13"/>
      <c r="J5561" s="13"/>
      <c r="K5561" s="13"/>
      <c r="L5561" s="15">
        <v>0</v>
      </c>
    </row>
    <row r="5562" spans="1:12">
      <c r="A5562" s="12"/>
      <c r="E5562" s="14"/>
      <c r="F5562" s="14"/>
      <c r="G5562" s="13">
        <v>0</v>
      </c>
      <c r="H5562" s="13">
        <v>0</v>
      </c>
      <c r="I5562" s="13"/>
      <c r="J5562" s="13"/>
      <c r="K5562" s="13"/>
      <c r="L5562" s="15">
        <v>0</v>
      </c>
    </row>
    <row r="5563" spans="1:12">
      <c r="A5563" s="12"/>
      <c r="E5563" s="14"/>
      <c r="F5563" s="14"/>
      <c r="G5563" s="13">
        <v>0</v>
      </c>
      <c r="H5563" s="13">
        <v>0</v>
      </c>
      <c r="I5563" s="13"/>
      <c r="J5563" s="13"/>
      <c r="K5563" s="13"/>
      <c r="L5563" s="15">
        <v>0</v>
      </c>
    </row>
    <row r="5564" spans="1:12">
      <c r="A5564" s="12"/>
      <c r="E5564" s="14"/>
      <c r="F5564" s="14"/>
      <c r="G5564" s="13">
        <v>0</v>
      </c>
      <c r="H5564" s="13">
        <v>0</v>
      </c>
      <c r="I5564" s="13"/>
      <c r="J5564" s="13"/>
      <c r="K5564" s="13"/>
      <c r="L5564" s="15">
        <v>0</v>
      </c>
    </row>
    <row r="5565" spans="1:12">
      <c r="A5565" s="12"/>
      <c r="E5565" s="14"/>
      <c r="F5565" s="14"/>
      <c r="G5565" s="13">
        <v>0</v>
      </c>
      <c r="H5565" s="13">
        <v>0</v>
      </c>
      <c r="I5565" s="13"/>
      <c r="J5565" s="13"/>
      <c r="K5565" s="13"/>
      <c r="L5565" s="15">
        <v>0</v>
      </c>
    </row>
    <row r="5566" spans="1:12">
      <c r="A5566" s="12"/>
      <c r="E5566" s="14"/>
      <c r="F5566" s="14"/>
      <c r="G5566" s="13">
        <v>0</v>
      </c>
      <c r="H5566" s="13">
        <v>0</v>
      </c>
      <c r="I5566" s="13"/>
      <c r="J5566" s="13"/>
      <c r="K5566" s="13"/>
      <c r="L5566" s="15">
        <v>0</v>
      </c>
    </row>
    <row r="5567" spans="1:12">
      <c r="A5567" s="12"/>
      <c r="E5567" s="14"/>
      <c r="F5567" s="14"/>
      <c r="G5567" s="13">
        <v>0</v>
      </c>
      <c r="H5567" s="13">
        <v>0</v>
      </c>
      <c r="I5567" s="13"/>
      <c r="J5567" s="13"/>
      <c r="K5567" s="13"/>
      <c r="L5567" s="15">
        <v>0</v>
      </c>
    </row>
    <row r="5568" spans="1:12">
      <c r="A5568" s="12"/>
      <c r="E5568" s="14"/>
      <c r="F5568" s="14"/>
      <c r="G5568" s="13">
        <v>0</v>
      </c>
      <c r="H5568" s="13">
        <v>0</v>
      </c>
      <c r="I5568" s="13"/>
      <c r="J5568" s="13"/>
      <c r="K5568" s="13"/>
      <c r="L5568" s="15">
        <v>0</v>
      </c>
    </row>
    <row r="5569" spans="1:12">
      <c r="A5569" s="12"/>
      <c r="E5569" s="14"/>
      <c r="F5569" s="14"/>
      <c r="G5569" s="13">
        <v>0</v>
      </c>
      <c r="H5569" s="13">
        <v>0</v>
      </c>
      <c r="I5569" s="13"/>
      <c r="J5569" s="13"/>
      <c r="K5569" s="13"/>
      <c r="L5569" s="15">
        <v>0</v>
      </c>
    </row>
    <row r="5570" spans="1:12">
      <c r="A5570" s="12"/>
      <c r="E5570" s="14"/>
      <c r="F5570" s="14"/>
      <c r="G5570" s="13">
        <v>0</v>
      </c>
      <c r="H5570" s="13">
        <v>0</v>
      </c>
      <c r="I5570" s="13"/>
      <c r="J5570" s="13"/>
      <c r="K5570" s="13"/>
      <c r="L5570" s="15">
        <v>0</v>
      </c>
    </row>
    <row r="5571" spans="1:12">
      <c r="A5571" s="12"/>
      <c r="E5571" s="14"/>
      <c r="F5571" s="14"/>
      <c r="G5571" s="13">
        <v>0</v>
      </c>
      <c r="H5571" s="13">
        <v>0</v>
      </c>
      <c r="I5571" s="13"/>
      <c r="J5571" s="13"/>
      <c r="K5571" s="13"/>
      <c r="L5571" s="15">
        <v>0</v>
      </c>
    </row>
    <row r="5572" spans="1:12">
      <c r="A5572" s="12"/>
      <c r="E5572" s="14"/>
      <c r="F5572" s="14"/>
      <c r="G5572" s="13">
        <v>0</v>
      </c>
      <c r="H5572" s="13">
        <v>0</v>
      </c>
      <c r="I5572" s="13"/>
      <c r="J5572" s="13"/>
      <c r="K5572" s="13"/>
      <c r="L5572" s="15">
        <v>0</v>
      </c>
    </row>
    <row r="5573" spans="1:12">
      <c r="A5573" s="12"/>
      <c r="E5573" s="14"/>
      <c r="F5573" s="14"/>
      <c r="G5573" s="13">
        <v>0</v>
      </c>
      <c r="H5573" s="13">
        <v>0</v>
      </c>
      <c r="I5573" s="13"/>
      <c r="J5573" s="13"/>
      <c r="K5573" s="13"/>
      <c r="L5573" s="15">
        <v>0</v>
      </c>
    </row>
    <row r="5574" spans="1:12">
      <c r="A5574" s="12"/>
      <c r="E5574" s="14"/>
      <c r="F5574" s="14"/>
      <c r="G5574" s="13">
        <v>0</v>
      </c>
      <c r="H5574" s="13">
        <v>0</v>
      </c>
      <c r="I5574" s="13"/>
      <c r="J5574" s="13"/>
      <c r="K5574" s="13"/>
      <c r="L5574" s="15">
        <v>0</v>
      </c>
    </row>
    <row r="5575" spans="1:12">
      <c r="A5575" s="12"/>
      <c r="E5575" s="14"/>
      <c r="F5575" s="14"/>
      <c r="G5575" s="13">
        <v>0</v>
      </c>
      <c r="H5575" s="13">
        <v>0</v>
      </c>
      <c r="I5575" s="13"/>
      <c r="J5575" s="13"/>
      <c r="K5575" s="13"/>
      <c r="L5575" s="15">
        <v>0</v>
      </c>
    </row>
    <row r="5576" spans="1:12">
      <c r="A5576" s="12"/>
      <c r="E5576" s="14"/>
      <c r="F5576" s="14"/>
      <c r="G5576" s="13">
        <v>0</v>
      </c>
      <c r="H5576" s="13">
        <v>0</v>
      </c>
      <c r="I5576" s="13"/>
      <c r="J5576" s="13"/>
      <c r="K5576" s="13"/>
      <c r="L5576" s="15">
        <v>0</v>
      </c>
    </row>
    <row r="5577" spans="1:12">
      <c r="A5577" s="12"/>
      <c r="E5577" s="14"/>
      <c r="F5577" s="14"/>
      <c r="G5577" s="13">
        <v>0</v>
      </c>
      <c r="H5577" s="13">
        <v>0</v>
      </c>
      <c r="I5577" s="13"/>
      <c r="J5577" s="13"/>
      <c r="K5577" s="13"/>
      <c r="L5577" s="15">
        <v>0</v>
      </c>
    </row>
    <row r="5578" spans="1:12">
      <c r="A5578" s="12"/>
      <c r="E5578" s="14"/>
      <c r="F5578" s="14"/>
      <c r="G5578" s="13">
        <v>0</v>
      </c>
      <c r="H5578" s="13">
        <v>0</v>
      </c>
      <c r="I5578" s="13"/>
      <c r="J5578" s="13"/>
      <c r="K5578" s="13"/>
      <c r="L5578" s="15">
        <v>0</v>
      </c>
    </row>
    <row r="5579" spans="1:12">
      <c r="A5579" s="12"/>
      <c r="E5579" s="14"/>
      <c r="F5579" s="14"/>
      <c r="G5579" s="13">
        <v>0</v>
      </c>
      <c r="H5579" s="13">
        <v>0</v>
      </c>
      <c r="I5579" s="13"/>
      <c r="J5579" s="13"/>
      <c r="K5579" s="13"/>
      <c r="L5579" s="15">
        <v>0</v>
      </c>
    </row>
    <row r="5580" spans="1:12">
      <c r="A5580" s="12"/>
      <c r="E5580" s="14"/>
      <c r="F5580" s="14"/>
      <c r="G5580" s="13">
        <v>0</v>
      </c>
      <c r="H5580" s="13">
        <v>0</v>
      </c>
      <c r="I5580" s="13"/>
      <c r="J5580" s="13"/>
      <c r="K5580" s="13"/>
      <c r="L5580" s="15">
        <v>0</v>
      </c>
    </row>
    <row r="5581" spans="1:12">
      <c r="A5581" s="12"/>
      <c r="E5581" s="14"/>
      <c r="F5581" s="14"/>
      <c r="G5581" s="13">
        <v>0</v>
      </c>
      <c r="H5581" s="13">
        <v>0</v>
      </c>
      <c r="I5581" s="13"/>
      <c r="J5581" s="13"/>
      <c r="K5581" s="13"/>
      <c r="L5581" s="15">
        <v>0</v>
      </c>
    </row>
    <row r="5582" spans="1:12">
      <c r="A5582" s="12"/>
      <c r="E5582" s="14"/>
      <c r="F5582" s="14"/>
      <c r="G5582" s="13">
        <v>0</v>
      </c>
      <c r="H5582" s="13">
        <v>0</v>
      </c>
      <c r="I5582" s="13"/>
      <c r="J5582" s="13"/>
      <c r="K5582" s="13"/>
      <c r="L5582" s="15">
        <v>0</v>
      </c>
    </row>
    <row r="5583" spans="1:12">
      <c r="A5583" s="12"/>
      <c r="E5583" s="14"/>
      <c r="F5583" s="14"/>
      <c r="G5583" s="13">
        <v>0</v>
      </c>
      <c r="H5583" s="13">
        <v>0</v>
      </c>
      <c r="I5583" s="13"/>
      <c r="J5583" s="13"/>
      <c r="K5583" s="13"/>
      <c r="L5583" s="15">
        <v>0</v>
      </c>
    </row>
    <row r="5584" spans="1:12">
      <c r="A5584" s="12"/>
      <c r="E5584" s="14"/>
      <c r="F5584" s="14"/>
      <c r="G5584" s="13">
        <v>0</v>
      </c>
      <c r="H5584" s="13">
        <v>0</v>
      </c>
      <c r="I5584" s="13"/>
      <c r="J5584" s="13"/>
      <c r="K5584" s="13"/>
      <c r="L5584" s="15">
        <v>0</v>
      </c>
    </row>
    <row r="5585" spans="1:12">
      <c r="A5585" s="12"/>
      <c r="E5585" s="14"/>
      <c r="F5585" s="14"/>
      <c r="G5585" s="13">
        <v>0</v>
      </c>
      <c r="H5585" s="13">
        <v>0</v>
      </c>
      <c r="I5585" s="13"/>
      <c r="J5585" s="13"/>
      <c r="K5585" s="13"/>
      <c r="L5585" s="15">
        <v>0</v>
      </c>
    </row>
    <row r="5586" spans="1:12">
      <c r="A5586" s="12"/>
      <c r="E5586" s="14"/>
      <c r="F5586" s="14"/>
      <c r="G5586" s="13">
        <v>0</v>
      </c>
      <c r="H5586" s="13">
        <v>0</v>
      </c>
      <c r="I5586" s="13"/>
      <c r="J5586" s="13"/>
      <c r="K5586" s="13"/>
      <c r="L5586" s="15">
        <v>0</v>
      </c>
    </row>
    <row r="5587" spans="1:12">
      <c r="A5587" s="12"/>
      <c r="E5587" s="14"/>
      <c r="F5587" s="14"/>
      <c r="G5587" s="13">
        <v>0</v>
      </c>
      <c r="H5587" s="13">
        <v>0</v>
      </c>
      <c r="I5587" s="13"/>
      <c r="J5587" s="13"/>
      <c r="K5587" s="13"/>
      <c r="L5587" s="15">
        <v>0</v>
      </c>
    </row>
    <row r="5588" spans="1:12">
      <c r="A5588" s="12"/>
      <c r="E5588" s="14"/>
      <c r="F5588" s="14"/>
      <c r="G5588" s="13">
        <v>0</v>
      </c>
      <c r="H5588" s="13">
        <v>0</v>
      </c>
      <c r="I5588" s="13"/>
      <c r="J5588" s="13"/>
      <c r="K5588" s="13"/>
      <c r="L5588" s="15">
        <v>0</v>
      </c>
    </row>
    <row r="5589" spans="1:12">
      <c r="A5589" s="12"/>
      <c r="E5589" s="14"/>
      <c r="F5589" s="14"/>
      <c r="G5589" s="13">
        <v>0</v>
      </c>
      <c r="H5589" s="13">
        <v>0</v>
      </c>
      <c r="I5589" s="13"/>
      <c r="J5589" s="13"/>
      <c r="K5589" s="13"/>
      <c r="L5589" s="15">
        <v>0</v>
      </c>
    </row>
    <row r="5590" spans="1:12">
      <c r="A5590" s="12"/>
      <c r="E5590" s="14"/>
      <c r="F5590" s="14"/>
      <c r="G5590" s="13">
        <v>0</v>
      </c>
      <c r="H5590" s="13">
        <v>0</v>
      </c>
      <c r="I5590" s="13"/>
      <c r="J5590" s="13"/>
      <c r="K5590" s="13"/>
      <c r="L5590" s="15">
        <v>0</v>
      </c>
    </row>
    <row r="5591" spans="1:12">
      <c r="A5591" s="12"/>
      <c r="E5591" s="14"/>
      <c r="F5591" s="14"/>
      <c r="G5591" s="13">
        <v>0</v>
      </c>
      <c r="H5591" s="13">
        <v>0</v>
      </c>
      <c r="I5591" s="13"/>
      <c r="J5591" s="13"/>
      <c r="K5591" s="13"/>
      <c r="L5591" s="15">
        <v>0</v>
      </c>
    </row>
    <row r="5592" spans="1:12">
      <c r="A5592" s="12"/>
      <c r="E5592" s="14"/>
      <c r="F5592" s="14"/>
      <c r="G5592" s="13">
        <v>0</v>
      </c>
      <c r="H5592" s="13">
        <v>0</v>
      </c>
      <c r="I5592" s="13"/>
      <c r="J5592" s="13"/>
      <c r="K5592" s="13"/>
      <c r="L5592" s="15">
        <v>0</v>
      </c>
    </row>
    <row r="5593" spans="1:12">
      <c r="A5593" s="12"/>
      <c r="E5593" s="14"/>
      <c r="F5593" s="14"/>
      <c r="G5593" s="13">
        <v>0</v>
      </c>
      <c r="H5593" s="13">
        <v>0</v>
      </c>
      <c r="I5593" s="13"/>
      <c r="J5593" s="13"/>
      <c r="K5593" s="13"/>
      <c r="L5593" s="15">
        <v>0</v>
      </c>
    </row>
    <row r="5594" spans="1:12">
      <c r="A5594" s="12"/>
      <c r="E5594" s="14"/>
      <c r="F5594" s="14"/>
      <c r="G5594" s="13">
        <v>0</v>
      </c>
      <c r="H5594" s="13">
        <v>0</v>
      </c>
      <c r="I5594" s="13"/>
      <c r="J5594" s="13"/>
      <c r="K5594" s="13"/>
      <c r="L5594" s="15">
        <v>0</v>
      </c>
    </row>
    <row r="5595" spans="1:12">
      <c r="A5595" s="12"/>
      <c r="E5595" s="14"/>
      <c r="F5595" s="14"/>
      <c r="G5595" s="13">
        <v>0</v>
      </c>
      <c r="H5595" s="13">
        <v>0</v>
      </c>
      <c r="I5595" s="13"/>
      <c r="J5595" s="13"/>
      <c r="K5595" s="13"/>
      <c r="L5595" s="15">
        <v>0</v>
      </c>
    </row>
    <row r="5596" spans="1:12">
      <c r="A5596" s="12"/>
      <c r="E5596" s="14"/>
      <c r="F5596" s="14"/>
      <c r="G5596" s="13">
        <v>0</v>
      </c>
      <c r="H5596" s="13">
        <v>0</v>
      </c>
      <c r="I5596" s="13"/>
      <c r="J5596" s="13"/>
      <c r="K5596" s="13"/>
      <c r="L5596" s="15">
        <v>0</v>
      </c>
    </row>
    <row r="5597" spans="1:12">
      <c r="A5597" s="12"/>
      <c r="E5597" s="14"/>
      <c r="F5597" s="14"/>
      <c r="G5597" s="13">
        <v>0</v>
      </c>
      <c r="H5597" s="13">
        <v>0</v>
      </c>
      <c r="I5597" s="13"/>
      <c r="J5597" s="13"/>
      <c r="K5597" s="13"/>
      <c r="L5597" s="15">
        <v>0</v>
      </c>
    </row>
    <row r="5598" spans="1:12">
      <c r="A5598" s="12"/>
      <c r="E5598" s="14"/>
      <c r="F5598" s="14"/>
      <c r="G5598" s="13">
        <v>0</v>
      </c>
      <c r="H5598" s="13">
        <v>0</v>
      </c>
      <c r="I5598" s="13"/>
      <c r="J5598" s="13"/>
      <c r="K5598" s="13"/>
      <c r="L5598" s="15">
        <v>0</v>
      </c>
    </row>
    <row r="5599" spans="1:12">
      <c r="A5599" s="12"/>
      <c r="E5599" s="14"/>
      <c r="F5599" s="14"/>
      <c r="G5599" s="13">
        <v>0</v>
      </c>
      <c r="H5599" s="13">
        <v>0</v>
      </c>
      <c r="I5599" s="13"/>
      <c r="J5599" s="13"/>
      <c r="K5599" s="13"/>
      <c r="L5599" s="15">
        <v>0</v>
      </c>
    </row>
    <row r="5600" spans="1:12">
      <c r="A5600" s="12"/>
      <c r="E5600" s="14"/>
      <c r="F5600" s="14"/>
      <c r="G5600" s="13">
        <v>0</v>
      </c>
      <c r="H5600" s="13">
        <v>0</v>
      </c>
      <c r="I5600" s="13"/>
      <c r="J5600" s="13"/>
      <c r="K5600" s="13"/>
      <c r="L5600" s="15">
        <v>0</v>
      </c>
    </row>
    <row r="5601" spans="1:12">
      <c r="A5601" s="12"/>
      <c r="E5601" s="14"/>
      <c r="F5601" s="14"/>
      <c r="G5601" s="13">
        <v>0</v>
      </c>
      <c r="H5601" s="13">
        <v>0</v>
      </c>
      <c r="I5601" s="13"/>
      <c r="J5601" s="13"/>
      <c r="K5601" s="13"/>
      <c r="L5601" s="15">
        <v>0</v>
      </c>
    </row>
    <row r="5602" spans="1:12">
      <c r="A5602" s="12"/>
      <c r="E5602" s="14"/>
      <c r="F5602" s="14"/>
      <c r="G5602" s="13">
        <v>0</v>
      </c>
      <c r="H5602" s="13">
        <v>0</v>
      </c>
      <c r="I5602" s="13"/>
      <c r="J5602" s="13"/>
      <c r="K5602" s="13"/>
      <c r="L5602" s="15">
        <v>0</v>
      </c>
    </row>
    <row r="5603" spans="1:12">
      <c r="A5603" s="12"/>
      <c r="E5603" s="14"/>
      <c r="F5603" s="14"/>
      <c r="G5603" s="13">
        <v>0</v>
      </c>
      <c r="H5603" s="13">
        <v>0</v>
      </c>
      <c r="I5603" s="13"/>
      <c r="J5603" s="13"/>
      <c r="K5603" s="13"/>
      <c r="L5603" s="15">
        <v>0</v>
      </c>
    </row>
    <row r="5604" spans="1:12">
      <c r="A5604" s="12"/>
      <c r="E5604" s="14"/>
      <c r="F5604" s="14"/>
      <c r="G5604" s="13">
        <v>0</v>
      </c>
      <c r="H5604" s="13">
        <v>0</v>
      </c>
      <c r="I5604" s="13"/>
      <c r="J5604" s="13"/>
      <c r="K5604" s="13"/>
      <c r="L5604" s="15">
        <v>0</v>
      </c>
    </row>
    <row r="5605" spans="1:12">
      <c r="A5605" s="12"/>
      <c r="E5605" s="14"/>
      <c r="F5605" s="14"/>
      <c r="G5605" s="13">
        <v>0</v>
      </c>
      <c r="H5605" s="13">
        <v>0</v>
      </c>
      <c r="I5605" s="13"/>
      <c r="J5605" s="13"/>
      <c r="K5605" s="13"/>
      <c r="L5605" s="15">
        <v>0</v>
      </c>
    </row>
    <row r="5606" spans="1:12">
      <c r="A5606" s="12"/>
      <c r="E5606" s="14"/>
      <c r="F5606" s="14"/>
      <c r="G5606" s="13">
        <v>0</v>
      </c>
      <c r="H5606" s="13">
        <v>0</v>
      </c>
      <c r="I5606" s="13"/>
      <c r="J5606" s="13"/>
      <c r="K5606" s="13"/>
      <c r="L5606" s="15">
        <v>0</v>
      </c>
    </row>
    <row r="5607" spans="1:12">
      <c r="A5607" s="12"/>
      <c r="E5607" s="14"/>
      <c r="F5607" s="14"/>
      <c r="G5607" s="13">
        <v>0</v>
      </c>
      <c r="H5607" s="13">
        <v>0</v>
      </c>
      <c r="I5607" s="13"/>
      <c r="J5607" s="13"/>
      <c r="K5607" s="13"/>
      <c r="L5607" s="15">
        <v>0</v>
      </c>
    </row>
    <row r="5608" spans="1:12">
      <c r="A5608" s="12"/>
      <c r="E5608" s="14"/>
      <c r="F5608" s="14"/>
      <c r="G5608" s="13">
        <v>0</v>
      </c>
      <c r="H5608" s="13">
        <v>0</v>
      </c>
      <c r="I5608" s="13"/>
      <c r="J5608" s="13"/>
      <c r="K5608" s="13"/>
      <c r="L5608" s="15">
        <v>0</v>
      </c>
    </row>
    <row r="5609" spans="1:12">
      <c r="A5609" s="12"/>
      <c r="E5609" s="14"/>
      <c r="F5609" s="14"/>
      <c r="G5609" s="13">
        <v>0</v>
      </c>
      <c r="H5609" s="13">
        <v>0</v>
      </c>
      <c r="I5609" s="13"/>
      <c r="J5609" s="13"/>
      <c r="K5609" s="13"/>
      <c r="L5609" s="15">
        <v>0</v>
      </c>
    </row>
    <row r="5610" spans="1:12">
      <c r="A5610" s="12"/>
      <c r="E5610" s="14"/>
      <c r="F5610" s="14"/>
      <c r="G5610" s="13">
        <v>0</v>
      </c>
      <c r="H5610" s="13">
        <v>0</v>
      </c>
      <c r="I5610" s="13"/>
      <c r="J5610" s="13"/>
      <c r="K5610" s="13"/>
      <c r="L5610" s="15">
        <v>0</v>
      </c>
    </row>
    <row r="5611" spans="1:12">
      <c r="A5611" s="12"/>
      <c r="E5611" s="14"/>
      <c r="F5611" s="14"/>
      <c r="G5611" s="13">
        <v>0</v>
      </c>
      <c r="H5611" s="13">
        <v>0</v>
      </c>
      <c r="I5611" s="13"/>
      <c r="J5611" s="13"/>
      <c r="K5611" s="13"/>
      <c r="L5611" s="15">
        <v>0</v>
      </c>
    </row>
    <row r="5612" spans="1:12">
      <c r="A5612" s="12"/>
      <c r="E5612" s="14"/>
      <c r="F5612" s="14"/>
      <c r="G5612" s="13">
        <v>0</v>
      </c>
      <c r="H5612" s="13">
        <v>0</v>
      </c>
      <c r="I5612" s="13"/>
      <c r="J5612" s="13"/>
      <c r="K5612" s="13"/>
      <c r="L5612" s="15">
        <v>0</v>
      </c>
    </row>
    <row r="5613" spans="1:12">
      <c r="A5613" s="12"/>
      <c r="E5613" s="14"/>
      <c r="F5613" s="14"/>
      <c r="G5613" s="13">
        <v>0</v>
      </c>
      <c r="H5613" s="13">
        <v>0</v>
      </c>
      <c r="I5613" s="13"/>
      <c r="J5613" s="13"/>
      <c r="K5613" s="13"/>
      <c r="L5613" s="15">
        <v>0</v>
      </c>
    </row>
    <row r="5614" spans="1:12">
      <c r="A5614" s="12"/>
      <c r="E5614" s="14"/>
      <c r="F5614" s="14"/>
      <c r="G5614" s="13">
        <v>0</v>
      </c>
      <c r="H5614" s="13">
        <v>0</v>
      </c>
      <c r="I5614" s="13"/>
      <c r="J5614" s="13"/>
      <c r="K5614" s="13"/>
      <c r="L5614" s="15">
        <v>0</v>
      </c>
    </row>
    <row r="5615" spans="1:12">
      <c r="A5615" s="12"/>
      <c r="E5615" s="14"/>
      <c r="F5615" s="14"/>
      <c r="G5615" s="13">
        <v>0</v>
      </c>
      <c r="H5615" s="13">
        <v>0</v>
      </c>
      <c r="I5615" s="13"/>
      <c r="J5615" s="13"/>
      <c r="K5615" s="13"/>
      <c r="L5615" s="15">
        <v>0</v>
      </c>
    </row>
    <row r="5616" spans="1:12">
      <c r="A5616" s="12"/>
      <c r="E5616" s="14"/>
      <c r="F5616" s="14"/>
      <c r="G5616" s="13">
        <v>0</v>
      </c>
      <c r="H5616" s="13">
        <v>0</v>
      </c>
      <c r="I5616" s="13"/>
      <c r="J5616" s="13"/>
      <c r="K5616" s="13"/>
      <c r="L5616" s="15">
        <v>0</v>
      </c>
    </row>
    <row r="5617" spans="1:12">
      <c r="A5617" s="12"/>
      <c r="E5617" s="14"/>
      <c r="F5617" s="14"/>
      <c r="G5617" s="13">
        <v>0</v>
      </c>
      <c r="H5617" s="13">
        <v>0</v>
      </c>
      <c r="I5617" s="13"/>
      <c r="J5617" s="13"/>
      <c r="K5617" s="13"/>
      <c r="L5617" s="15">
        <v>0</v>
      </c>
    </row>
    <row r="5618" spans="1:12">
      <c r="A5618" s="12"/>
      <c r="E5618" s="14"/>
      <c r="F5618" s="14"/>
      <c r="G5618" s="13">
        <v>0</v>
      </c>
      <c r="H5618" s="13">
        <v>0</v>
      </c>
      <c r="I5618" s="13"/>
      <c r="J5618" s="13"/>
      <c r="K5618" s="13"/>
      <c r="L5618" s="15">
        <v>0</v>
      </c>
    </row>
    <row r="5619" spans="1:12">
      <c r="A5619" s="12"/>
      <c r="E5619" s="14"/>
      <c r="F5619" s="14"/>
      <c r="G5619" s="13">
        <v>0</v>
      </c>
      <c r="H5619" s="13">
        <v>0</v>
      </c>
      <c r="I5619" s="13"/>
      <c r="J5619" s="13"/>
      <c r="K5619" s="13"/>
      <c r="L5619" s="15">
        <v>0</v>
      </c>
    </row>
    <row r="5620" spans="1:12">
      <c r="A5620" s="12"/>
      <c r="E5620" s="14"/>
      <c r="F5620" s="14"/>
      <c r="G5620" s="13">
        <v>0</v>
      </c>
      <c r="H5620" s="13">
        <v>0</v>
      </c>
      <c r="I5620" s="13"/>
      <c r="J5620" s="13"/>
      <c r="K5620" s="13"/>
      <c r="L5620" s="15">
        <v>0</v>
      </c>
    </row>
    <row r="5621" spans="1:12">
      <c r="A5621" s="12"/>
      <c r="E5621" s="14"/>
      <c r="F5621" s="14"/>
      <c r="G5621" s="13">
        <v>0</v>
      </c>
      <c r="H5621" s="13">
        <v>0</v>
      </c>
      <c r="I5621" s="13"/>
      <c r="J5621" s="13"/>
      <c r="K5621" s="13"/>
      <c r="L5621" s="15">
        <v>0</v>
      </c>
    </row>
  </sheetData>
  <customSheetViews>
    <customSheetView guid="{BCCC2E57-41EB-489D-8200-ABB307CED54D}" filter="1" showAutoFilter="1">
      <pageMargins left="0.7" right="0.7" top="0.75" bottom="0.75" header="0.3" footer="0.3"/>
      <autoFilter ref="A1:L721" xr:uid="{BA7595B8-AB7B-4584-ADBB-8213ED101B45}"/>
    </customSheetView>
  </customSheetView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AR999"/>
  <sheetViews>
    <sheetView showGridLines="0" tabSelected="1" zoomScale="70" zoomScaleNormal="70" workbookViewId="0">
      <selection activeCell="X4" sqref="X4"/>
    </sheetView>
  </sheetViews>
  <sheetFormatPr defaultColWidth="12.5703125" defaultRowHeight="12.75"/>
  <cols>
    <col min="1" max="1" width="11.42578125" bestFit="1" customWidth="1"/>
    <col min="2" max="2" width="15.85546875" bestFit="1" customWidth="1"/>
    <col min="3" max="3" width="4.7109375" customWidth="1"/>
    <col min="4" max="4" width="12.42578125" bestFit="1" customWidth="1"/>
    <col min="5" max="5" width="15.85546875" bestFit="1" customWidth="1"/>
    <col min="7" max="7" width="3.85546875" bestFit="1" customWidth="1"/>
    <col min="8" max="8" width="11.7109375" customWidth="1"/>
    <col min="9" max="9" width="13.42578125" customWidth="1"/>
    <col min="10" max="10" width="13" customWidth="1"/>
    <col min="20" max="20" width="28.42578125" customWidth="1"/>
  </cols>
  <sheetData>
    <row r="1" spans="1:44" ht="19.5">
      <c r="A1" s="49" t="s">
        <v>1</v>
      </c>
      <c r="B1" s="50" t="s">
        <v>62</v>
      </c>
      <c r="C1" s="24"/>
      <c r="D1" s="49" t="s">
        <v>45</v>
      </c>
      <c r="E1" s="50" t="s">
        <v>63</v>
      </c>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row>
    <row r="2" spans="1:44" ht="19.5">
      <c r="A2" s="45" t="s">
        <v>11</v>
      </c>
      <c r="B2" s="46">
        <v>8847000</v>
      </c>
      <c r="C2" s="24"/>
      <c r="D2" s="45" t="s">
        <v>43</v>
      </c>
      <c r="E2" s="51">
        <v>490</v>
      </c>
      <c r="F2" s="24"/>
      <c r="G2" s="53" t="s">
        <v>64</v>
      </c>
      <c r="H2" s="54"/>
      <c r="I2" s="54"/>
      <c r="J2" s="54"/>
      <c r="K2" s="54"/>
      <c r="L2" s="54"/>
      <c r="M2" s="54"/>
      <c r="N2" s="54"/>
      <c r="O2" s="54"/>
      <c r="P2" s="54"/>
      <c r="Q2" s="54"/>
      <c r="R2" s="54"/>
      <c r="S2" s="54"/>
      <c r="T2" s="55"/>
      <c r="U2" s="24"/>
      <c r="V2" s="24"/>
      <c r="W2" s="24"/>
      <c r="X2" s="24"/>
      <c r="Y2" s="24"/>
      <c r="Z2" s="24"/>
      <c r="AA2" s="24"/>
      <c r="AB2" s="24"/>
      <c r="AC2" s="24"/>
      <c r="AD2" s="24"/>
      <c r="AE2" s="24"/>
      <c r="AF2" s="24"/>
      <c r="AG2" s="24"/>
      <c r="AH2" s="24"/>
      <c r="AI2" s="24"/>
      <c r="AJ2" s="24"/>
      <c r="AK2" s="24"/>
      <c r="AL2" s="24"/>
      <c r="AM2" s="24"/>
      <c r="AN2" s="24"/>
      <c r="AO2" s="24"/>
      <c r="AP2" s="24"/>
      <c r="AQ2" s="24"/>
      <c r="AR2" s="24"/>
    </row>
    <row r="3" spans="1:44" ht="19.5">
      <c r="A3" s="45" t="s">
        <v>35</v>
      </c>
      <c r="B3" s="46">
        <v>7815000</v>
      </c>
      <c r="C3" s="24"/>
      <c r="D3" s="45" t="s">
        <v>42</v>
      </c>
      <c r="E3" s="51">
        <v>401</v>
      </c>
      <c r="F3" s="24"/>
      <c r="G3" s="56"/>
      <c r="H3" s="57"/>
      <c r="I3" s="57"/>
      <c r="J3" s="57"/>
      <c r="K3" s="57"/>
      <c r="L3" s="57"/>
      <c r="M3" s="57"/>
      <c r="N3" s="57"/>
      <c r="O3" s="57"/>
      <c r="P3" s="57"/>
      <c r="Q3" s="57"/>
      <c r="R3" s="57"/>
      <c r="S3" s="57"/>
      <c r="T3" s="58"/>
      <c r="U3" s="24"/>
      <c r="V3" s="24"/>
      <c r="W3" s="24"/>
      <c r="X3" s="24"/>
      <c r="Y3" s="24"/>
      <c r="Z3" s="24"/>
      <c r="AA3" s="24"/>
      <c r="AB3" s="24"/>
      <c r="AC3" s="24"/>
      <c r="AD3" s="24"/>
      <c r="AE3" s="24"/>
      <c r="AF3" s="24"/>
      <c r="AG3" s="24"/>
      <c r="AH3" s="24"/>
      <c r="AI3" s="24"/>
      <c r="AJ3" s="24"/>
      <c r="AK3" s="24"/>
      <c r="AL3" s="24"/>
      <c r="AM3" s="24"/>
      <c r="AN3" s="24"/>
      <c r="AO3" s="24"/>
      <c r="AP3" s="24"/>
      <c r="AQ3" s="24"/>
      <c r="AR3" s="24"/>
    </row>
    <row r="4" spans="1:44" ht="19.5">
      <c r="A4" s="45" t="s">
        <v>14</v>
      </c>
      <c r="B4" s="46">
        <v>8374000</v>
      </c>
      <c r="C4" s="24"/>
      <c r="D4" s="45" t="s">
        <v>41</v>
      </c>
      <c r="E4" s="51">
        <v>349</v>
      </c>
      <c r="F4" s="24"/>
      <c r="G4" s="59"/>
      <c r="H4" s="60"/>
      <c r="I4" s="60"/>
      <c r="J4" s="60"/>
      <c r="K4" s="60"/>
      <c r="L4" s="60"/>
      <c r="M4" s="60"/>
      <c r="N4" s="60"/>
      <c r="O4" s="60"/>
      <c r="P4" s="60"/>
      <c r="Q4" s="60"/>
      <c r="R4" s="60"/>
      <c r="S4" s="60"/>
      <c r="T4" s="61"/>
      <c r="U4" s="24"/>
      <c r="V4" s="24"/>
      <c r="W4" s="24"/>
      <c r="X4" s="24"/>
      <c r="Y4" s="24"/>
      <c r="Z4" s="24"/>
      <c r="AA4" s="24"/>
      <c r="AB4" s="24"/>
      <c r="AC4" s="24"/>
      <c r="AD4" s="24"/>
      <c r="AE4" s="24"/>
      <c r="AF4" s="24"/>
      <c r="AG4" s="24"/>
      <c r="AH4" s="24"/>
      <c r="AI4" s="24"/>
      <c r="AJ4" s="24"/>
      <c r="AK4" s="24"/>
      <c r="AL4" s="24"/>
      <c r="AM4" s="24"/>
      <c r="AN4" s="24"/>
      <c r="AO4" s="24"/>
      <c r="AP4" s="24"/>
      <c r="AQ4" s="24"/>
      <c r="AR4" s="24"/>
    </row>
    <row r="5" spans="1:44" ht="33">
      <c r="A5" s="45" t="s">
        <v>9</v>
      </c>
      <c r="B5" s="46">
        <v>8294000</v>
      </c>
      <c r="C5" s="24"/>
      <c r="D5" s="45" t="s">
        <v>38</v>
      </c>
      <c r="E5" s="51">
        <v>332</v>
      </c>
      <c r="F5" s="24"/>
      <c r="G5" s="82">
        <f>GETPIVOTDATA("SUM of Total",$D$14)</f>
        <v>50517000</v>
      </c>
      <c r="H5" s="83"/>
      <c r="I5" s="83"/>
      <c r="J5" s="83"/>
      <c r="K5" s="84"/>
      <c r="L5" s="62">
        <f>GETPIVOTDATA("SUM of Qty",$D$14)</f>
        <v>1854</v>
      </c>
      <c r="M5" s="63"/>
      <c r="N5" s="63"/>
      <c r="O5" s="64"/>
      <c r="P5" s="85">
        <f>G5/L5</f>
        <v>27247.572815533982</v>
      </c>
      <c r="Q5" s="86"/>
      <c r="R5" s="86"/>
      <c r="S5" s="86"/>
      <c r="T5" s="87"/>
      <c r="U5" s="24"/>
      <c r="V5" s="24"/>
      <c r="W5" s="24"/>
      <c r="X5" s="24"/>
      <c r="Y5" s="24"/>
      <c r="Z5" s="24"/>
      <c r="AA5" s="24"/>
      <c r="AB5" s="24"/>
      <c r="AC5" s="24"/>
      <c r="AD5" s="24"/>
      <c r="AE5" s="24"/>
      <c r="AF5" s="24"/>
      <c r="AG5" s="24"/>
      <c r="AH5" s="24"/>
      <c r="AI5" s="24"/>
      <c r="AJ5" s="24"/>
      <c r="AK5" s="24"/>
      <c r="AL5" s="24"/>
      <c r="AM5" s="24"/>
      <c r="AN5" s="24"/>
      <c r="AO5" s="24"/>
      <c r="AP5" s="24"/>
      <c r="AQ5" s="24"/>
      <c r="AR5" s="24"/>
    </row>
    <row r="6" spans="1:44" ht="33">
      <c r="A6" s="45" t="s">
        <v>7</v>
      </c>
      <c r="B6" s="46">
        <v>8692000</v>
      </c>
      <c r="C6" s="24"/>
      <c r="D6" s="47" t="s">
        <v>40</v>
      </c>
      <c r="E6" s="52">
        <v>282</v>
      </c>
      <c r="F6" s="24"/>
      <c r="G6" s="65" t="s">
        <v>65</v>
      </c>
      <c r="H6" s="60"/>
      <c r="I6" s="60"/>
      <c r="J6" s="60"/>
      <c r="K6" s="61"/>
      <c r="L6" s="65" t="s">
        <v>66</v>
      </c>
      <c r="M6" s="60"/>
      <c r="N6" s="60"/>
      <c r="O6" s="61"/>
      <c r="P6" s="65" t="s">
        <v>67</v>
      </c>
      <c r="Q6" s="60"/>
      <c r="R6" s="60"/>
      <c r="S6" s="60"/>
      <c r="T6" s="61"/>
      <c r="U6" s="24"/>
      <c r="V6" s="24"/>
      <c r="W6" s="24"/>
      <c r="X6" s="24"/>
      <c r="Y6" s="24"/>
      <c r="Z6" s="24"/>
      <c r="AA6" s="24"/>
      <c r="AB6" s="24"/>
      <c r="AC6" s="24"/>
      <c r="AD6" s="24"/>
      <c r="AE6" s="24"/>
      <c r="AF6" s="24"/>
      <c r="AG6" s="24"/>
      <c r="AH6" s="24"/>
      <c r="AI6" s="24"/>
      <c r="AJ6" s="24"/>
      <c r="AK6" s="24"/>
      <c r="AL6" s="24"/>
      <c r="AM6" s="24"/>
      <c r="AN6" s="24"/>
      <c r="AO6" s="24"/>
      <c r="AP6" s="24"/>
      <c r="AQ6" s="24"/>
      <c r="AR6" s="24"/>
    </row>
    <row r="7" spans="1:44" ht="19.5">
      <c r="A7" s="47" t="s">
        <v>34</v>
      </c>
      <c r="B7" s="48">
        <v>8495000</v>
      </c>
      <c r="C7" s="24"/>
      <c r="D7" s="24"/>
      <c r="E7" s="24"/>
      <c r="F7" s="24"/>
      <c r="G7" s="25"/>
      <c r="H7" s="24"/>
      <c r="I7" s="24"/>
      <c r="J7" s="24"/>
      <c r="K7" s="24"/>
      <c r="L7" s="24"/>
      <c r="M7" s="24"/>
      <c r="N7" s="24"/>
      <c r="O7" s="24"/>
      <c r="P7" s="24"/>
      <c r="Q7" s="24"/>
      <c r="R7" s="24"/>
      <c r="S7" s="24"/>
      <c r="T7" s="26"/>
      <c r="U7" s="24"/>
      <c r="V7" s="24"/>
      <c r="W7" s="24"/>
      <c r="X7" s="24"/>
      <c r="Y7" s="24"/>
      <c r="Z7" s="24"/>
      <c r="AA7" s="24"/>
      <c r="AB7" s="24"/>
      <c r="AC7" s="24"/>
      <c r="AD7" s="24"/>
      <c r="AE7" s="24"/>
      <c r="AF7" s="24"/>
      <c r="AG7" s="24"/>
      <c r="AH7" s="24"/>
      <c r="AI7" s="24"/>
      <c r="AJ7" s="24"/>
      <c r="AK7" s="24"/>
      <c r="AL7" s="24"/>
      <c r="AM7" s="24"/>
      <c r="AN7" s="24"/>
      <c r="AO7" s="24"/>
      <c r="AP7" s="24"/>
      <c r="AQ7" s="24"/>
      <c r="AR7" s="24"/>
    </row>
    <row r="8" spans="1:44" ht="19.5">
      <c r="A8" s="24"/>
      <c r="B8" s="24"/>
      <c r="C8" s="24"/>
      <c r="D8" s="49" t="s">
        <v>37</v>
      </c>
      <c r="E8" s="50" t="s">
        <v>62</v>
      </c>
      <c r="F8" s="24"/>
      <c r="G8" s="25"/>
      <c r="H8" s="24"/>
      <c r="I8" s="24"/>
      <c r="J8" s="24"/>
      <c r="K8" s="24"/>
      <c r="L8" s="24"/>
      <c r="M8" s="24"/>
      <c r="N8" s="24"/>
      <c r="O8" s="24"/>
      <c r="P8" s="24"/>
      <c r="Q8" s="24"/>
      <c r="R8" s="24"/>
      <c r="S8" s="24"/>
      <c r="T8" s="26"/>
      <c r="U8" s="24"/>
      <c r="V8" s="24"/>
      <c r="W8" s="24"/>
      <c r="X8" s="24"/>
      <c r="Y8" s="24"/>
      <c r="Z8" s="24"/>
      <c r="AA8" s="24"/>
      <c r="AB8" s="24"/>
      <c r="AC8" s="24"/>
      <c r="AD8" s="24"/>
      <c r="AE8" s="24"/>
      <c r="AF8" s="24"/>
      <c r="AG8" s="24"/>
      <c r="AH8" s="24"/>
      <c r="AI8" s="24"/>
      <c r="AJ8" s="24"/>
      <c r="AK8" s="24"/>
      <c r="AL8" s="24"/>
      <c r="AM8" s="24"/>
      <c r="AN8" s="24"/>
      <c r="AO8" s="24"/>
      <c r="AP8" s="24"/>
      <c r="AQ8" s="24"/>
      <c r="AR8" s="24"/>
    </row>
    <row r="9" spans="1:44" ht="19.5">
      <c r="A9" s="35" t="s">
        <v>0</v>
      </c>
      <c r="B9" s="36" t="s">
        <v>62</v>
      </c>
      <c r="C9" s="24"/>
      <c r="D9" s="45" t="s">
        <v>44</v>
      </c>
      <c r="E9" s="46">
        <v>13243000</v>
      </c>
      <c r="F9" s="24"/>
      <c r="G9" s="25"/>
      <c r="H9" s="24"/>
      <c r="I9" s="24"/>
      <c r="J9" s="24"/>
      <c r="K9" s="24"/>
      <c r="L9" s="24"/>
      <c r="M9" s="24"/>
      <c r="N9" s="24"/>
      <c r="O9" s="24"/>
      <c r="P9" s="24"/>
      <c r="Q9" s="24"/>
      <c r="R9" s="24"/>
      <c r="S9" s="24"/>
      <c r="T9" s="26"/>
      <c r="U9" s="24"/>
      <c r="V9" s="24"/>
      <c r="W9" s="24"/>
      <c r="X9" s="24"/>
      <c r="Y9" s="24"/>
      <c r="Z9" s="24"/>
      <c r="AA9" s="24"/>
      <c r="AB9" s="24"/>
      <c r="AC9" s="24"/>
      <c r="AD9" s="24"/>
      <c r="AE9" s="24"/>
      <c r="AF9" s="24"/>
      <c r="AG9" s="24"/>
      <c r="AH9" s="24"/>
      <c r="AI9" s="24"/>
      <c r="AJ9" s="24"/>
      <c r="AK9" s="24"/>
      <c r="AL9" s="24"/>
      <c r="AM9" s="24"/>
      <c r="AN9" s="24"/>
      <c r="AO9" s="24"/>
      <c r="AP9" s="24"/>
      <c r="AQ9" s="24"/>
      <c r="AR9" s="24"/>
    </row>
    <row r="10" spans="1:44" ht="19.5">
      <c r="A10" s="37" t="s">
        <v>52</v>
      </c>
      <c r="B10" s="72">
        <v>1484000</v>
      </c>
      <c r="C10" s="24"/>
      <c r="D10" s="47" t="s">
        <v>39</v>
      </c>
      <c r="E10" s="48">
        <v>37274000</v>
      </c>
      <c r="F10" s="24"/>
      <c r="G10" s="27"/>
      <c r="H10" s="28"/>
      <c r="I10" s="28"/>
      <c r="J10" s="28"/>
      <c r="K10" s="28"/>
      <c r="L10" s="28"/>
      <c r="M10" s="28"/>
      <c r="N10" s="28"/>
      <c r="O10" s="28"/>
      <c r="P10" s="28"/>
      <c r="Q10" s="28"/>
      <c r="R10" s="28"/>
      <c r="S10" s="28"/>
      <c r="T10" s="29"/>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row>
    <row r="11" spans="1:44" ht="19.5">
      <c r="A11" s="38" t="s">
        <v>51</v>
      </c>
      <c r="B11" s="73">
        <v>1062000</v>
      </c>
      <c r="C11" s="24"/>
      <c r="D11" s="24"/>
      <c r="E11" s="24"/>
      <c r="F11" s="24"/>
      <c r="G11" s="30"/>
      <c r="H11" s="31"/>
      <c r="I11" s="31"/>
      <c r="J11" s="31"/>
      <c r="K11" s="31"/>
      <c r="L11" s="31"/>
      <c r="M11" s="31"/>
      <c r="N11" s="31"/>
      <c r="O11" s="31"/>
      <c r="P11" s="31"/>
      <c r="Q11" s="31"/>
      <c r="R11" s="31"/>
      <c r="S11" s="31"/>
      <c r="T11" s="32"/>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row>
    <row r="12" spans="1:44" ht="19.5">
      <c r="A12" s="38" t="s">
        <v>56</v>
      </c>
      <c r="B12" s="73">
        <v>1453000</v>
      </c>
      <c r="C12" s="24"/>
      <c r="D12" s="43" t="s">
        <v>0</v>
      </c>
      <c r="E12" s="44" t="s">
        <v>79</v>
      </c>
      <c r="F12" s="24"/>
      <c r="G12" s="25"/>
      <c r="H12" s="24"/>
      <c r="I12" s="24"/>
      <c r="J12" s="24"/>
      <c r="K12" s="24"/>
      <c r="L12" s="24"/>
      <c r="M12" s="24"/>
      <c r="N12" s="24"/>
      <c r="O12" s="24"/>
      <c r="P12" s="24"/>
      <c r="Q12" s="24"/>
      <c r="R12" s="24"/>
      <c r="S12" s="24"/>
      <c r="T12" s="26"/>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row>
    <row r="13" spans="1:44" ht="19.5">
      <c r="A13" s="38" t="s">
        <v>60</v>
      </c>
      <c r="B13" s="73">
        <v>1711000</v>
      </c>
      <c r="C13" s="24"/>
      <c r="F13" s="24"/>
      <c r="G13" s="25"/>
      <c r="H13" s="24"/>
      <c r="I13" s="24"/>
      <c r="J13" s="24"/>
      <c r="K13" s="24"/>
      <c r="L13" s="24"/>
      <c r="M13" s="24"/>
      <c r="N13" s="24"/>
      <c r="O13" s="24"/>
      <c r="P13" s="24"/>
      <c r="Q13" s="24"/>
      <c r="R13" s="24"/>
      <c r="S13" s="24"/>
      <c r="T13" s="26"/>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row>
    <row r="14" spans="1:44" ht="19.5">
      <c r="A14" s="38" t="s">
        <v>58</v>
      </c>
      <c r="B14" s="73">
        <v>1166000</v>
      </c>
      <c r="C14" s="24"/>
      <c r="D14" s="35" t="s">
        <v>78</v>
      </c>
      <c r="E14" s="40"/>
      <c r="F14" s="24"/>
      <c r="G14" s="25"/>
      <c r="H14" s="24"/>
      <c r="I14" s="24"/>
      <c r="J14" s="24"/>
      <c r="K14" s="24"/>
      <c r="L14" s="24"/>
      <c r="M14" s="24"/>
      <c r="N14" s="24"/>
      <c r="O14" s="24"/>
      <c r="P14" s="24"/>
      <c r="Q14" s="24"/>
      <c r="R14" s="24"/>
      <c r="S14" s="24"/>
      <c r="T14" s="26"/>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row>
    <row r="15" spans="1:44" ht="19.5">
      <c r="A15" s="38" t="s">
        <v>57</v>
      </c>
      <c r="B15" s="73">
        <v>1564000</v>
      </c>
      <c r="C15" s="24"/>
      <c r="D15" s="41" t="s">
        <v>63</v>
      </c>
      <c r="E15" s="42" t="s">
        <v>62</v>
      </c>
      <c r="F15" s="24"/>
      <c r="G15" s="25"/>
      <c r="H15" s="24"/>
      <c r="I15" s="24"/>
      <c r="J15" s="24"/>
      <c r="K15" s="24"/>
      <c r="L15" s="24"/>
      <c r="M15" s="24"/>
      <c r="N15" s="24"/>
      <c r="O15" s="24"/>
      <c r="P15" s="24"/>
      <c r="Q15" s="24"/>
      <c r="R15" s="24"/>
      <c r="S15" s="24"/>
      <c r="T15" s="26"/>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row>
    <row r="16" spans="1:44" ht="19.5">
      <c r="A16" s="38" t="s">
        <v>53</v>
      </c>
      <c r="B16" s="73">
        <v>1930000</v>
      </c>
      <c r="C16" s="24"/>
      <c r="D16" s="75">
        <v>1854</v>
      </c>
      <c r="E16" s="76">
        <v>50517000</v>
      </c>
      <c r="F16" s="24"/>
      <c r="G16" s="25"/>
      <c r="H16" s="24"/>
      <c r="I16" s="24"/>
      <c r="J16" s="24"/>
      <c r="K16" s="24"/>
      <c r="L16" s="24"/>
      <c r="M16" s="24"/>
      <c r="N16" s="24"/>
      <c r="O16" s="24"/>
      <c r="P16" s="24"/>
      <c r="Q16" s="24"/>
      <c r="R16" s="24"/>
      <c r="S16" s="24"/>
      <c r="T16" s="26"/>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row>
    <row r="17" spans="1:44" ht="19.5">
      <c r="A17" s="38" t="s">
        <v>54</v>
      </c>
      <c r="B17" s="73">
        <v>1683000</v>
      </c>
      <c r="C17" s="24"/>
      <c r="D17" s="24"/>
      <c r="E17" s="24"/>
      <c r="F17" s="24"/>
      <c r="G17" s="25"/>
      <c r="H17" s="24"/>
      <c r="I17" s="24"/>
      <c r="J17" s="24"/>
      <c r="K17" s="24"/>
      <c r="L17" s="24"/>
      <c r="M17" s="24"/>
      <c r="N17" s="24"/>
      <c r="O17" s="24"/>
      <c r="P17" s="24"/>
      <c r="Q17" s="24"/>
      <c r="R17" s="24"/>
      <c r="S17" s="24"/>
      <c r="T17" s="26"/>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row>
    <row r="18" spans="1:44" ht="19.5">
      <c r="A18" s="38" t="s">
        <v>61</v>
      </c>
      <c r="B18" s="73">
        <v>1799000</v>
      </c>
      <c r="C18" s="24"/>
      <c r="D18" s="24"/>
      <c r="E18" s="24"/>
      <c r="F18" s="24"/>
      <c r="G18" s="25"/>
      <c r="H18" s="24"/>
      <c r="I18" s="24"/>
      <c r="J18" s="24"/>
      <c r="K18" s="24"/>
      <c r="L18" s="24"/>
      <c r="M18" s="24"/>
      <c r="N18" s="24"/>
      <c r="O18" s="24"/>
      <c r="P18" s="24"/>
      <c r="Q18" s="24"/>
      <c r="R18" s="24"/>
      <c r="S18" s="24"/>
      <c r="T18" s="26"/>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row>
    <row r="19" spans="1:44" ht="19.5">
      <c r="A19" s="38" t="s">
        <v>55</v>
      </c>
      <c r="B19" s="73">
        <v>1513000</v>
      </c>
      <c r="C19" s="24"/>
      <c r="D19" s="24"/>
      <c r="E19" s="24"/>
      <c r="F19" s="24"/>
      <c r="G19" s="25"/>
      <c r="H19" s="24"/>
      <c r="I19" s="24"/>
      <c r="J19" s="24"/>
      <c r="K19" s="24"/>
      <c r="L19" s="24"/>
      <c r="M19" s="24"/>
      <c r="N19" s="24"/>
      <c r="O19" s="24"/>
      <c r="P19" s="24"/>
      <c r="Q19" s="24"/>
      <c r="R19" s="24"/>
      <c r="S19" s="24"/>
      <c r="T19" s="26"/>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row>
    <row r="20" spans="1:44" ht="19.5">
      <c r="A20" s="38" t="s">
        <v>50</v>
      </c>
      <c r="B20" s="73">
        <v>2058000</v>
      </c>
      <c r="C20" s="24"/>
      <c r="D20" s="24"/>
      <c r="E20" s="24"/>
      <c r="F20" s="24"/>
      <c r="G20" s="25"/>
      <c r="H20" s="24"/>
      <c r="I20" s="24"/>
      <c r="J20" s="24"/>
      <c r="K20" s="24"/>
      <c r="L20" s="24"/>
      <c r="M20" s="24"/>
      <c r="N20" s="24"/>
      <c r="O20" s="24"/>
      <c r="P20" s="24"/>
      <c r="Q20" s="24"/>
      <c r="R20" s="24"/>
      <c r="S20" s="24"/>
      <c r="T20" s="26"/>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row>
    <row r="21" spans="1:44" ht="19.5">
      <c r="A21" s="38" t="s">
        <v>59</v>
      </c>
      <c r="B21" s="73">
        <v>1416000</v>
      </c>
      <c r="C21" s="24"/>
      <c r="D21" s="24"/>
      <c r="E21" s="24"/>
      <c r="F21" s="24"/>
      <c r="G21" s="25"/>
      <c r="H21" s="24"/>
      <c r="I21" s="24"/>
      <c r="J21" s="24"/>
      <c r="K21" s="24"/>
      <c r="L21" s="24"/>
      <c r="M21" s="24"/>
      <c r="N21" s="24"/>
      <c r="O21" s="24"/>
      <c r="P21" s="24"/>
      <c r="Q21" s="24"/>
      <c r="R21" s="24"/>
      <c r="S21" s="24"/>
      <c r="T21" s="26"/>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row>
    <row r="22" spans="1:44" ht="19.5">
      <c r="A22" s="38" t="s">
        <v>24</v>
      </c>
      <c r="B22" s="73">
        <v>1217000</v>
      </c>
      <c r="C22" s="24"/>
      <c r="D22" s="24"/>
      <c r="E22" s="24"/>
      <c r="F22" s="24"/>
      <c r="G22" s="25"/>
      <c r="H22" s="24"/>
      <c r="I22" s="24"/>
      <c r="J22" s="24"/>
      <c r="K22" s="24"/>
      <c r="L22" s="24"/>
      <c r="M22" s="24"/>
      <c r="N22" s="24"/>
      <c r="O22" s="24"/>
      <c r="P22" s="24"/>
      <c r="Q22" s="24"/>
      <c r="R22" s="24"/>
      <c r="S22" s="24"/>
      <c r="T22" s="26"/>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row>
    <row r="23" spans="1:44" ht="19.5">
      <c r="A23" s="38" t="s">
        <v>17</v>
      </c>
      <c r="B23" s="73">
        <v>1734000</v>
      </c>
      <c r="C23" s="24"/>
      <c r="D23" s="24"/>
      <c r="E23" s="24"/>
      <c r="F23" s="24"/>
      <c r="G23" s="25"/>
      <c r="H23" s="24"/>
      <c r="I23" s="24"/>
      <c r="J23" s="24"/>
      <c r="K23" s="24"/>
      <c r="L23" s="24"/>
      <c r="M23" s="24"/>
      <c r="N23" s="24"/>
      <c r="O23" s="24"/>
      <c r="P23" s="24"/>
      <c r="Q23" s="24"/>
      <c r="R23" s="24"/>
      <c r="S23" s="24"/>
      <c r="T23" s="26"/>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row>
    <row r="24" spans="1:44" ht="19.5">
      <c r="A24" s="38" t="s">
        <v>27</v>
      </c>
      <c r="B24" s="73">
        <v>1087000</v>
      </c>
      <c r="C24" s="24"/>
      <c r="D24" s="24"/>
      <c r="E24" s="24"/>
      <c r="F24" s="24"/>
      <c r="G24" s="25"/>
      <c r="H24" s="24"/>
      <c r="I24" s="24"/>
      <c r="J24" s="24"/>
      <c r="K24" s="24"/>
      <c r="L24" s="24"/>
      <c r="M24" s="24"/>
      <c r="N24" s="24"/>
      <c r="O24" s="24"/>
      <c r="P24" s="24"/>
      <c r="Q24" s="24"/>
      <c r="R24" s="24"/>
      <c r="S24" s="24"/>
      <c r="T24" s="26"/>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row>
    <row r="25" spans="1:44" ht="19.5">
      <c r="A25" s="38" t="s">
        <v>22</v>
      </c>
      <c r="B25" s="73">
        <v>1617000</v>
      </c>
      <c r="C25" s="24"/>
      <c r="D25" s="24"/>
      <c r="E25" s="24"/>
      <c r="F25" s="24"/>
      <c r="G25" s="25"/>
      <c r="H25" s="24"/>
      <c r="I25" s="24"/>
      <c r="J25" s="24"/>
      <c r="K25" s="24"/>
      <c r="L25" s="24"/>
      <c r="M25" s="24"/>
      <c r="N25" s="24"/>
      <c r="O25" s="24"/>
      <c r="P25" s="24"/>
      <c r="Q25" s="24"/>
      <c r="R25" s="24"/>
      <c r="S25" s="24"/>
      <c r="T25" s="26"/>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row>
    <row r="26" spans="1:44" ht="19.5">
      <c r="A26" s="38" t="s">
        <v>6</v>
      </c>
      <c r="B26" s="73">
        <v>1620000</v>
      </c>
      <c r="C26" s="24"/>
      <c r="D26" s="24"/>
      <c r="E26" s="24"/>
      <c r="F26" s="24"/>
      <c r="G26" s="25"/>
      <c r="H26" s="24"/>
      <c r="I26" s="24"/>
      <c r="J26" s="24"/>
      <c r="K26" s="24"/>
      <c r="L26" s="24"/>
      <c r="M26" s="24"/>
      <c r="N26" s="24"/>
      <c r="O26" s="24"/>
      <c r="P26" s="24"/>
      <c r="Q26" s="24"/>
      <c r="R26" s="24"/>
      <c r="S26" s="24"/>
      <c r="T26" s="26"/>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row>
    <row r="27" spans="1:44" ht="19.5">
      <c r="A27" s="38" t="s">
        <v>25</v>
      </c>
      <c r="B27" s="73">
        <v>1640000</v>
      </c>
      <c r="C27" s="24"/>
      <c r="D27" s="24"/>
      <c r="E27" s="24"/>
      <c r="F27" s="24"/>
      <c r="G27" s="25"/>
      <c r="H27" s="24"/>
      <c r="I27" s="24"/>
      <c r="J27" s="24"/>
      <c r="K27" s="24"/>
      <c r="L27" s="24"/>
      <c r="M27" s="24"/>
      <c r="N27" s="24"/>
      <c r="O27" s="24"/>
      <c r="P27" s="24"/>
      <c r="Q27" s="24"/>
      <c r="R27" s="24"/>
      <c r="S27" s="24"/>
      <c r="T27" s="26"/>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row>
    <row r="28" spans="1:44" ht="19.5">
      <c r="A28" s="38" t="s">
        <v>21</v>
      </c>
      <c r="B28" s="73">
        <v>1898000</v>
      </c>
      <c r="C28" s="24"/>
      <c r="D28" s="24"/>
      <c r="E28" s="24"/>
      <c r="F28" s="24"/>
      <c r="G28" s="25"/>
      <c r="H28" s="24"/>
      <c r="I28" s="24"/>
      <c r="J28" s="24"/>
      <c r="K28" s="24"/>
      <c r="L28" s="24"/>
      <c r="M28" s="24"/>
      <c r="N28" s="24"/>
      <c r="O28" s="24"/>
      <c r="P28" s="24"/>
      <c r="Q28" s="24"/>
      <c r="R28" s="24"/>
      <c r="S28" s="24"/>
      <c r="T28" s="26"/>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row>
    <row r="29" spans="1:44" ht="19.5">
      <c r="A29" s="38" t="s">
        <v>10</v>
      </c>
      <c r="B29" s="73">
        <v>1592000</v>
      </c>
      <c r="C29" s="24"/>
      <c r="D29" s="24"/>
      <c r="E29" s="24"/>
      <c r="F29" s="24"/>
      <c r="G29" s="25"/>
      <c r="H29" s="24"/>
      <c r="I29" s="24"/>
      <c r="J29" s="24"/>
      <c r="K29" s="24"/>
      <c r="L29" s="24"/>
      <c r="M29" s="24"/>
      <c r="N29" s="24"/>
      <c r="O29" s="24"/>
      <c r="P29" s="24"/>
      <c r="Q29" s="24"/>
      <c r="R29" s="24"/>
      <c r="S29" s="24"/>
      <c r="T29" s="26"/>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row>
    <row r="30" spans="1:44" ht="19.5">
      <c r="A30" s="38" t="s">
        <v>26</v>
      </c>
      <c r="B30" s="73">
        <v>1384000</v>
      </c>
      <c r="C30" s="24"/>
      <c r="D30" s="24"/>
      <c r="E30" s="24"/>
      <c r="F30" s="24"/>
      <c r="G30" s="25"/>
      <c r="H30" s="24"/>
      <c r="I30" s="24"/>
      <c r="J30" s="24"/>
      <c r="K30" s="24"/>
      <c r="L30" s="24"/>
      <c r="M30" s="24"/>
      <c r="N30" s="24"/>
      <c r="O30" s="24"/>
      <c r="P30" s="24"/>
      <c r="Q30" s="24"/>
      <c r="R30" s="24"/>
      <c r="S30" s="24"/>
      <c r="T30" s="26"/>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row>
    <row r="31" spans="1:44" ht="19.5">
      <c r="A31" s="38" t="s">
        <v>29</v>
      </c>
      <c r="B31" s="73">
        <v>1491000</v>
      </c>
      <c r="C31" s="24"/>
      <c r="D31" s="24"/>
      <c r="E31" s="24"/>
      <c r="F31" s="24"/>
      <c r="G31" s="25"/>
      <c r="H31" s="24"/>
      <c r="I31" s="24"/>
      <c r="J31" s="24"/>
      <c r="K31" s="24"/>
      <c r="L31" s="24"/>
      <c r="M31" s="24"/>
      <c r="N31" s="24"/>
      <c r="O31" s="24"/>
      <c r="P31" s="24"/>
      <c r="Q31" s="24"/>
      <c r="R31" s="24"/>
      <c r="S31" s="24"/>
      <c r="T31" s="26"/>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row>
    <row r="32" spans="1:44" ht="19.5">
      <c r="A32" s="38" t="s">
        <v>31</v>
      </c>
      <c r="B32" s="73">
        <v>1763000</v>
      </c>
      <c r="C32" s="24"/>
      <c r="D32" s="24"/>
      <c r="E32" s="24"/>
      <c r="F32" s="24"/>
      <c r="G32" s="25"/>
      <c r="H32" s="24"/>
      <c r="I32" s="24"/>
      <c r="J32" s="24"/>
      <c r="K32" s="24"/>
      <c r="L32" s="24"/>
      <c r="M32" s="24"/>
      <c r="N32" s="24"/>
      <c r="O32" s="24"/>
      <c r="P32" s="24"/>
      <c r="Q32" s="24"/>
      <c r="R32" s="24"/>
      <c r="S32" s="24"/>
      <c r="T32" s="26"/>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row>
    <row r="33" spans="1:44" ht="19.5">
      <c r="A33" s="38" t="s">
        <v>23</v>
      </c>
      <c r="B33" s="73">
        <v>1802000</v>
      </c>
      <c r="C33" s="24"/>
      <c r="D33" s="24"/>
      <c r="E33" s="24"/>
      <c r="F33" s="24"/>
      <c r="G33" s="25"/>
      <c r="H33" s="24"/>
      <c r="I33" s="24"/>
      <c r="J33" s="24"/>
      <c r="K33" s="24"/>
      <c r="L33" s="24"/>
      <c r="M33" s="24"/>
      <c r="N33" s="24"/>
      <c r="O33" s="24"/>
      <c r="P33" s="24"/>
      <c r="Q33" s="24"/>
      <c r="R33" s="24"/>
      <c r="S33" s="24"/>
      <c r="T33" s="26"/>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row>
    <row r="34" spans="1:44" ht="19.5">
      <c r="A34" s="38" t="s">
        <v>30</v>
      </c>
      <c r="B34" s="73">
        <v>2493000</v>
      </c>
      <c r="C34" s="24"/>
      <c r="D34" s="24"/>
      <c r="E34" s="24"/>
      <c r="F34" s="24"/>
      <c r="G34" s="25"/>
      <c r="H34" s="24"/>
      <c r="I34" s="24"/>
      <c r="J34" s="24"/>
      <c r="K34" s="24"/>
      <c r="L34" s="24"/>
      <c r="M34" s="24"/>
      <c r="N34" s="24"/>
      <c r="O34" s="24"/>
      <c r="P34" s="24"/>
      <c r="Q34" s="24"/>
      <c r="R34" s="24"/>
      <c r="S34" s="24"/>
      <c r="T34" s="26"/>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row>
    <row r="35" spans="1:44" ht="19.5">
      <c r="A35" s="38" t="s">
        <v>20</v>
      </c>
      <c r="B35" s="73">
        <v>2047000</v>
      </c>
      <c r="C35" s="24"/>
      <c r="D35" s="24"/>
      <c r="E35" s="24"/>
      <c r="F35" s="24"/>
      <c r="G35" s="25"/>
      <c r="H35" s="24"/>
      <c r="I35" s="24"/>
      <c r="J35" s="24"/>
      <c r="K35" s="24"/>
      <c r="L35" s="24"/>
      <c r="M35" s="24"/>
      <c r="N35" s="24"/>
      <c r="O35" s="24"/>
      <c r="P35" s="24"/>
      <c r="Q35" s="24"/>
      <c r="R35" s="24"/>
      <c r="S35" s="24"/>
      <c r="T35" s="26"/>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row>
    <row r="36" spans="1:44" ht="19.5">
      <c r="A36" s="38" t="s">
        <v>19</v>
      </c>
      <c r="B36" s="73">
        <v>2711000</v>
      </c>
      <c r="C36" s="24"/>
      <c r="D36" s="24"/>
      <c r="E36" s="24"/>
      <c r="F36" s="24"/>
      <c r="G36" s="25"/>
      <c r="H36" s="24"/>
      <c r="I36" s="24"/>
      <c r="J36" s="24"/>
      <c r="K36" s="24"/>
      <c r="L36" s="24"/>
      <c r="M36" s="24"/>
      <c r="N36" s="24"/>
      <c r="O36" s="24"/>
      <c r="P36" s="24"/>
      <c r="Q36" s="24"/>
      <c r="R36" s="24"/>
      <c r="S36" s="24"/>
      <c r="T36" s="26"/>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row>
    <row r="37" spans="1:44" ht="19.5">
      <c r="A37" s="38" t="s">
        <v>32</v>
      </c>
      <c r="B37" s="73">
        <v>2379000</v>
      </c>
      <c r="C37" s="24"/>
      <c r="D37" s="24"/>
      <c r="E37" s="24"/>
      <c r="F37" s="24"/>
      <c r="G37" s="25"/>
      <c r="H37" s="24"/>
      <c r="I37" s="24"/>
      <c r="J37" s="24"/>
      <c r="K37" s="24"/>
      <c r="L37" s="24"/>
      <c r="M37" s="24"/>
      <c r="N37" s="24"/>
      <c r="O37" s="24"/>
      <c r="P37" s="24"/>
      <c r="Q37" s="24"/>
      <c r="R37" s="24"/>
      <c r="S37" s="24"/>
      <c r="T37" s="26"/>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row>
    <row r="38" spans="1:44" ht="19.5">
      <c r="A38" s="38" t="s">
        <v>18</v>
      </c>
      <c r="B38" s="73">
        <v>1361000</v>
      </c>
      <c r="C38" s="24"/>
      <c r="D38" s="24"/>
      <c r="E38" s="24"/>
      <c r="F38" s="24"/>
      <c r="G38" s="25"/>
      <c r="H38" s="24"/>
      <c r="I38" s="24"/>
      <c r="J38" s="24"/>
      <c r="K38" s="24"/>
      <c r="L38" s="24"/>
      <c r="M38" s="24"/>
      <c r="N38" s="24"/>
      <c r="O38" s="24"/>
      <c r="P38" s="24"/>
      <c r="Q38" s="24"/>
      <c r="R38" s="24"/>
      <c r="S38" s="24"/>
      <c r="T38" s="26"/>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row>
    <row r="39" spans="1:44" ht="19.5">
      <c r="A39" s="38" t="s">
        <v>28</v>
      </c>
      <c r="B39" s="73">
        <v>1842000</v>
      </c>
      <c r="C39" s="24"/>
      <c r="D39" s="24"/>
      <c r="E39" s="24"/>
      <c r="F39" s="24"/>
      <c r="G39" s="25"/>
      <c r="H39" s="24"/>
      <c r="I39" s="24"/>
      <c r="J39" s="24"/>
      <c r="K39" s="24"/>
      <c r="L39" s="24"/>
      <c r="M39" s="24"/>
      <c r="N39" s="24"/>
      <c r="O39" s="24"/>
      <c r="P39" s="24"/>
      <c r="Q39" s="24"/>
      <c r="R39" s="24"/>
      <c r="S39" s="24"/>
      <c r="T39" s="26"/>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row>
    <row r="40" spans="1:44" ht="19.5">
      <c r="A40" s="39" t="s">
        <v>77</v>
      </c>
      <c r="B40" s="74"/>
      <c r="C40" s="24"/>
      <c r="D40" s="24"/>
      <c r="E40" s="24"/>
      <c r="F40" s="24"/>
      <c r="G40" s="25"/>
      <c r="H40" s="24"/>
      <c r="I40" s="24"/>
      <c r="J40" s="24"/>
      <c r="K40" s="24"/>
      <c r="L40" s="24"/>
      <c r="M40" s="24"/>
      <c r="N40" s="24"/>
      <c r="O40" s="24"/>
      <c r="P40" s="24"/>
      <c r="Q40" s="24"/>
      <c r="R40" s="24"/>
      <c r="S40" s="24"/>
      <c r="T40" s="26"/>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row>
    <row r="41" spans="1:44" ht="19.5">
      <c r="A41" s="24"/>
      <c r="B41" s="24"/>
      <c r="C41" s="24"/>
      <c r="D41" s="24"/>
      <c r="E41" s="24"/>
      <c r="F41" s="24"/>
      <c r="G41" s="27"/>
      <c r="H41" s="28"/>
      <c r="I41" s="28"/>
      <c r="J41" s="28"/>
      <c r="K41" s="28"/>
      <c r="L41" s="28"/>
      <c r="M41" s="28"/>
      <c r="N41" s="28"/>
      <c r="O41" s="28"/>
      <c r="P41" s="28"/>
      <c r="Q41" s="28"/>
      <c r="R41" s="28"/>
      <c r="S41" s="28"/>
      <c r="T41" s="29"/>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row>
    <row r="42" spans="1:44" ht="34.5" thickTop="1" thickBot="1">
      <c r="A42" s="24"/>
      <c r="B42" s="24"/>
      <c r="C42" s="24"/>
      <c r="D42" s="24"/>
      <c r="E42" s="24"/>
      <c r="F42" s="24"/>
      <c r="G42" s="68" t="s">
        <v>68</v>
      </c>
      <c r="H42" s="69"/>
      <c r="I42" s="69"/>
      <c r="J42" s="69"/>
      <c r="K42" s="69"/>
      <c r="L42" s="69"/>
      <c r="M42" s="69"/>
      <c r="N42" s="69"/>
      <c r="O42" s="69"/>
      <c r="P42" s="69"/>
      <c r="Q42" s="69"/>
      <c r="R42" s="69"/>
      <c r="S42" s="69"/>
      <c r="T42" s="70"/>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row>
    <row r="43" spans="1:44" ht="33.75" thickTop="1">
      <c r="A43" s="24"/>
      <c r="B43" s="24"/>
      <c r="C43" s="24"/>
      <c r="D43" s="24"/>
      <c r="E43" s="24"/>
      <c r="F43" s="24"/>
      <c r="G43" s="33">
        <v>1</v>
      </c>
      <c r="H43" s="77" t="s">
        <v>69</v>
      </c>
      <c r="I43" s="78"/>
      <c r="J43" s="78"/>
      <c r="K43" s="78"/>
      <c r="L43" s="78"/>
      <c r="M43" s="78"/>
      <c r="N43" s="78"/>
      <c r="O43" s="78"/>
      <c r="P43" s="78"/>
      <c r="Q43" s="78"/>
      <c r="R43" s="78"/>
      <c r="S43" s="78"/>
      <c r="T43" s="79"/>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row>
    <row r="44" spans="1:44" ht="33" customHeight="1">
      <c r="A44" s="24"/>
      <c r="B44" s="24"/>
      <c r="C44" s="24"/>
      <c r="D44" s="24"/>
      <c r="E44" s="24"/>
      <c r="F44" s="24"/>
      <c r="G44" s="33">
        <v>2</v>
      </c>
      <c r="H44" s="71" t="s">
        <v>70</v>
      </c>
      <c r="I44" s="80"/>
      <c r="J44" s="80"/>
      <c r="K44" s="80"/>
      <c r="L44" s="80"/>
      <c r="M44" s="80"/>
      <c r="N44" s="80"/>
      <c r="O44" s="80"/>
      <c r="P44" s="80"/>
      <c r="Q44" s="80"/>
      <c r="R44" s="80"/>
      <c r="S44" s="80"/>
      <c r="T44" s="81"/>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row>
    <row r="45" spans="1:44" ht="33" customHeight="1" thickBot="1">
      <c r="A45" s="24"/>
      <c r="B45" s="24"/>
      <c r="C45" s="24"/>
      <c r="D45" s="24"/>
      <c r="E45" s="24"/>
      <c r="F45" s="24"/>
      <c r="G45" s="33">
        <v>3</v>
      </c>
      <c r="H45" s="71" t="s">
        <v>71</v>
      </c>
      <c r="I45" s="57"/>
      <c r="J45" s="57"/>
      <c r="K45" s="57"/>
      <c r="L45" s="57"/>
      <c r="M45" s="57"/>
      <c r="N45" s="57"/>
      <c r="O45" s="57"/>
      <c r="P45" s="57"/>
      <c r="Q45" s="57"/>
      <c r="R45" s="57"/>
      <c r="S45" s="57"/>
      <c r="T45" s="58"/>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row>
    <row r="46" spans="1:44" ht="34.5" thickTop="1" thickBot="1">
      <c r="A46" s="24"/>
      <c r="B46" s="24"/>
      <c r="C46" s="24"/>
      <c r="D46" s="24"/>
      <c r="E46" s="24"/>
      <c r="F46" s="24"/>
      <c r="G46" s="68" t="s">
        <v>72</v>
      </c>
      <c r="H46" s="69"/>
      <c r="I46" s="69"/>
      <c r="J46" s="69"/>
      <c r="K46" s="69"/>
      <c r="L46" s="69"/>
      <c r="M46" s="69"/>
      <c r="N46" s="69"/>
      <c r="O46" s="69"/>
      <c r="P46" s="69"/>
      <c r="Q46" s="69"/>
      <c r="R46" s="69"/>
      <c r="S46" s="69"/>
      <c r="T46" s="70"/>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row>
    <row r="47" spans="1:44" ht="33">
      <c r="A47" s="24"/>
      <c r="B47" s="24"/>
      <c r="C47" s="24"/>
      <c r="D47" s="24"/>
      <c r="E47" s="24"/>
      <c r="F47" s="24"/>
      <c r="G47" s="33">
        <v>1</v>
      </c>
      <c r="H47" s="66" t="s">
        <v>73</v>
      </c>
      <c r="I47" s="57"/>
      <c r="J47" s="57"/>
      <c r="K47" s="57"/>
      <c r="L47" s="57"/>
      <c r="M47" s="57"/>
      <c r="N47" s="57"/>
      <c r="O47" s="57"/>
      <c r="P47" s="57"/>
      <c r="Q47" s="57"/>
      <c r="R47" s="57"/>
      <c r="S47" s="57"/>
      <c r="T47" s="58"/>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row>
    <row r="48" spans="1:44" ht="33">
      <c r="A48" s="24"/>
      <c r="B48" s="24"/>
      <c r="C48" s="24"/>
      <c r="D48" s="24"/>
      <c r="E48" s="24"/>
      <c r="F48" s="24"/>
      <c r="G48" s="33">
        <v>2</v>
      </c>
      <c r="H48" s="66" t="s">
        <v>74</v>
      </c>
      <c r="I48" s="57"/>
      <c r="J48" s="57"/>
      <c r="K48" s="57"/>
      <c r="L48" s="57"/>
      <c r="M48" s="57"/>
      <c r="N48" s="57"/>
      <c r="O48" s="57"/>
      <c r="P48" s="57"/>
      <c r="Q48" s="57"/>
      <c r="R48" s="57"/>
      <c r="S48" s="57"/>
      <c r="T48" s="58"/>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row>
    <row r="49" spans="1:44" ht="33">
      <c r="A49" s="24"/>
      <c r="B49" s="24"/>
      <c r="C49" s="24"/>
      <c r="D49" s="24"/>
      <c r="E49" s="24"/>
      <c r="F49" s="24"/>
      <c r="G49" s="33">
        <v>3</v>
      </c>
      <c r="H49" s="66" t="s">
        <v>75</v>
      </c>
      <c r="I49" s="57"/>
      <c r="J49" s="57"/>
      <c r="K49" s="57"/>
      <c r="L49" s="57"/>
      <c r="M49" s="57"/>
      <c r="N49" s="57"/>
      <c r="O49" s="57"/>
      <c r="P49" s="57"/>
      <c r="Q49" s="57"/>
      <c r="R49" s="57"/>
      <c r="S49" s="57"/>
      <c r="T49" s="58"/>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row>
    <row r="50" spans="1:44" ht="33">
      <c r="A50" s="24"/>
      <c r="B50" s="24"/>
      <c r="C50" s="24"/>
      <c r="D50" s="24"/>
      <c r="E50" s="24"/>
      <c r="F50" s="24"/>
      <c r="G50" s="34">
        <v>4</v>
      </c>
      <c r="H50" s="67" t="s">
        <v>76</v>
      </c>
      <c r="I50" s="60"/>
      <c r="J50" s="60"/>
      <c r="K50" s="60"/>
      <c r="L50" s="60"/>
      <c r="M50" s="60"/>
      <c r="N50" s="60"/>
      <c r="O50" s="60"/>
      <c r="P50" s="60"/>
      <c r="Q50" s="60"/>
      <c r="R50" s="60"/>
      <c r="S50" s="60"/>
      <c r="T50" s="61"/>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row>
    <row r="51" spans="1:44" ht="19.5">
      <c r="A51" s="24"/>
      <c r="B51" s="24"/>
      <c r="C51" s="24"/>
      <c r="D51" s="24"/>
      <c r="E51" s="24"/>
      <c r="F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row>
    <row r="52" spans="1:44" ht="19.5">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row>
    <row r="53" spans="1:44" ht="19.5">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row>
    <row r="54" spans="1:44" ht="19.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row>
    <row r="55" spans="1:44" ht="19.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row>
    <row r="56" spans="1:44" ht="19.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row>
    <row r="57" spans="1:44" ht="19.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row>
    <row r="58" spans="1:44" ht="19.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row>
    <row r="59" spans="1:44" ht="19.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row>
    <row r="60" spans="1:44" ht="19.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row>
    <row r="61" spans="1:44" ht="19.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row>
    <row r="62" spans="1:44" ht="19.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row>
    <row r="63" spans="1:44" ht="19.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row>
    <row r="64" spans="1:44" ht="19.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row>
    <row r="65" spans="1:44" ht="19.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row>
    <row r="66" spans="1:44" ht="19.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row>
    <row r="67" spans="1:44" ht="19.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row>
    <row r="68" spans="1:44" ht="19.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row>
    <row r="69" spans="1:44" ht="19.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row>
    <row r="70" spans="1:44" ht="19.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row>
    <row r="71" spans="1:44" ht="19.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row>
    <row r="72" spans="1:44" ht="19.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row>
    <row r="73" spans="1:44" ht="19.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row>
    <row r="74" spans="1:44" ht="19.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row>
    <row r="75" spans="1:44" ht="19.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row>
    <row r="76" spans="1:44" ht="19.5">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row>
    <row r="77" spans="1:44" ht="19.5">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row>
    <row r="78" spans="1:44" ht="19.5">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row>
    <row r="79" spans="1:44" ht="19.5">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row>
    <row r="80" spans="1:44" ht="19.5">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row>
    <row r="81" spans="1:44" ht="19.5">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row>
    <row r="82" spans="1:44" ht="19.5">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row>
    <row r="83" spans="1:44" ht="19.5">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c r="AK83" s="24"/>
      <c r="AL83" s="24"/>
      <c r="AM83" s="24"/>
      <c r="AN83" s="24"/>
      <c r="AO83" s="24"/>
      <c r="AP83" s="24"/>
      <c r="AQ83" s="24"/>
      <c r="AR83" s="24"/>
    </row>
    <row r="84" spans="1:44" ht="19.5">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c r="AK84" s="24"/>
      <c r="AL84" s="24"/>
      <c r="AM84" s="24"/>
      <c r="AN84" s="24"/>
      <c r="AO84" s="24"/>
      <c r="AP84" s="24"/>
      <c r="AQ84" s="24"/>
      <c r="AR84" s="24"/>
    </row>
    <row r="85" spans="1:44" ht="19.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row>
    <row r="86" spans="1:44" ht="19.5">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row>
    <row r="87" spans="1:44" ht="19.5">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row>
    <row r="88" spans="1:44" ht="19.5">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c r="AK88" s="24"/>
      <c r="AL88" s="24"/>
      <c r="AM88" s="24"/>
      <c r="AN88" s="24"/>
      <c r="AO88" s="24"/>
      <c r="AP88" s="24"/>
      <c r="AQ88" s="24"/>
      <c r="AR88" s="24"/>
    </row>
    <row r="89" spans="1:44" ht="19.5">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c r="AK89" s="24"/>
      <c r="AL89" s="24"/>
      <c r="AM89" s="24"/>
      <c r="AN89" s="24"/>
      <c r="AO89" s="24"/>
      <c r="AP89" s="24"/>
      <c r="AQ89" s="24"/>
      <c r="AR89" s="24"/>
    </row>
    <row r="90" spans="1:44" ht="19.5">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c r="AK90" s="24"/>
      <c r="AL90" s="24"/>
      <c r="AM90" s="24"/>
      <c r="AN90" s="24"/>
      <c r="AO90" s="24"/>
      <c r="AP90" s="24"/>
      <c r="AQ90" s="24"/>
      <c r="AR90" s="24"/>
    </row>
    <row r="91" spans="1:44" ht="19.5">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c r="AL91" s="24"/>
      <c r="AM91" s="24"/>
      <c r="AN91" s="24"/>
      <c r="AO91" s="24"/>
      <c r="AP91" s="24"/>
      <c r="AQ91" s="24"/>
      <c r="AR91" s="24"/>
    </row>
    <row r="92" spans="1:44" ht="19.5">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c r="AK92" s="24"/>
      <c r="AL92" s="24"/>
      <c r="AM92" s="24"/>
      <c r="AN92" s="24"/>
      <c r="AO92" s="24"/>
      <c r="AP92" s="24"/>
      <c r="AQ92" s="24"/>
      <c r="AR92" s="24"/>
    </row>
    <row r="93" spans="1:44" ht="19.5">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c r="AK93" s="24"/>
      <c r="AL93" s="24"/>
      <c r="AM93" s="24"/>
      <c r="AN93" s="24"/>
      <c r="AO93" s="24"/>
      <c r="AP93" s="24"/>
      <c r="AQ93" s="24"/>
      <c r="AR93" s="24"/>
    </row>
    <row r="94" spans="1:44" ht="19.5">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c r="AK94" s="24"/>
      <c r="AL94" s="24"/>
      <c r="AM94" s="24"/>
      <c r="AN94" s="24"/>
      <c r="AO94" s="24"/>
      <c r="AP94" s="24"/>
      <c r="AQ94" s="24"/>
      <c r="AR94" s="24"/>
    </row>
    <row r="95" spans="1:44" ht="1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c r="AK95" s="24"/>
      <c r="AL95" s="24"/>
      <c r="AM95" s="24"/>
      <c r="AN95" s="24"/>
      <c r="AO95" s="24"/>
      <c r="AP95" s="24"/>
      <c r="AQ95" s="24"/>
      <c r="AR95" s="24"/>
    </row>
    <row r="96" spans="1:44" ht="19.5">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row>
    <row r="97" spans="1:44" ht="19.5">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row>
    <row r="98" spans="1:44" ht="19.5">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row>
    <row r="99" spans="1:44" ht="19.5">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c r="AK99" s="24"/>
      <c r="AL99" s="24"/>
      <c r="AM99" s="24"/>
      <c r="AN99" s="24"/>
      <c r="AO99" s="24"/>
      <c r="AP99" s="24"/>
      <c r="AQ99" s="24"/>
      <c r="AR99" s="24"/>
    </row>
    <row r="100" spans="1:44" ht="19.5">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row>
    <row r="101" spans="1:44" ht="19.5">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c r="AK101" s="24"/>
      <c r="AL101" s="24"/>
      <c r="AM101" s="24"/>
      <c r="AN101" s="24"/>
      <c r="AO101" s="24"/>
      <c r="AP101" s="24"/>
      <c r="AQ101" s="24"/>
      <c r="AR101" s="24"/>
    </row>
    <row r="102" spans="1:44" ht="19.5">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c r="AK102" s="24"/>
      <c r="AL102" s="24"/>
      <c r="AM102" s="24"/>
      <c r="AN102" s="24"/>
      <c r="AO102" s="24"/>
      <c r="AP102" s="24"/>
      <c r="AQ102" s="24"/>
      <c r="AR102" s="24"/>
    </row>
    <row r="103" spans="1:44" ht="19.5">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row>
    <row r="104" spans="1:44" ht="19.5">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row>
    <row r="105" spans="1:44" ht="19.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row>
    <row r="106" spans="1:44" ht="19.5">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c r="AK106" s="24"/>
      <c r="AL106" s="24"/>
      <c r="AM106" s="24"/>
      <c r="AN106" s="24"/>
      <c r="AO106" s="24"/>
      <c r="AP106" s="24"/>
      <c r="AQ106" s="24"/>
      <c r="AR106" s="24"/>
    </row>
    <row r="107" spans="1:44" ht="19.5">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row>
    <row r="108" spans="1:44" ht="19.5">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row>
    <row r="109" spans="1:44" ht="19.5">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row>
    <row r="110" spans="1:44" ht="19.5">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c r="AK110" s="24"/>
      <c r="AL110" s="24"/>
      <c r="AM110" s="24"/>
      <c r="AN110" s="24"/>
      <c r="AO110" s="24"/>
      <c r="AP110" s="24"/>
      <c r="AQ110" s="24"/>
      <c r="AR110" s="24"/>
    </row>
    <row r="111" spans="1:44" ht="19.5">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row>
    <row r="112" spans="1:44" ht="19.5">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c r="AK112" s="24"/>
      <c r="AL112" s="24"/>
      <c r="AM112" s="24"/>
      <c r="AN112" s="24"/>
      <c r="AO112" s="24"/>
      <c r="AP112" s="24"/>
      <c r="AQ112" s="24"/>
      <c r="AR112" s="24"/>
    </row>
    <row r="113" spans="1:44" ht="19.5">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c r="AK113" s="24"/>
      <c r="AL113" s="24"/>
      <c r="AM113" s="24"/>
      <c r="AN113" s="24"/>
      <c r="AO113" s="24"/>
      <c r="AP113" s="24"/>
      <c r="AQ113" s="24"/>
      <c r="AR113" s="24"/>
    </row>
    <row r="114" spans="1:44" ht="19.5">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c r="AK114" s="24"/>
      <c r="AL114" s="24"/>
      <c r="AM114" s="24"/>
      <c r="AN114" s="24"/>
      <c r="AO114" s="24"/>
      <c r="AP114" s="24"/>
      <c r="AQ114" s="24"/>
      <c r="AR114" s="24"/>
    </row>
    <row r="115" spans="1:44" ht="19.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c r="AK115" s="24"/>
      <c r="AL115" s="24"/>
      <c r="AM115" s="24"/>
      <c r="AN115" s="24"/>
      <c r="AO115" s="24"/>
      <c r="AP115" s="24"/>
      <c r="AQ115" s="24"/>
      <c r="AR115" s="24"/>
    </row>
    <row r="116" spans="1:44" ht="19.5">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c r="AK116" s="24"/>
      <c r="AL116" s="24"/>
      <c r="AM116" s="24"/>
      <c r="AN116" s="24"/>
      <c r="AO116" s="24"/>
      <c r="AP116" s="24"/>
      <c r="AQ116" s="24"/>
      <c r="AR116" s="24"/>
    </row>
    <row r="117" spans="1:44" ht="19.5">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row>
    <row r="118" spans="1:44" ht="19.5">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c r="AL118" s="24"/>
      <c r="AM118" s="24"/>
      <c r="AN118" s="24"/>
      <c r="AO118" s="24"/>
      <c r="AP118" s="24"/>
      <c r="AQ118" s="24"/>
      <c r="AR118" s="24"/>
    </row>
    <row r="119" spans="1:44" ht="19.5">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c r="AK119" s="24"/>
      <c r="AL119" s="24"/>
      <c r="AM119" s="24"/>
      <c r="AN119" s="24"/>
      <c r="AO119" s="24"/>
      <c r="AP119" s="24"/>
      <c r="AQ119" s="24"/>
      <c r="AR119" s="24"/>
    </row>
    <row r="120" spans="1:44" ht="19.5">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c r="AK120" s="24"/>
      <c r="AL120" s="24"/>
      <c r="AM120" s="24"/>
      <c r="AN120" s="24"/>
      <c r="AO120" s="24"/>
      <c r="AP120" s="24"/>
      <c r="AQ120" s="24"/>
      <c r="AR120" s="24"/>
    </row>
    <row r="121" spans="1:44" ht="19.5">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row>
    <row r="122" spans="1:44" ht="19.5">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row>
    <row r="123" spans="1:44" ht="19.5">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row>
    <row r="124" spans="1:44" ht="19.5">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c r="AQ124" s="24"/>
      <c r="AR124" s="24"/>
    </row>
    <row r="125" spans="1:44" ht="19.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row>
    <row r="126" spans="1:44" ht="19.5">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c r="AQ126" s="24"/>
      <c r="AR126" s="24"/>
    </row>
    <row r="127" spans="1:44" ht="19.5">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c r="AQ127" s="24"/>
      <c r="AR127" s="24"/>
    </row>
    <row r="128" spans="1:44" ht="19.5">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c r="AQ128" s="24"/>
      <c r="AR128" s="24"/>
    </row>
    <row r="129" spans="1:44" ht="19.5">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row>
    <row r="130" spans="1:44" ht="19.5">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row>
    <row r="131" spans="1:44" ht="19.5">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c r="AQ131" s="24"/>
      <c r="AR131" s="24"/>
    </row>
    <row r="132" spans="1:44" ht="19.5">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c r="AQ132" s="24"/>
      <c r="AR132" s="24"/>
    </row>
    <row r="133" spans="1:44" ht="19.5">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c r="AQ133" s="24"/>
      <c r="AR133" s="24"/>
    </row>
    <row r="134" spans="1:44" ht="19.5">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c r="AQ134" s="24"/>
      <c r="AR134" s="24"/>
    </row>
    <row r="135" spans="1:44" ht="19.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c r="AQ135" s="24"/>
      <c r="AR135" s="24"/>
    </row>
    <row r="136" spans="1:44" ht="19.5">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c r="AQ136" s="24"/>
      <c r="AR136" s="24"/>
    </row>
    <row r="137" spans="1:44" ht="19.5">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c r="AK137" s="24"/>
      <c r="AL137" s="24"/>
      <c r="AM137" s="24"/>
      <c r="AN137" s="24"/>
      <c r="AO137" s="24"/>
      <c r="AP137" s="24"/>
      <c r="AQ137" s="24"/>
      <c r="AR137" s="24"/>
    </row>
    <row r="138" spans="1:44" ht="19.5">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c r="AK138" s="24"/>
      <c r="AL138" s="24"/>
      <c r="AM138" s="24"/>
      <c r="AN138" s="24"/>
      <c r="AO138" s="24"/>
      <c r="AP138" s="24"/>
      <c r="AQ138" s="24"/>
      <c r="AR138" s="24"/>
    </row>
    <row r="139" spans="1:44" ht="19.5">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row>
    <row r="140" spans="1:44" ht="19.5">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c r="AK140" s="24"/>
      <c r="AL140" s="24"/>
      <c r="AM140" s="24"/>
      <c r="AN140" s="24"/>
      <c r="AO140" s="24"/>
      <c r="AP140" s="24"/>
      <c r="AQ140" s="24"/>
      <c r="AR140" s="24"/>
    </row>
    <row r="141" spans="1:44" ht="19.5">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c r="AK141" s="24"/>
      <c r="AL141" s="24"/>
      <c r="AM141" s="24"/>
      <c r="AN141" s="24"/>
      <c r="AO141" s="24"/>
      <c r="AP141" s="24"/>
      <c r="AQ141" s="24"/>
      <c r="AR141" s="24"/>
    </row>
    <row r="142" spans="1:44" ht="19.5">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c r="AK142" s="24"/>
      <c r="AL142" s="24"/>
      <c r="AM142" s="24"/>
      <c r="AN142" s="24"/>
      <c r="AO142" s="24"/>
      <c r="AP142" s="24"/>
      <c r="AQ142" s="24"/>
      <c r="AR142" s="24"/>
    </row>
    <row r="143" spans="1:44" ht="19.5">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c r="AK143" s="24"/>
      <c r="AL143" s="24"/>
      <c r="AM143" s="24"/>
      <c r="AN143" s="24"/>
      <c r="AO143" s="24"/>
      <c r="AP143" s="24"/>
      <c r="AQ143" s="24"/>
      <c r="AR143" s="24"/>
    </row>
    <row r="144" spans="1:44" ht="19.5">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c r="AL144" s="24"/>
      <c r="AM144" s="24"/>
      <c r="AN144" s="24"/>
      <c r="AO144" s="24"/>
      <c r="AP144" s="24"/>
      <c r="AQ144" s="24"/>
      <c r="AR144" s="24"/>
    </row>
    <row r="145" spans="1:44" ht="19.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c r="AK145" s="24"/>
      <c r="AL145" s="24"/>
      <c r="AM145" s="24"/>
      <c r="AN145" s="24"/>
      <c r="AO145" s="24"/>
      <c r="AP145" s="24"/>
      <c r="AQ145" s="24"/>
      <c r="AR145" s="24"/>
    </row>
    <row r="146" spans="1:44" ht="19.5">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c r="AK146" s="24"/>
      <c r="AL146" s="24"/>
      <c r="AM146" s="24"/>
      <c r="AN146" s="24"/>
      <c r="AO146" s="24"/>
      <c r="AP146" s="24"/>
      <c r="AQ146" s="24"/>
      <c r="AR146" s="24"/>
    </row>
    <row r="147" spans="1:44" ht="19.5">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c r="AK147" s="24"/>
      <c r="AL147" s="24"/>
      <c r="AM147" s="24"/>
      <c r="AN147" s="24"/>
      <c r="AO147" s="24"/>
      <c r="AP147" s="24"/>
      <c r="AQ147" s="24"/>
      <c r="AR147" s="24"/>
    </row>
    <row r="148" spans="1:44" ht="19.5">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c r="AK148" s="24"/>
      <c r="AL148" s="24"/>
      <c r="AM148" s="24"/>
      <c r="AN148" s="24"/>
      <c r="AO148" s="24"/>
      <c r="AP148" s="24"/>
      <c r="AQ148" s="24"/>
      <c r="AR148" s="24"/>
    </row>
    <row r="149" spans="1:44" ht="19.5">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c r="AK149" s="24"/>
      <c r="AL149" s="24"/>
      <c r="AM149" s="24"/>
      <c r="AN149" s="24"/>
      <c r="AO149" s="24"/>
      <c r="AP149" s="24"/>
      <c r="AQ149" s="24"/>
      <c r="AR149" s="24"/>
    </row>
    <row r="150" spans="1:44" ht="19.5">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c r="AK150" s="24"/>
      <c r="AL150" s="24"/>
      <c r="AM150" s="24"/>
      <c r="AN150" s="24"/>
      <c r="AO150" s="24"/>
      <c r="AP150" s="24"/>
      <c r="AQ150" s="24"/>
      <c r="AR150" s="24"/>
    </row>
    <row r="151" spans="1:44" ht="19.5">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c r="AK151" s="24"/>
      <c r="AL151" s="24"/>
      <c r="AM151" s="24"/>
      <c r="AN151" s="24"/>
      <c r="AO151" s="24"/>
      <c r="AP151" s="24"/>
      <c r="AQ151" s="24"/>
      <c r="AR151" s="24"/>
    </row>
    <row r="152" spans="1:44" ht="19.5">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row>
    <row r="153" spans="1:44" ht="19.5">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row>
    <row r="154" spans="1:44" ht="19.5">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row>
    <row r="155" spans="1:44" ht="19.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row>
    <row r="156" spans="1:44" ht="19.5">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row>
    <row r="157" spans="1:44" ht="19.5">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row>
    <row r="158" spans="1:44" ht="19.5">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row>
    <row r="159" spans="1:44" ht="19.5">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row>
    <row r="160" spans="1:44" ht="19.5">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row>
    <row r="161" spans="1:44" ht="19.5">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row>
    <row r="162" spans="1:44" ht="19.5">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row>
    <row r="163" spans="1:44" ht="19.5">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row>
    <row r="164" spans="1:44" ht="19.5">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row>
    <row r="165" spans="1:44" ht="19.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row>
    <row r="166" spans="1:44" ht="19.5">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row>
    <row r="167" spans="1:44" ht="19.5">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row>
    <row r="168" spans="1:44" ht="19.5">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row>
    <row r="169" spans="1:44" ht="19.5">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row>
    <row r="170" spans="1:44" ht="19.5">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row>
    <row r="171" spans="1:44" ht="19.5">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row>
    <row r="172" spans="1:44" ht="19.5">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row>
    <row r="173" spans="1:44" ht="19.5">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row>
    <row r="174" spans="1:44" ht="19.5">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row>
    <row r="175" spans="1:44" ht="19.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row>
    <row r="176" spans="1:44" ht="19.5">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row>
    <row r="177" spans="1:44" ht="19.5">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row>
    <row r="178" spans="1:44" ht="19.5">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row>
    <row r="179" spans="1:44" ht="19.5">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row>
    <row r="180" spans="1:44" ht="19.5">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row>
    <row r="181" spans="1:44" ht="19.5">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row>
    <row r="182" spans="1:44" ht="19.5">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row>
    <row r="183" spans="1:44" ht="19.5">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row>
    <row r="184" spans="1:44" ht="19.5">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row>
    <row r="185" spans="1:44" ht="19.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row>
    <row r="186" spans="1:44" ht="19.5">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row>
    <row r="187" spans="1:44" ht="19.5">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row>
    <row r="188" spans="1:44" ht="19.5">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row>
    <row r="189" spans="1:44" ht="19.5">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row>
    <row r="190" spans="1:44" ht="19.5">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row>
    <row r="191" spans="1:44" ht="19.5">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row>
    <row r="192" spans="1:44" ht="19.5">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row>
    <row r="193" spans="1:44" ht="19.5">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row>
    <row r="194" spans="1:44" ht="19.5">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row>
    <row r="195" spans="1:44" ht="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row>
    <row r="196" spans="1:44" ht="19.5">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row>
    <row r="197" spans="1:44" ht="19.5">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row>
    <row r="198" spans="1:44" ht="19.5">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row>
    <row r="199" spans="1:44" ht="19.5">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row>
    <row r="200" spans="1:44" ht="19.5">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row>
    <row r="201" spans="1:44" ht="19.5">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row>
    <row r="202" spans="1:44" ht="19.5">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row>
    <row r="203" spans="1:44" ht="19.5">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row>
    <row r="204" spans="1:44" ht="19.5">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row>
    <row r="205" spans="1:44" ht="19.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row>
    <row r="206" spans="1:44" ht="19.5">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row>
    <row r="207" spans="1:44" ht="19.5">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row>
    <row r="208" spans="1:44" ht="19.5">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row>
    <row r="209" spans="1:44" ht="19.5">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row>
    <row r="210" spans="1:44" ht="19.5">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row>
    <row r="211" spans="1:44" ht="19.5">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row>
    <row r="212" spans="1:44" ht="19.5">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row>
    <row r="213" spans="1:44" ht="19.5">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row>
    <row r="214" spans="1:44" ht="19.5">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row>
    <row r="215" spans="1:44" ht="19.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row>
    <row r="216" spans="1:44" ht="19.5">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row>
    <row r="217" spans="1:44" ht="19.5">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row>
    <row r="218" spans="1:44" ht="19.5">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row>
    <row r="219" spans="1:44" ht="19.5">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row>
    <row r="220" spans="1:44" ht="19.5">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row>
    <row r="221" spans="1:44" ht="19.5">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row>
    <row r="222" spans="1:44" ht="19.5">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row>
    <row r="223" spans="1:44" ht="19.5">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row>
    <row r="224" spans="1:44" ht="19.5">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row>
    <row r="225" spans="1:44" ht="19.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row>
    <row r="226" spans="1:44" ht="19.5">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row>
    <row r="227" spans="1:44" ht="19.5">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row>
    <row r="228" spans="1:44" ht="19.5">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row>
    <row r="229" spans="1:44" ht="19.5">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row>
    <row r="230" spans="1:44" ht="19.5">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row>
    <row r="231" spans="1:44" ht="19.5">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row>
    <row r="232" spans="1:44" ht="19.5">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row>
    <row r="233" spans="1:44" ht="19.5">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row>
    <row r="234" spans="1:44" ht="19.5">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row>
    <row r="235" spans="1:44" ht="19.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row>
    <row r="236" spans="1:44" ht="19.5">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row>
    <row r="237" spans="1:44" ht="19.5">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row>
    <row r="238" spans="1:44" ht="19.5">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row>
    <row r="239" spans="1:44" ht="19.5">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row>
    <row r="240" spans="1:44" ht="19.5">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row>
    <row r="241" spans="1:44" ht="19.5">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row>
    <row r="242" spans="1:44" ht="19.5">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row>
    <row r="243" spans="1:44" ht="19.5">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row>
    <row r="244" spans="1:44" ht="19.5">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row>
    <row r="245" spans="1:44" ht="19.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row>
    <row r="246" spans="1:44" ht="19.5">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row>
    <row r="247" spans="1:44" ht="19.5">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row>
    <row r="248" spans="1:44" ht="19.5">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row>
    <row r="249" spans="1:44" ht="19.5">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row>
    <row r="250" spans="1:44" ht="19.5">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row>
    <row r="251" spans="1:44" ht="19.5">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row>
    <row r="252" spans="1:44" ht="19.5">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row>
    <row r="253" spans="1:44" ht="19.5">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row>
    <row r="254" spans="1:44" ht="19.5">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row>
    <row r="255" spans="1:44" ht="19.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row>
    <row r="256" spans="1:44" ht="19.5">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row>
    <row r="257" spans="1:44" ht="19.5">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row>
    <row r="258" spans="1:44" ht="19.5">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row>
    <row r="259" spans="1:44" ht="19.5">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row>
    <row r="260" spans="1:44" ht="19.5">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row>
    <row r="261" spans="1:44" ht="19.5">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row>
    <row r="262" spans="1:44" ht="19.5">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row>
    <row r="263" spans="1:44" ht="19.5">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row>
    <row r="264" spans="1:44" ht="19.5">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row>
    <row r="265" spans="1:44" ht="19.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row>
    <row r="266" spans="1:44" ht="19.5">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row>
    <row r="267" spans="1:44" ht="19.5">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row>
    <row r="268" spans="1:44" ht="19.5">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row>
    <row r="269" spans="1:44" ht="19.5">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row>
    <row r="270" spans="1:44" ht="19.5">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row>
    <row r="271" spans="1:44" ht="19.5">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row>
    <row r="272" spans="1:44" ht="19.5">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row>
    <row r="273" spans="1:44" ht="19.5">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row>
    <row r="274" spans="1:44" ht="19.5">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row>
    <row r="275" spans="1:44" ht="19.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row>
    <row r="276" spans="1:44" ht="19.5">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row>
    <row r="277" spans="1:44" ht="19.5">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row>
    <row r="278" spans="1:44" ht="19.5">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row>
    <row r="279" spans="1:44" ht="19.5">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row>
    <row r="280" spans="1:44" ht="19.5">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row>
    <row r="281" spans="1:44" ht="19.5">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row>
    <row r="282" spans="1:44" ht="19.5">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row>
    <row r="283" spans="1:44" ht="19.5">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row>
    <row r="284" spans="1:44" ht="19.5">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row>
    <row r="285" spans="1:44" ht="19.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row>
    <row r="286" spans="1:44" ht="19.5">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row>
    <row r="287" spans="1:44" ht="19.5">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c r="AK287" s="24"/>
      <c r="AL287" s="24"/>
      <c r="AM287" s="24"/>
      <c r="AN287" s="24"/>
      <c r="AO287" s="24"/>
      <c r="AP287" s="24"/>
      <c r="AQ287" s="24"/>
      <c r="AR287" s="24"/>
    </row>
    <row r="288" spans="1:44" ht="19.5">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c r="AK288" s="24"/>
      <c r="AL288" s="24"/>
      <c r="AM288" s="24"/>
      <c r="AN288" s="24"/>
      <c r="AO288" s="24"/>
      <c r="AP288" s="24"/>
      <c r="AQ288" s="24"/>
      <c r="AR288" s="24"/>
    </row>
    <row r="289" spans="1:44" ht="19.5">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c r="AK289" s="24"/>
      <c r="AL289" s="24"/>
      <c r="AM289" s="24"/>
      <c r="AN289" s="24"/>
      <c r="AO289" s="24"/>
      <c r="AP289" s="24"/>
      <c r="AQ289" s="24"/>
      <c r="AR289" s="24"/>
    </row>
    <row r="290" spans="1:44" ht="19.5">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row>
    <row r="291" spans="1:44" ht="19.5">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row>
    <row r="292" spans="1:44" ht="19.5">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row>
    <row r="293" spans="1:44" ht="19.5">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row>
    <row r="294" spans="1:44" ht="19.5">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row>
    <row r="295" spans="1:44" ht="1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row>
    <row r="296" spans="1:44" ht="19.5">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row>
    <row r="297" spans="1:44" ht="19.5">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4"/>
      <c r="AN297" s="24"/>
      <c r="AO297" s="24"/>
      <c r="AP297" s="24"/>
      <c r="AQ297" s="24"/>
      <c r="AR297" s="24"/>
    </row>
    <row r="298" spans="1:44" ht="19.5">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c r="AK298" s="24"/>
      <c r="AL298" s="24"/>
      <c r="AM298" s="24"/>
      <c r="AN298" s="24"/>
      <c r="AO298" s="24"/>
      <c r="AP298" s="24"/>
      <c r="AQ298" s="24"/>
      <c r="AR298" s="24"/>
    </row>
    <row r="299" spans="1:44" ht="19.5">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c r="AK299" s="24"/>
      <c r="AL299" s="24"/>
      <c r="AM299" s="24"/>
      <c r="AN299" s="24"/>
      <c r="AO299" s="24"/>
      <c r="AP299" s="24"/>
      <c r="AQ299" s="24"/>
      <c r="AR299" s="24"/>
    </row>
    <row r="300" spans="1:44" ht="19.5">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4"/>
      <c r="AN300" s="24"/>
      <c r="AO300" s="24"/>
      <c r="AP300" s="24"/>
      <c r="AQ300" s="24"/>
      <c r="AR300" s="24"/>
    </row>
    <row r="301" spans="1:44" ht="19.5">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c r="AK301" s="24"/>
      <c r="AL301" s="24"/>
      <c r="AM301" s="24"/>
      <c r="AN301" s="24"/>
      <c r="AO301" s="24"/>
      <c r="AP301" s="24"/>
      <c r="AQ301" s="24"/>
      <c r="AR301" s="24"/>
    </row>
    <row r="302" spans="1:44" ht="19.5">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c r="AK302" s="24"/>
      <c r="AL302" s="24"/>
      <c r="AM302" s="24"/>
      <c r="AN302" s="24"/>
      <c r="AO302" s="24"/>
      <c r="AP302" s="24"/>
      <c r="AQ302" s="24"/>
      <c r="AR302" s="24"/>
    </row>
    <row r="303" spans="1:44" ht="19.5">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4"/>
      <c r="AN303" s="24"/>
      <c r="AO303" s="24"/>
      <c r="AP303" s="24"/>
      <c r="AQ303" s="24"/>
      <c r="AR303" s="24"/>
    </row>
    <row r="304" spans="1:44" ht="19.5">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c r="AK304" s="24"/>
      <c r="AL304" s="24"/>
      <c r="AM304" s="24"/>
      <c r="AN304" s="24"/>
      <c r="AO304" s="24"/>
      <c r="AP304" s="24"/>
      <c r="AQ304" s="24"/>
      <c r="AR304" s="24"/>
    </row>
    <row r="305" spans="1:44" ht="19.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4"/>
      <c r="AN305" s="24"/>
      <c r="AO305" s="24"/>
      <c r="AP305" s="24"/>
      <c r="AQ305" s="24"/>
      <c r="AR305" s="24"/>
    </row>
    <row r="306" spans="1:44" ht="19.5">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row>
    <row r="307" spans="1:44" ht="19.5">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c r="AK307" s="24"/>
      <c r="AL307" s="24"/>
      <c r="AM307" s="24"/>
      <c r="AN307" s="24"/>
      <c r="AO307" s="24"/>
      <c r="AP307" s="24"/>
      <c r="AQ307" s="24"/>
      <c r="AR307" s="24"/>
    </row>
    <row r="308" spans="1:44" ht="19.5">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c r="AK308" s="24"/>
      <c r="AL308" s="24"/>
      <c r="AM308" s="24"/>
      <c r="AN308" s="24"/>
      <c r="AO308" s="24"/>
      <c r="AP308" s="24"/>
      <c r="AQ308" s="24"/>
      <c r="AR308" s="24"/>
    </row>
    <row r="309" spans="1:44" ht="19.5">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c r="AK309" s="24"/>
      <c r="AL309" s="24"/>
      <c r="AM309" s="24"/>
      <c r="AN309" s="24"/>
      <c r="AO309" s="24"/>
      <c r="AP309" s="24"/>
      <c r="AQ309" s="24"/>
      <c r="AR309" s="24"/>
    </row>
    <row r="310" spans="1:44" ht="19.5">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4"/>
      <c r="AN310" s="24"/>
      <c r="AO310" s="24"/>
      <c r="AP310" s="24"/>
      <c r="AQ310" s="24"/>
      <c r="AR310" s="24"/>
    </row>
    <row r="311" spans="1:44" ht="19.5">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24"/>
      <c r="AR311" s="24"/>
    </row>
    <row r="312" spans="1:44" ht="19.5">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row>
    <row r="313" spans="1:44" ht="19.5">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c r="AK313" s="24"/>
      <c r="AL313" s="24"/>
      <c r="AM313" s="24"/>
      <c r="AN313" s="24"/>
      <c r="AO313" s="24"/>
      <c r="AP313" s="24"/>
      <c r="AQ313" s="24"/>
      <c r="AR313" s="24"/>
    </row>
    <row r="314" spans="1:44" ht="19.5">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c r="AK314" s="24"/>
      <c r="AL314" s="24"/>
      <c r="AM314" s="24"/>
      <c r="AN314" s="24"/>
      <c r="AO314" s="24"/>
      <c r="AP314" s="24"/>
      <c r="AQ314" s="24"/>
      <c r="AR314" s="24"/>
    </row>
    <row r="315" spans="1:44" ht="19.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row>
    <row r="316" spans="1:44" ht="19.5">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4"/>
      <c r="AN316" s="24"/>
      <c r="AO316" s="24"/>
      <c r="AP316" s="24"/>
      <c r="AQ316" s="24"/>
      <c r="AR316" s="24"/>
    </row>
    <row r="317" spans="1:44" ht="19.5">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c r="AK317" s="24"/>
      <c r="AL317" s="24"/>
      <c r="AM317" s="24"/>
      <c r="AN317" s="24"/>
      <c r="AO317" s="24"/>
      <c r="AP317" s="24"/>
      <c r="AQ317" s="24"/>
      <c r="AR317" s="24"/>
    </row>
    <row r="318" spans="1:44" ht="19.5">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4"/>
      <c r="AN318" s="24"/>
      <c r="AO318" s="24"/>
      <c r="AP318" s="24"/>
      <c r="AQ318" s="24"/>
      <c r="AR318" s="24"/>
    </row>
    <row r="319" spans="1:44" ht="19.5">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c r="AL319" s="24"/>
      <c r="AM319" s="24"/>
      <c r="AN319" s="24"/>
      <c r="AO319" s="24"/>
      <c r="AP319" s="24"/>
      <c r="AQ319" s="24"/>
      <c r="AR319" s="24"/>
    </row>
    <row r="320" spans="1:44" ht="19.5">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c r="AK320" s="24"/>
      <c r="AL320" s="24"/>
      <c r="AM320" s="24"/>
      <c r="AN320" s="24"/>
      <c r="AO320" s="24"/>
      <c r="AP320" s="24"/>
      <c r="AQ320" s="24"/>
      <c r="AR320" s="24"/>
    </row>
    <row r="321" spans="1:44" ht="19.5">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row>
    <row r="322" spans="1:44" ht="19.5">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4"/>
      <c r="AN322" s="24"/>
      <c r="AO322" s="24"/>
      <c r="AP322" s="24"/>
      <c r="AQ322" s="24"/>
      <c r="AR322" s="24"/>
    </row>
    <row r="323" spans="1:44" ht="19.5">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c r="AK323" s="24"/>
      <c r="AL323" s="24"/>
      <c r="AM323" s="24"/>
      <c r="AN323" s="24"/>
      <c r="AO323" s="24"/>
      <c r="AP323" s="24"/>
      <c r="AQ323" s="24"/>
      <c r="AR323" s="24"/>
    </row>
    <row r="324" spans="1:44" ht="19.5">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c r="AK324" s="24"/>
      <c r="AL324" s="24"/>
      <c r="AM324" s="24"/>
      <c r="AN324" s="24"/>
      <c r="AO324" s="24"/>
      <c r="AP324" s="24"/>
      <c r="AQ324" s="24"/>
      <c r="AR324" s="24"/>
    </row>
    <row r="325" spans="1:44" ht="19.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c r="AK325" s="24"/>
      <c r="AL325" s="24"/>
      <c r="AM325" s="24"/>
      <c r="AN325" s="24"/>
      <c r="AO325" s="24"/>
      <c r="AP325" s="24"/>
      <c r="AQ325" s="24"/>
      <c r="AR325" s="24"/>
    </row>
    <row r="326" spans="1:44" ht="19.5">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c r="AK326" s="24"/>
      <c r="AL326" s="24"/>
      <c r="AM326" s="24"/>
      <c r="AN326" s="24"/>
      <c r="AO326" s="24"/>
      <c r="AP326" s="24"/>
      <c r="AQ326" s="24"/>
      <c r="AR326" s="24"/>
    </row>
    <row r="327" spans="1:44" ht="19.5">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c r="AK327" s="24"/>
      <c r="AL327" s="24"/>
      <c r="AM327" s="24"/>
      <c r="AN327" s="24"/>
      <c r="AO327" s="24"/>
      <c r="AP327" s="24"/>
      <c r="AQ327" s="24"/>
      <c r="AR327" s="24"/>
    </row>
    <row r="328" spans="1:44" ht="19.5">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c r="AK328" s="24"/>
      <c r="AL328" s="24"/>
      <c r="AM328" s="24"/>
      <c r="AN328" s="24"/>
      <c r="AO328" s="24"/>
      <c r="AP328" s="24"/>
      <c r="AQ328" s="24"/>
      <c r="AR328" s="24"/>
    </row>
    <row r="329" spans="1:44" ht="19.5">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c r="AK329" s="24"/>
      <c r="AL329" s="24"/>
      <c r="AM329" s="24"/>
      <c r="AN329" s="24"/>
      <c r="AO329" s="24"/>
      <c r="AP329" s="24"/>
      <c r="AQ329" s="24"/>
      <c r="AR329" s="24"/>
    </row>
    <row r="330" spans="1:44" ht="19.5">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c r="AK330" s="24"/>
      <c r="AL330" s="24"/>
      <c r="AM330" s="24"/>
      <c r="AN330" s="24"/>
      <c r="AO330" s="24"/>
      <c r="AP330" s="24"/>
      <c r="AQ330" s="24"/>
      <c r="AR330" s="24"/>
    </row>
    <row r="331" spans="1:44" ht="19.5">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row>
    <row r="332" spans="1:44" ht="19.5">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c r="AK332" s="24"/>
      <c r="AL332" s="24"/>
      <c r="AM332" s="24"/>
      <c r="AN332" s="24"/>
      <c r="AO332" s="24"/>
      <c r="AP332" s="24"/>
      <c r="AQ332" s="24"/>
      <c r="AR332" s="24"/>
    </row>
    <row r="333" spans="1:44" ht="19.5">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c r="AK333" s="24"/>
      <c r="AL333" s="24"/>
      <c r="AM333" s="24"/>
      <c r="AN333" s="24"/>
      <c r="AO333" s="24"/>
      <c r="AP333" s="24"/>
      <c r="AQ333" s="24"/>
      <c r="AR333" s="24"/>
    </row>
    <row r="334" spans="1:44" ht="19.5">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c r="AK334" s="24"/>
      <c r="AL334" s="24"/>
      <c r="AM334" s="24"/>
      <c r="AN334" s="24"/>
      <c r="AO334" s="24"/>
      <c r="AP334" s="24"/>
      <c r="AQ334" s="24"/>
      <c r="AR334" s="24"/>
    </row>
    <row r="335" spans="1:44" ht="19.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c r="AK335" s="24"/>
      <c r="AL335" s="24"/>
      <c r="AM335" s="24"/>
      <c r="AN335" s="24"/>
      <c r="AO335" s="24"/>
      <c r="AP335" s="24"/>
      <c r="AQ335" s="24"/>
      <c r="AR335" s="24"/>
    </row>
    <row r="336" spans="1:44" ht="19.5">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c r="AK336" s="24"/>
      <c r="AL336" s="24"/>
      <c r="AM336" s="24"/>
      <c r="AN336" s="24"/>
      <c r="AO336" s="24"/>
      <c r="AP336" s="24"/>
      <c r="AQ336" s="24"/>
      <c r="AR336" s="24"/>
    </row>
    <row r="337" spans="1:44" ht="19.5">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c r="AK337" s="24"/>
      <c r="AL337" s="24"/>
      <c r="AM337" s="24"/>
      <c r="AN337" s="24"/>
      <c r="AO337" s="24"/>
      <c r="AP337" s="24"/>
      <c r="AQ337" s="24"/>
      <c r="AR337" s="24"/>
    </row>
    <row r="338" spans="1:44" ht="19.5">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c r="AK338" s="24"/>
      <c r="AL338" s="24"/>
      <c r="AM338" s="24"/>
      <c r="AN338" s="24"/>
      <c r="AO338" s="24"/>
      <c r="AP338" s="24"/>
      <c r="AQ338" s="24"/>
      <c r="AR338" s="24"/>
    </row>
    <row r="339" spans="1:44" ht="19.5">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c r="AK339" s="24"/>
      <c r="AL339" s="24"/>
      <c r="AM339" s="24"/>
      <c r="AN339" s="24"/>
      <c r="AO339" s="24"/>
      <c r="AP339" s="24"/>
      <c r="AQ339" s="24"/>
      <c r="AR339" s="24"/>
    </row>
    <row r="340" spans="1:44" ht="19.5">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c r="AK340" s="24"/>
      <c r="AL340" s="24"/>
      <c r="AM340" s="24"/>
      <c r="AN340" s="24"/>
      <c r="AO340" s="24"/>
      <c r="AP340" s="24"/>
      <c r="AQ340" s="24"/>
      <c r="AR340" s="24"/>
    </row>
    <row r="341" spans="1:44" ht="19.5">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c r="AK341" s="24"/>
      <c r="AL341" s="24"/>
      <c r="AM341" s="24"/>
      <c r="AN341" s="24"/>
      <c r="AO341" s="24"/>
      <c r="AP341" s="24"/>
      <c r="AQ341" s="24"/>
      <c r="AR341" s="24"/>
    </row>
    <row r="342" spans="1:44" ht="19.5">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c r="AK342" s="24"/>
      <c r="AL342" s="24"/>
      <c r="AM342" s="24"/>
      <c r="AN342" s="24"/>
      <c r="AO342" s="24"/>
      <c r="AP342" s="24"/>
      <c r="AQ342" s="24"/>
      <c r="AR342" s="24"/>
    </row>
    <row r="343" spans="1:44" ht="19.5">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c r="AK343" s="24"/>
      <c r="AL343" s="24"/>
      <c r="AM343" s="24"/>
      <c r="AN343" s="24"/>
      <c r="AO343" s="24"/>
      <c r="AP343" s="24"/>
      <c r="AQ343" s="24"/>
      <c r="AR343" s="24"/>
    </row>
    <row r="344" spans="1:44" ht="19.5">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c r="AK344" s="24"/>
      <c r="AL344" s="24"/>
      <c r="AM344" s="24"/>
      <c r="AN344" s="24"/>
      <c r="AO344" s="24"/>
      <c r="AP344" s="24"/>
      <c r="AQ344" s="24"/>
      <c r="AR344" s="24"/>
    </row>
    <row r="345" spans="1:44" ht="19.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c r="AK345" s="24"/>
      <c r="AL345" s="24"/>
      <c r="AM345" s="24"/>
      <c r="AN345" s="24"/>
      <c r="AO345" s="24"/>
      <c r="AP345" s="24"/>
      <c r="AQ345" s="24"/>
      <c r="AR345" s="24"/>
    </row>
    <row r="346" spans="1:44" ht="19.5">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c r="AK346" s="24"/>
      <c r="AL346" s="24"/>
      <c r="AM346" s="24"/>
      <c r="AN346" s="24"/>
      <c r="AO346" s="24"/>
      <c r="AP346" s="24"/>
      <c r="AQ346" s="24"/>
      <c r="AR346" s="24"/>
    </row>
    <row r="347" spans="1:44" ht="19.5">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c r="AK347" s="24"/>
      <c r="AL347" s="24"/>
      <c r="AM347" s="24"/>
      <c r="AN347" s="24"/>
      <c r="AO347" s="24"/>
      <c r="AP347" s="24"/>
      <c r="AQ347" s="24"/>
      <c r="AR347" s="24"/>
    </row>
    <row r="348" spans="1:44" ht="19.5">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c r="AK348" s="24"/>
      <c r="AL348" s="24"/>
      <c r="AM348" s="24"/>
      <c r="AN348" s="24"/>
      <c r="AO348" s="24"/>
      <c r="AP348" s="24"/>
      <c r="AQ348" s="24"/>
      <c r="AR348" s="24"/>
    </row>
    <row r="349" spans="1:44" ht="19.5">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c r="AK349" s="24"/>
      <c r="AL349" s="24"/>
      <c r="AM349" s="24"/>
      <c r="AN349" s="24"/>
      <c r="AO349" s="24"/>
      <c r="AP349" s="24"/>
      <c r="AQ349" s="24"/>
      <c r="AR349" s="24"/>
    </row>
    <row r="350" spans="1:44" ht="19.5">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c r="AK350" s="24"/>
      <c r="AL350" s="24"/>
      <c r="AM350" s="24"/>
      <c r="AN350" s="24"/>
      <c r="AO350" s="24"/>
      <c r="AP350" s="24"/>
      <c r="AQ350" s="24"/>
      <c r="AR350" s="24"/>
    </row>
    <row r="351" spans="1:44" ht="19.5">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c r="AK351" s="24"/>
      <c r="AL351" s="24"/>
      <c r="AM351" s="24"/>
      <c r="AN351" s="24"/>
      <c r="AO351" s="24"/>
      <c r="AP351" s="24"/>
      <c r="AQ351" s="24"/>
      <c r="AR351" s="24"/>
    </row>
    <row r="352" spans="1:44" ht="19.5">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c r="AK352" s="24"/>
      <c r="AL352" s="24"/>
      <c r="AM352" s="24"/>
      <c r="AN352" s="24"/>
      <c r="AO352" s="24"/>
      <c r="AP352" s="24"/>
      <c r="AQ352" s="24"/>
      <c r="AR352" s="24"/>
    </row>
    <row r="353" spans="1:44" ht="19.5">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c r="AK353" s="24"/>
      <c r="AL353" s="24"/>
      <c r="AM353" s="24"/>
      <c r="AN353" s="24"/>
      <c r="AO353" s="24"/>
      <c r="AP353" s="24"/>
      <c r="AQ353" s="24"/>
      <c r="AR353" s="24"/>
    </row>
    <row r="354" spans="1:44" ht="19.5">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c r="AK354" s="24"/>
      <c r="AL354" s="24"/>
      <c r="AM354" s="24"/>
      <c r="AN354" s="24"/>
      <c r="AO354" s="24"/>
      <c r="AP354" s="24"/>
      <c r="AQ354" s="24"/>
      <c r="AR354" s="24"/>
    </row>
    <row r="355" spans="1:44" ht="19.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c r="AK355" s="24"/>
      <c r="AL355" s="24"/>
      <c r="AM355" s="24"/>
      <c r="AN355" s="24"/>
      <c r="AO355" s="24"/>
      <c r="AP355" s="24"/>
      <c r="AQ355" s="24"/>
      <c r="AR355" s="24"/>
    </row>
    <row r="356" spans="1:44" ht="19.5">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c r="AK356" s="24"/>
      <c r="AL356" s="24"/>
      <c r="AM356" s="24"/>
      <c r="AN356" s="24"/>
      <c r="AO356" s="24"/>
      <c r="AP356" s="24"/>
      <c r="AQ356" s="24"/>
      <c r="AR356" s="24"/>
    </row>
    <row r="357" spans="1:44" ht="19.5">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c r="AK357" s="24"/>
      <c r="AL357" s="24"/>
      <c r="AM357" s="24"/>
      <c r="AN357" s="24"/>
      <c r="AO357" s="24"/>
      <c r="AP357" s="24"/>
      <c r="AQ357" s="24"/>
      <c r="AR357" s="24"/>
    </row>
    <row r="358" spans="1:44" ht="19.5">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c r="AK358" s="24"/>
      <c r="AL358" s="24"/>
      <c r="AM358" s="24"/>
      <c r="AN358" s="24"/>
      <c r="AO358" s="24"/>
      <c r="AP358" s="24"/>
      <c r="AQ358" s="24"/>
      <c r="AR358" s="24"/>
    </row>
    <row r="359" spans="1:44" ht="19.5">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c r="AK359" s="24"/>
      <c r="AL359" s="24"/>
      <c r="AM359" s="24"/>
      <c r="AN359" s="24"/>
      <c r="AO359" s="24"/>
      <c r="AP359" s="24"/>
      <c r="AQ359" s="24"/>
      <c r="AR359" s="24"/>
    </row>
    <row r="360" spans="1:44" ht="19.5">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c r="AK360" s="24"/>
      <c r="AL360" s="24"/>
      <c r="AM360" s="24"/>
      <c r="AN360" s="24"/>
      <c r="AO360" s="24"/>
      <c r="AP360" s="24"/>
      <c r="AQ360" s="24"/>
      <c r="AR360" s="24"/>
    </row>
    <row r="361" spans="1:44" ht="19.5">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c r="AK361" s="24"/>
      <c r="AL361" s="24"/>
      <c r="AM361" s="24"/>
      <c r="AN361" s="24"/>
      <c r="AO361" s="24"/>
      <c r="AP361" s="24"/>
      <c r="AQ361" s="24"/>
      <c r="AR361" s="24"/>
    </row>
    <row r="362" spans="1:44" ht="19.5">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c r="AK362" s="24"/>
      <c r="AL362" s="24"/>
      <c r="AM362" s="24"/>
      <c r="AN362" s="24"/>
      <c r="AO362" s="24"/>
      <c r="AP362" s="24"/>
      <c r="AQ362" s="24"/>
      <c r="AR362" s="24"/>
    </row>
    <row r="363" spans="1:44" ht="19.5">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c r="AK363" s="24"/>
      <c r="AL363" s="24"/>
      <c r="AM363" s="24"/>
      <c r="AN363" s="24"/>
      <c r="AO363" s="24"/>
      <c r="AP363" s="24"/>
      <c r="AQ363" s="24"/>
      <c r="AR363" s="24"/>
    </row>
    <row r="364" spans="1:44" ht="19.5">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c r="AK364" s="24"/>
      <c r="AL364" s="24"/>
      <c r="AM364" s="24"/>
      <c r="AN364" s="24"/>
      <c r="AO364" s="24"/>
      <c r="AP364" s="24"/>
      <c r="AQ364" s="24"/>
      <c r="AR364" s="24"/>
    </row>
    <row r="365" spans="1:44" ht="19.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c r="AK365" s="24"/>
      <c r="AL365" s="24"/>
      <c r="AM365" s="24"/>
      <c r="AN365" s="24"/>
      <c r="AO365" s="24"/>
      <c r="AP365" s="24"/>
      <c r="AQ365" s="24"/>
      <c r="AR365" s="24"/>
    </row>
    <row r="366" spans="1:44" ht="19.5">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c r="AK366" s="24"/>
      <c r="AL366" s="24"/>
      <c r="AM366" s="24"/>
      <c r="AN366" s="24"/>
      <c r="AO366" s="24"/>
      <c r="AP366" s="24"/>
      <c r="AQ366" s="24"/>
      <c r="AR366" s="24"/>
    </row>
    <row r="367" spans="1:44" ht="19.5">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c r="AK367" s="24"/>
      <c r="AL367" s="24"/>
      <c r="AM367" s="24"/>
      <c r="AN367" s="24"/>
      <c r="AO367" s="24"/>
      <c r="AP367" s="24"/>
      <c r="AQ367" s="24"/>
      <c r="AR367" s="24"/>
    </row>
    <row r="368" spans="1:44" ht="19.5">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c r="AK368" s="24"/>
      <c r="AL368" s="24"/>
      <c r="AM368" s="24"/>
      <c r="AN368" s="24"/>
      <c r="AO368" s="24"/>
      <c r="AP368" s="24"/>
      <c r="AQ368" s="24"/>
      <c r="AR368" s="24"/>
    </row>
    <row r="369" spans="1:44" ht="19.5">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c r="AK369" s="24"/>
      <c r="AL369" s="24"/>
      <c r="AM369" s="24"/>
      <c r="AN369" s="24"/>
      <c r="AO369" s="24"/>
      <c r="AP369" s="24"/>
      <c r="AQ369" s="24"/>
      <c r="AR369" s="24"/>
    </row>
    <row r="370" spans="1:44" ht="19.5">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c r="AL370" s="24"/>
      <c r="AM370" s="24"/>
      <c r="AN370" s="24"/>
      <c r="AO370" s="24"/>
      <c r="AP370" s="24"/>
      <c r="AQ370" s="24"/>
      <c r="AR370" s="24"/>
    </row>
    <row r="371" spans="1:44" ht="19.5">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c r="AL371" s="24"/>
      <c r="AM371" s="24"/>
      <c r="AN371" s="24"/>
      <c r="AO371" s="24"/>
      <c r="AP371" s="24"/>
      <c r="AQ371" s="24"/>
      <c r="AR371" s="24"/>
    </row>
    <row r="372" spans="1:44" ht="19.5">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c r="AK372" s="24"/>
      <c r="AL372" s="24"/>
      <c r="AM372" s="24"/>
      <c r="AN372" s="24"/>
      <c r="AO372" s="24"/>
      <c r="AP372" s="24"/>
      <c r="AQ372" s="24"/>
      <c r="AR372" s="24"/>
    </row>
    <row r="373" spans="1:44" ht="19.5">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c r="AK373" s="24"/>
      <c r="AL373" s="24"/>
      <c r="AM373" s="24"/>
      <c r="AN373" s="24"/>
      <c r="AO373" s="24"/>
      <c r="AP373" s="24"/>
      <c r="AQ373" s="24"/>
      <c r="AR373" s="24"/>
    </row>
    <row r="374" spans="1:44" ht="19.5">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c r="AK374" s="24"/>
      <c r="AL374" s="24"/>
      <c r="AM374" s="24"/>
      <c r="AN374" s="24"/>
      <c r="AO374" s="24"/>
      <c r="AP374" s="24"/>
      <c r="AQ374" s="24"/>
      <c r="AR374" s="24"/>
    </row>
    <row r="375" spans="1:44" ht="19.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row>
    <row r="376" spans="1:44" ht="19.5">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c r="AK376" s="24"/>
      <c r="AL376" s="24"/>
      <c r="AM376" s="24"/>
      <c r="AN376" s="24"/>
      <c r="AO376" s="24"/>
      <c r="AP376" s="24"/>
      <c r="AQ376" s="24"/>
      <c r="AR376" s="24"/>
    </row>
    <row r="377" spans="1:44" ht="19.5">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c r="AK377" s="24"/>
      <c r="AL377" s="24"/>
      <c r="AM377" s="24"/>
      <c r="AN377" s="24"/>
      <c r="AO377" s="24"/>
      <c r="AP377" s="24"/>
      <c r="AQ377" s="24"/>
      <c r="AR377" s="24"/>
    </row>
    <row r="378" spans="1:44" ht="19.5">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c r="AK378" s="24"/>
      <c r="AL378" s="24"/>
      <c r="AM378" s="24"/>
      <c r="AN378" s="24"/>
      <c r="AO378" s="24"/>
      <c r="AP378" s="24"/>
      <c r="AQ378" s="24"/>
      <c r="AR378" s="24"/>
    </row>
    <row r="379" spans="1:44" ht="19.5">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c r="AK379" s="24"/>
      <c r="AL379" s="24"/>
      <c r="AM379" s="24"/>
      <c r="AN379" s="24"/>
      <c r="AO379" s="24"/>
      <c r="AP379" s="24"/>
      <c r="AQ379" s="24"/>
      <c r="AR379" s="24"/>
    </row>
    <row r="380" spans="1:44" ht="19.5">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c r="AK380" s="24"/>
      <c r="AL380" s="24"/>
      <c r="AM380" s="24"/>
      <c r="AN380" s="24"/>
      <c r="AO380" s="24"/>
      <c r="AP380" s="24"/>
      <c r="AQ380" s="24"/>
      <c r="AR380" s="24"/>
    </row>
    <row r="381" spans="1:44" ht="19.5">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c r="AK381" s="24"/>
      <c r="AL381" s="24"/>
      <c r="AM381" s="24"/>
      <c r="AN381" s="24"/>
      <c r="AO381" s="24"/>
      <c r="AP381" s="24"/>
      <c r="AQ381" s="24"/>
      <c r="AR381" s="24"/>
    </row>
    <row r="382" spans="1:44" ht="19.5">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c r="AK382" s="24"/>
      <c r="AL382" s="24"/>
      <c r="AM382" s="24"/>
      <c r="AN382" s="24"/>
      <c r="AO382" s="24"/>
      <c r="AP382" s="24"/>
      <c r="AQ382" s="24"/>
      <c r="AR382" s="24"/>
    </row>
    <row r="383" spans="1:44" ht="19.5">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c r="AK383" s="24"/>
      <c r="AL383" s="24"/>
      <c r="AM383" s="24"/>
      <c r="AN383" s="24"/>
      <c r="AO383" s="24"/>
      <c r="AP383" s="24"/>
      <c r="AQ383" s="24"/>
      <c r="AR383" s="24"/>
    </row>
    <row r="384" spans="1:44" ht="19.5">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c r="AK384" s="24"/>
      <c r="AL384" s="24"/>
      <c r="AM384" s="24"/>
      <c r="AN384" s="24"/>
      <c r="AO384" s="24"/>
      <c r="AP384" s="24"/>
      <c r="AQ384" s="24"/>
      <c r="AR384" s="24"/>
    </row>
    <row r="385" spans="1:44" ht="19.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c r="AK385" s="24"/>
      <c r="AL385" s="24"/>
      <c r="AM385" s="24"/>
      <c r="AN385" s="24"/>
      <c r="AO385" s="24"/>
      <c r="AP385" s="24"/>
      <c r="AQ385" s="24"/>
      <c r="AR385" s="24"/>
    </row>
    <row r="386" spans="1:44" ht="19.5">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c r="AK386" s="24"/>
      <c r="AL386" s="24"/>
      <c r="AM386" s="24"/>
      <c r="AN386" s="24"/>
      <c r="AO386" s="24"/>
      <c r="AP386" s="24"/>
      <c r="AQ386" s="24"/>
      <c r="AR386" s="24"/>
    </row>
    <row r="387" spans="1:44" ht="19.5">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c r="AK387" s="24"/>
      <c r="AL387" s="24"/>
      <c r="AM387" s="24"/>
      <c r="AN387" s="24"/>
      <c r="AO387" s="24"/>
      <c r="AP387" s="24"/>
      <c r="AQ387" s="24"/>
      <c r="AR387" s="24"/>
    </row>
    <row r="388" spans="1:44" ht="19.5">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c r="AL388" s="24"/>
      <c r="AM388" s="24"/>
      <c r="AN388" s="24"/>
      <c r="AO388" s="24"/>
      <c r="AP388" s="24"/>
      <c r="AQ388" s="24"/>
      <c r="AR388" s="24"/>
    </row>
    <row r="389" spans="1:44" ht="19.5">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c r="AL389" s="24"/>
      <c r="AM389" s="24"/>
      <c r="AN389" s="24"/>
      <c r="AO389" s="24"/>
      <c r="AP389" s="24"/>
      <c r="AQ389" s="24"/>
      <c r="AR389" s="24"/>
    </row>
    <row r="390" spans="1:44" ht="19.5">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c r="AK390" s="24"/>
      <c r="AL390" s="24"/>
      <c r="AM390" s="24"/>
      <c r="AN390" s="24"/>
      <c r="AO390" s="24"/>
      <c r="AP390" s="24"/>
      <c r="AQ390" s="24"/>
      <c r="AR390" s="24"/>
    </row>
    <row r="391" spans="1:44" ht="19.5">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c r="AK391" s="24"/>
      <c r="AL391" s="24"/>
      <c r="AM391" s="24"/>
      <c r="AN391" s="24"/>
      <c r="AO391" s="24"/>
      <c r="AP391" s="24"/>
      <c r="AQ391" s="24"/>
      <c r="AR391" s="24"/>
    </row>
    <row r="392" spans="1:44" ht="19.5">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c r="AK392" s="24"/>
      <c r="AL392" s="24"/>
      <c r="AM392" s="24"/>
      <c r="AN392" s="24"/>
      <c r="AO392" s="24"/>
      <c r="AP392" s="24"/>
      <c r="AQ392" s="24"/>
      <c r="AR392" s="24"/>
    </row>
    <row r="393" spans="1:44" ht="19.5">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c r="AK393" s="24"/>
      <c r="AL393" s="24"/>
      <c r="AM393" s="24"/>
      <c r="AN393" s="24"/>
      <c r="AO393" s="24"/>
      <c r="AP393" s="24"/>
      <c r="AQ393" s="24"/>
      <c r="AR393" s="24"/>
    </row>
    <row r="394" spans="1:44" ht="19.5">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c r="AK394" s="24"/>
      <c r="AL394" s="24"/>
      <c r="AM394" s="24"/>
      <c r="AN394" s="24"/>
      <c r="AO394" s="24"/>
      <c r="AP394" s="24"/>
      <c r="AQ394" s="24"/>
      <c r="AR394" s="24"/>
    </row>
    <row r="395" spans="1:44" ht="1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c r="AK395" s="24"/>
      <c r="AL395" s="24"/>
      <c r="AM395" s="24"/>
      <c r="AN395" s="24"/>
      <c r="AO395" s="24"/>
      <c r="AP395" s="24"/>
      <c r="AQ395" s="24"/>
      <c r="AR395" s="24"/>
    </row>
    <row r="396" spans="1:44" ht="19.5">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c r="AK396" s="24"/>
      <c r="AL396" s="24"/>
      <c r="AM396" s="24"/>
      <c r="AN396" s="24"/>
      <c r="AO396" s="24"/>
      <c r="AP396" s="24"/>
      <c r="AQ396" s="24"/>
      <c r="AR396" s="24"/>
    </row>
    <row r="397" spans="1:44" ht="19.5">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c r="AK397" s="24"/>
      <c r="AL397" s="24"/>
      <c r="AM397" s="24"/>
      <c r="AN397" s="24"/>
      <c r="AO397" s="24"/>
      <c r="AP397" s="24"/>
      <c r="AQ397" s="24"/>
      <c r="AR397" s="24"/>
    </row>
    <row r="398" spans="1:44" ht="19.5">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row>
    <row r="399" spans="1:44" ht="19.5">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c r="AK399" s="24"/>
      <c r="AL399" s="24"/>
      <c r="AM399" s="24"/>
      <c r="AN399" s="24"/>
      <c r="AO399" s="24"/>
      <c r="AP399" s="24"/>
      <c r="AQ399" s="24"/>
      <c r="AR399" s="24"/>
    </row>
    <row r="400" spans="1:44" ht="19.5">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c r="AK400" s="24"/>
      <c r="AL400" s="24"/>
      <c r="AM400" s="24"/>
      <c r="AN400" s="24"/>
      <c r="AO400" s="24"/>
      <c r="AP400" s="24"/>
      <c r="AQ400" s="24"/>
      <c r="AR400" s="24"/>
    </row>
    <row r="401" spans="1:44" ht="19.5">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c r="AK401" s="24"/>
      <c r="AL401" s="24"/>
      <c r="AM401" s="24"/>
      <c r="AN401" s="24"/>
      <c r="AO401" s="24"/>
      <c r="AP401" s="24"/>
      <c r="AQ401" s="24"/>
      <c r="AR401" s="24"/>
    </row>
    <row r="402" spans="1:44" ht="19.5">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c r="AK402" s="24"/>
      <c r="AL402" s="24"/>
      <c r="AM402" s="24"/>
      <c r="AN402" s="24"/>
      <c r="AO402" s="24"/>
      <c r="AP402" s="24"/>
      <c r="AQ402" s="24"/>
      <c r="AR402" s="24"/>
    </row>
    <row r="403" spans="1:44" ht="19.5">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c r="AK403" s="24"/>
      <c r="AL403" s="24"/>
      <c r="AM403" s="24"/>
      <c r="AN403" s="24"/>
      <c r="AO403" s="24"/>
      <c r="AP403" s="24"/>
      <c r="AQ403" s="24"/>
      <c r="AR403" s="24"/>
    </row>
    <row r="404" spans="1:44" ht="19.5">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c r="AK404" s="24"/>
      <c r="AL404" s="24"/>
      <c r="AM404" s="24"/>
      <c r="AN404" s="24"/>
      <c r="AO404" s="24"/>
      <c r="AP404" s="24"/>
      <c r="AQ404" s="24"/>
      <c r="AR404" s="24"/>
    </row>
    <row r="405" spans="1:44" ht="19.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c r="AK405" s="24"/>
      <c r="AL405" s="24"/>
      <c r="AM405" s="24"/>
      <c r="AN405" s="24"/>
      <c r="AO405" s="24"/>
      <c r="AP405" s="24"/>
      <c r="AQ405" s="24"/>
      <c r="AR405" s="24"/>
    </row>
    <row r="406" spans="1:44" ht="19.5">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c r="AL406" s="24"/>
      <c r="AM406" s="24"/>
      <c r="AN406" s="24"/>
      <c r="AO406" s="24"/>
      <c r="AP406" s="24"/>
      <c r="AQ406" s="24"/>
      <c r="AR406" s="24"/>
    </row>
    <row r="407" spans="1:44" ht="19.5">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c r="AL407" s="24"/>
      <c r="AM407" s="24"/>
      <c r="AN407" s="24"/>
      <c r="AO407" s="24"/>
      <c r="AP407" s="24"/>
      <c r="AQ407" s="24"/>
      <c r="AR407" s="24"/>
    </row>
    <row r="408" spans="1:44" ht="19.5">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c r="AK408" s="24"/>
      <c r="AL408" s="24"/>
      <c r="AM408" s="24"/>
      <c r="AN408" s="24"/>
      <c r="AO408" s="24"/>
      <c r="AP408" s="24"/>
      <c r="AQ408" s="24"/>
      <c r="AR408" s="24"/>
    </row>
    <row r="409" spans="1:44" ht="19.5">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c r="AK409" s="24"/>
      <c r="AL409" s="24"/>
      <c r="AM409" s="24"/>
      <c r="AN409" s="24"/>
      <c r="AO409" s="24"/>
      <c r="AP409" s="24"/>
      <c r="AQ409" s="24"/>
      <c r="AR409" s="24"/>
    </row>
    <row r="410" spans="1:44" ht="19.5">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c r="AK410" s="24"/>
      <c r="AL410" s="24"/>
      <c r="AM410" s="24"/>
      <c r="AN410" s="24"/>
      <c r="AO410" s="24"/>
      <c r="AP410" s="24"/>
      <c r="AQ410" s="24"/>
      <c r="AR410" s="24"/>
    </row>
    <row r="411" spans="1:44" ht="19.5">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c r="AK411" s="24"/>
      <c r="AL411" s="24"/>
      <c r="AM411" s="24"/>
      <c r="AN411" s="24"/>
      <c r="AO411" s="24"/>
      <c r="AP411" s="24"/>
      <c r="AQ411" s="24"/>
      <c r="AR411" s="24"/>
    </row>
    <row r="412" spans="1:44" ht="19.5">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c r="AK412" s="24"/>
      <c r="AL412" s="24"/>
      <c r="AM412" s="24"/>
      <c r="AN412" s="24"/>
      <c r="AO412" s="24"/>
      <c r="AP412" s="24"/>
      <c r="AQ412" s="24"/>
      <c r="AR412" s="24"/>
    </row>
    <row r="413" spans="1:44" ht="19.5">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c r="AK413" s="24"/>
      <c r="AL413" s="24"/>
      <c r="AM413" s="24"/>
      <c r="AN413" s="24"/>
      <c r="AO413" s="24"/>
      <c r="AP413" s="24"/>
      <c r="AQ413" s="24"/>
      <c r="AR413" s="24"/>
    </row>
    <row r="414" spans="1:44" ht="19.5">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c r="AK414" s="24"/>
      <c r="AL414" s="24"/>
      <c r="AM414" s="24"/>
      <c r="AN414" s="24"/>
      <c r="AO414" s="24"/>
      <c r="AP414" s="24"/>
      <c r="AQ414" s="24"/>
      <c r="AR414" s="24"/>
    </row>
    <row r="415" spans="1:44" ht="19.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c r="AK415" s="24"/>
      <c r="AL415" s="24"/>
      <c r="AM415" s="24"/>
      <c r="AN415" s="24"/>
      <c r="AO415" s="24"/>
      <c r="AP415" s="24"/>
      <c r="AQ415" s="24"/>
      <c r="AR415" s="24"/>
    </row>
    <row r="416" spans="1:44" ht="19.5">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c r="AK416" s="24"/>
      <c r="AL416" s="24"/>
      <c r="AM416" s="24"/>
      <c r="AN416" s="24"/>
      <c r="AO416" s="24"/>
      <c r="AP416" s="24"/>
      <c r="AQ416" s="24"/>
      <c r="AR416" s="24"/>
    </row>
    <row r="417" spans="1:44" ht="19.5">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c r="AK417" s="24"/>
      <c r="AL417" s="24"/>
      <c r="AM417" s="24"/>
      <c r="AN417" s="24"/>
      <c r="AO417" s="24"/>
      <c r="AP417" s="24"/>
      <c r="AQ417" s="24"/>
      <c r="AR417" s="24"/>
    </row>
    <row r="418" spans="1:44" ht="19.5">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c r="AK418" s="24"/>
      <c r="AL418" s="24"/>
      <c r="AM418" s="24"/>
      <c r="AN418" s="24"/>
      <c r="AO418" s="24"/>
      <c r="AP418" s="24"/>
      <c r="AQ418" s="24"/>
      <c r="AR418" s="24"/>
    </row>
    <row r="419" spans="1:44" ht="19.5">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c r="AK419" s="24"/>
      <c r="AL419" s="24"/>
      <c r="AM419" s="24"/>
      <c r="AN419" s="24"/>
      <c r="AO419" s="24"/>
      <c r="AP419" s="24"/>
      <c r="AQ419" s="24"/>
      <c r="AR419" s="24"/>
    </row>
    <row r="420" spans="1:44" ht="19.5">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4"/>
      <c r="AN420" s="24"/>
      <c r="AO420" s="24"/>
      <c r="AP420" s="24"/>
      <c r="AQ420" s="24"/>
      <c r="AR420" s="24"/>
    </row>
    <row r="421" spans="1:44" ht="19.5">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c r="AK421" s="24"/>
      <c r="AL421" s="24"/>
      <c r="AM421" s="24"/>
      <c r="AN421" s="24"/>
      <c r="AO421" s="24"/>
      <c r="AP421" s="24"/>
      <c r="AQ421" s="24"/>
      <c r="AR421" s="24"/>
    </row>
    <row r="422" spans="1:44" ht="19.5">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c r="AK422" s="24"/>
      <c r="AL422" s="24"/>
      <c r="AM422" s="24"/>
      <c r="AN422" s="24"/>
      <c r="AO422" s="24"/>
      <c r="AP422" s="24"/>
      <c r="AQ422" s="24"/>
      <c r="AR422" s="24"/>
    </row>
    <row r="423" spans="1:44" ht="19.5">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c r="AK423" s="24"/>
      <c r="AL423" s="24"/>
      <c r="AM423" s="24"/>
      <c r="AN423" s="24"/>
      <c r="AO423" s="24"/>
      <c r="AP423" s="24"/>
      <c r="AQ423" s="24"/>
      <c r="AR423" s="24"/>
    </row>
    <row r="424" spans="1:44" ht="19.5">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c r="AK424" s="24"/>
      <c r="AL424" s="24"/>
      <c r="AM424" s="24"/>
      <c r="AN424" s="24"/>
      <c r="AO424" s="24"/>
      <c r="AP424" s="24"/>
      <c r="AQ424" s="24"/>
      <c r="AR424" s="24"/>
    </row>
    <row r="425" spans="1:44" ht="19.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c r="AK425" s="24"/>
      <c r="AL425" s="24"/>
      <c r="AM425" s="24"/>
      <c r="AN425" s="24"/>
      <c r="AO425" s="24"/>
      <c r="AP425" s="24"/>
      <c r="AQ425" s="24"/>
      <c r="AR425" s="24"/>
    </row>
    <row r="426" spans="1:44" ht="19.5">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c r="AK426" s="24"/>
      <c r="AL426" s="24"/>
      <c r="AM426" s="24"/>
      <c r="AN426" s="24"/>
      <c r="AO426" s="24"/>
      <c r="AP426" s="24"/>
      <c r="AQ426" s="24"/>
      <c r="AR426" s="24"/>
    </row>
    <row r="427" spans="1:44" ht="19.5">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c r="AK427" s="24"/>
      <c r="AL427" s="24"/>
      <c r="AM427" s="24"/>
      <c r="AN427" s="24"/>
      <c r="AO427" s="24"/>
      <c r="AP427" s="24"/>
      <c r="AQ427" s="24"/>
      <c r="AR427" s="24"/>
    </row>
    <row r="428" spans="1:44" ht="19.5">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c r="AK428" s="24"/>
      <c r="AL428" s="24"/>
      <c r="AM428" s="24"/>
      <c r="AN428" s="24"/>
      <c r="AO428" s="24"/>
      <c r="AP428" s="24"/>
      <c r="AQ428" s="24"/>
      <c r="AR428" s="24"/>
    </row>
    <row r="429" spans="1:44" ht="19.5">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c r="AK429" s="24"/>
      <c r="AL429" s="24"/>
      <c r="AM429" s="24"/>
      <c r="AN429" s="24"/>
      <c r="AO429" s="24"/>
      <c r="AP429" s="24"/>
      <c r="AQ429" s="24"/>
      <c r="AR429" s="24"/>
    </row>
    <row r="430" spans="1:44" ht="19.5">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c r="AK430" s="24"/>
      <c r="AL430" s="24"/>
      <c r="AM430" s="24"/>
      <c r="AN430" s="24"/>
      <c r="AO430" s="24"/>
      <c r="AP430" s="24"/>
      <c r="AQ430" s="24"/>
      <c r="AR430" s="24"/>
    </row>
    <row r="431" spans="1:44" ht="19.5">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c r="AK431" s="24"/>
      <c r="AL431" s="24"/>
      <c r="AM431" s="24"/>
      <c r="AN431" s="24"/>
      <c r="AO431" s="24"/>
      <c r="AP431" s="24"/>
      <c r="AQ431" s="24"/>
      <c r="AR431" s="24"/>
    </row>
    <row r="432" spans="1:44" ht="19.5">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c r="AK432" s="24"/>
      <c r="AL432" s="24"/>
      <c r="AM432" s="24"/>
      <c r="AN432" s="24"/>
      <c r="AO432" s="24"/>
      <c r="AP432" s="24"/>
      <c r="AQ432" s="24"/>
      <c r="AR432" s="24"/>
    </row>
    <row r="433" spans="1:44" ht="19.5">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c r="AK433" s="24"/>
      <c r="AL433" s="24"/>
      <c r="AM433" s="24"/>
      <c r="AN433" s="24"/>
      <c r="AO433" s="24"/>
      <c r="AP433" s="24"/>
      <c r="AQ433" s="24"/>
      <c r="AR433" s="24"/>
    </row>
    <row r="434" spans="1:44" ht="19.5">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c r="AL434" s="24"/>
      <c r="AM434" s="24"/>
      <c r="AN434" s="24"/>
      <c r="AO434" s="24"/>
      <c r="AP434" s="24"/>
      <c r="AQ434" s="24"/>
      <c r="AR434" s="24"/>
    </row>
    <row r="435" spans="1:44" ht="19.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c r="AK435" s="24"/>
      <c r="AL435" s="24"/>
      <c r="AM435" s="24"/>
      <c r="AN435" s="24"/>
      <c r="AO435" s="24"/>
      <c r="AP435" s="24"/>
      <c r="AQ435" s="24"/>
      <c r="AR435" s="24"/>
    </row>
    <row r="436" spans="1:44" ht="19.5">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c r="AK436" s="24"/>
      <c r="AL436" s="24"/>
      <c r="AM436" s="24"/>
      <c r="AN436" s="24"/>
      <c r="AO436" s="24"/>
      <c r="AP436" s="24"/>
      <c r="AQ436" s="24"/>
      <c r="AR436" s="24"/>
    </row>
    <row r="437" spans="1:44" ht="19.5">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c r="AK437" s="24"/>
      <c r="AL437" s="24"/>
      <c r="AM437" s="24"/>
      <c r="AN437" s="24"/>
      <c r="AO437" s="24"/>
      <c r="AP437" s="24"/>
      <c r="AQ437" s="24"/>
      <c r="AR437" s="24"/>
    </row>
    <row r="438" spans="1:44" ht="19.5">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c r="AK438" s="24"/>
      <c r="AL438" s="24"/>
      <c r="AM438" s="24"/>
      <c r="AN438" s="24"/>
      <c r="AO438" s="24"/>
      <c r="AP438" s="24"/>
      <c r="AQ438" s="24"/>
      <c r="AR438" s="24"/>
    </row>
    <row r="439" spans="1:44" ht="19.5">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c r="AK439" s="24"/>
      <c r="AL439" s="24"/>
      <c r="AM439" s="24"/>
      <c r="AN439" s="24"/>
      <c r="AO439" s="24"/>
      <c r="AP439" s="24"/>
      <c r="AQ439" s="24"/>
      <c r="AR439" s="24"/>
    </row>
    <row r="440" spans="1:44" ht="19.5">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c r="AK440" s="24"/>
      <c r="AL440" s="24"/>
      <c r="AM440" s="24"/>
      <c r="AN440" s="24"/>
      <c r="AO440" s="24"/>
      <c r="AP440" s="24"/>
      <c r="AQ440" s="24"/>
      <c r="AR440" s="24"/>
    </row>
    <row r="441" spans="1:44" ht="19.5">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c r="AK441" s="24"/>
      <c r="AL441" s="24"/>
      <c r="AM441" s="24"/>
      <c r="AN441" s="24"/>
      <c r="AO441" s="24"/>
      <c r="AP441" s="24"/>
      <c r="AQ441" s="24"/>
      <c r="AR441" s="24"/>
    </row>
    <row r="442" spans="1:44" ht="19.5">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4"/>
      <c r="AN442" s="24"/>
      <c r="AO442" s="24"/>
      <c r="AP442" s="24"/>
      <c r="AQ442" s="24"/>
      <c r="AR442" s="24"/>
    </row>
    <row r="443" spans="1:44" ht="19.5">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c r="AK443" s="24"/>
      <c r="AL443" s="24"/>
      <c r="AM443" s="24"/>
      <c r="AN443" s="24"/>
      <c r="AO443" s="24"/>
      <c r="AP443" s="24"/>
      <c r="AQ443" s="24"/>
      <c r="AR443" s="24"/>
    </row>
    <row r="444" spans="1:44" ht="19.5">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4"/>
      <c r="AN444" s="24"/>
      <c r="AO444" s="24"/>
      <c r="AP444" s="24"/>
      <c r="AQ444" s="24"/>
      <c r="AR444" s="24"/>
    </row>
    <row r="445" spans="1:44" ht="19.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c r="AK445" s="24"/>
      <c r="AL445" s="24"/>
      <c r="AM445" s="24"/>
      <c r="AN445" s="24"/>
      <c r="AO445" s="24"/>
      <c r="AP445" s="24"/>
      <c r="AQ445" s="24"/>
      <c r="AR445" s="24"/>
    </row>
    <row r="446" spans="1:44" ht="19.5">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4"/>
      <c r="AN446" s="24"/>
      <c r="AO446" s="24"/>
      <c r="AP446" s="24"/>
      <c r="AQ446" s="24"/>
      <c r="AR446" s="24"/>
    </row>
    <row r="447" spans="1:44" ht="19.5">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c r="AK447" s="24"/>
      <c r="AL447" s="24"/>
      <c r="AM447" s="24"/>
      <c r="AN447" s="24"/>
      <c r="AO447" s="24"/>
      <c r="AP447" s="24"/>
      <c r="AQ447" s="24"/>
      <c r="AR447" s="24"/>
    </row>
    <row r="448" spans="1:44" ht="19.5">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c r="AK448" s="24"/>
      <c r="AL448" s="24"/>
      <c r="AM448" s="24"/>
      <c r="AN448" s="24"/>
      <c r="AO448" s="24"/>
      <c r="AP448" s="24"/>
      <c r="AQ448" s="24"/>
      <c r="AR448" s="24"/>
    </row>
    <row r="449" spans="1:44" ht="19.5">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4"/>
      <c r="AN449" s="24"/>
      <c r="AO449" s="24"/>
      <c r="AP449" s="24"/>
      <c r="AQ449" s="24"/>
      <c r="AR449" s="24"/>
    </row>
    <row r="450" spans="1:44" ht="19.5">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c r="AK450" s="24"/>
      <c r="AL450" s="24"/>
      <c r="AM450" s="24"/>
      <c r="AN450" s="24"/>
      <c r="AO450" s="24"/>
      <c r="AP450" s="24"/>
      <c r="AQ450" s="24"/>
      <c r="AR450" s="24"/>
    </row>
    <row r="451" spans="1:44" ht="19.5">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c r="AK451" s="24"/>
      <c r="AL451" s="24"/>
      <c r="AM451" s="24"/>
      <c r="AN451" s="24"/>
      <c r="AO451" s="24"/>
      <c r="AP451" s="24"/>
      <c r="AQ451" s="24"/>
      <c r="AR451" s="24"/>
    </row>
    <row r="452" spans="1:44" ht="19.5">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c r="AK452" s="24"/>
      <c r="AL452" s="24"/>
      <c r="AM452" s="24"/>
      <c r="AN452" s="24"/>
      <c r="AO452" s="24"/>
      <c r="AP452" s="24"/>
      <c r="AQ452" s="24"/>
      <c r="AR452" s="24"/>
    </row>
    <row r="453" spans="1:44" ht="19.5">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c r="AK453" s="24"/>
      <c r="AL453" s="24"/>
      <c r="AM453" s="24"/>
      <c r="AN453" s="24"/>
      <c r="AO453" s="24"/>
      <c r="AP453" s="24"/>
      <c r="AQ453" s="24"/>
      <c r="AR453" s="24"/>
    </row>
    <row r="454" spans="1:44" ht="19.5">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c r="AK454" s="24"/>
      <c r="AL454" s="24"/>
      <c r="AM454" s="24"/>
      <c r="AN454" s="24"/>
      <c r="AO454" s="24"/>
      <c r="AP454" s="24"/>
      <c r="AQ454" s="24"/>
      <c r="AR454" s="24"/>
    </row>
    <row r="455" spans="1:44" ht="19.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c r="AK455" s="24"/>
      <c r="AL455" s="24"/>
      <c r="AM455" s="24"/>
      <c r="AN455" s="24"/>
      <c r="AO455" s="24"/>
      <c r="AP455" s="24"/>
      <c r="AQ455" s="24"/>
      <c r="AR455" s="24"/>
    </row>
    <row r="456" spans="1:44" ht="19.5">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c r="AK456" s="24"/>
      <c r="AL456" s="24"/>
      <c r="AM456" s="24"/>
      <c r="AN456" s="24"/>
      <c r="AO456" s="24"/>
      <c r="AP456" s="24"/>
      <c r="AQ456" s="24"/>
      <c r="AR456" s="24"/>
    </row>
    <row r="457" spans="1:44" ht="19.5">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c r="AK457" s="24"/>
      <c r="AL457" s="24"/>
      <c r="AM457" s="24"/>
      <c r="AN457" s="24"/>
      <c r="AO457" s="24"/>
      <c r="AP457" s="24"/>
      <c r="AQ457" s="24"/>
      <c r="AR457" s="24"/>
    </row>
    <row r="458" spans="1:44" ht="19.5">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c r="AK458" s="24"/>
      <c r="AL458" s="24"/>
      <c r="AM458" s="24"/>
      <c r="AN458" s="24"/>
      <c r="AO458" s="24"/>
      <c r="AP458" s="24"/>
      <c r="AQ458" s="24"/>
      <c r="AR458" s="24"/>
    </row>
    <row r="459" spans="1:44" ht="19.5">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c r="AK459" s="24"/>
      <c r="AL459" s="24"/>
      <c r="AM459" s="24"/>
      <c r="AN459" s="24"/>
      <c r="AO459" s="24"/>
      <c r="AP459" s="24"/>
      <c r="AQ459" s="24"/>
      <c r="AR459" s="24"/>
    </row>
    <row r="460" spans="1:44" ht="19.5">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c r="AK460" s="24"/>
      <c r="AL460" s="24"/>
      <c r="AM460" s="24"/>
      <c r="AN460" s="24"/>
      <c r="AO460" s="24"/>
      <c r="AP460" s="24"/>
      <c r="AQ460" s="24"/>
      <c r="AR460" s="24"/>
    </row>
    <row r="461" spans="1:44" ht="19.5">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c r="AK461" s="24"/>
      <c r="AL461" s="24"/>
      <c r="AM461" s="24"/>
      <c r="AN461" s="24"/>
      <c r="AO461" s="24"/>
      <c r="AP461" s="24"/>
      <c r="AQ461" s="24"/>
      <c r="AR461" s="24"/>
    </row>
    <row r="462" spans="1:44" ht="19.5">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c r="AK462" s="24"/>
      <c r="AL462" s="24"/>
      <c r="AM462" s="24"/>
      <c r="AN462" s="24"/>
      <c r="AO462" s="24"/>
      <c r="AP462" s="24"/>
      <c r="AQ462" s="24"/>
      <c r="AR462" s="24"/>
    </row>
    <row r="463" spans="1:44" ht="19.5">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c r="AK463" s="24"/>
      <c r="AL463" s="24"/>
      <c r="AM463" s="24"/>
      <c r="AN463" s="24"/>
      <c r="AO463" s="24"/>
      <c r="AP463" s="24"/>
      <c r="AQ463" s="24"/>
      <c r="AR463" s="24"/>
    </row>
    <row r="464" spans="1:44" ht="19.5">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c r="AK464" s="24"/>
      <c r="AL464" s="24"/>
      <c r="AM464" s="24"/>
      <c r="AN464" s="24"/>
      <c r="AO464" s="24"/>
      <c r="AP464" s="24"/>
      <c r="AQ464" s="24"/>
      <c r="AR464" s="24"/>
    </row>
    <row r="465" spans="1:44" ht="19.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row>
    <row r="466" spans="1:44" ht="19.5">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c r="AK466" s="24"/>
      <c r="AL466" s="24"/>
      <c r="AM466" s="24"/>
      <c r="AN466" s="24"/>
      <c r="AO466" s="24"/>
      <c r="AP466" s="24"/>
      <c r="AQ466" s="24"/>
      <c r="AR466" s="24"/>
    </row>
    <row r="467" spans="1:44" ht="19.5">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c r="AK467" s="24"/>
      <c r="AL467" s="24"/>
      <c r="AM467" s="24"/>
      <c r="AN467" s="24"/>
      <c r="AO467" s="24"/>
      <c r="AP467" s="24"/>
      <c r="AQ467" s="24"/>
      <c r="AR467" s="24"/>
    </row>
    <row r="468" spans="1:44" ht="19.5">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c r="AK468" s="24"/>
      <c r="AL468" s="24"/>
      <c r="AM468" s="24"/>
      <c r="AN468" s="24"/>
      <c r="AO468" s="24"/>
      <c r="AP468" s="24"/>
      <c r="AQ468" s="24"/>
      <c r="AR468" s="24"/>
    </row>
    <row r="469" spans="1:44" ht="19.5">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c r="AK469" s="24"/>
      <c r="AL469" s="24"/>
      <c r="AM469" s="24"/>
      <c r="AN469" s="24"/>
      <c r="AO469" s="24"/>
      <c r="AP469" s="24"/>
      <c r="AQ469" s="24"/>
      <c r="AR469" s="24"/>
    </row>
    <row r="470" spans="1:44" ht="19.5">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c r="AK470" s="24"/>
      <c r="AL470" s="24"/>
      <c r="AM470" s="24"/>
      <c r="AN470" s="24"/>
      <c r="AO470" s="24"/>
      <c r="AP470" s="24"/>
      <c r="AQ470" s="24"/>
      <c r="AR470" s="24"/>
    </row>
    <row r="471" spans="1:44" ht="19.5">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c r="AK471" s="24"/>
      <c r="AL471" s="24"/>
      <c r="AM471" s="24"/>
      <c r="AN471" s="24"/>
      <c r="AO471" s="24"/>
      <c r="AP471" s="24"/>
      <c r="AQ471" s="24"/>
      <c r="AR471" s="24"/>
    </row>
    <row r="472" spans="1:44" ht="19.5">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4"/>
      <c r="AN472" s="24"/>
      <c r="AO472" s="24"/>
      <c r="AP472" s="24"/>
      <c r="AQ472" s="24"/>
      <c r="AR472" s="24"/>
    </row>
    <row r="473" spans="1:44" ht="19.5">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c r="AK473" s="24"/>
      <c r="AL473" s="24"/>
      <c r="AM473" s="24"/>
      <c r="AN473" s="24"/>
      <c r="AO473" s="24"/>
      <c r="AP473" s="24"/>
      <c r="AQ473" s="24"/>
      <c r="AR473" s="24"/>
    </row>
    <row r="474" spans="1:44" ht="19.5">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c r="AK474" s="24"/>
      <c r="AL474" s="24"/>
      <c r="AM474" s="24"/>
      <c r="AN474" s="24"/>
      <c r="AO474" s="24"/>
      <c r="AP474" s="24"/>
      <c r="AQ474" s="24"/>
      <c r="AR474" s="24"/>
    </row>
    <row r="475" spans="1:44" ht="19.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c r="AK475" s="24"/>
      <c r="AL475" s="24"/>
      <c r="AM475" s="24"/>
      <c r="AN475" s="24"/>
      <c r="AO475" s="24"/>
      <c r="AP475" s="24"/>
      <c r="AQ475" s="24"/>
      <c r="AR475" s="24"/>
    </row>
    <row r="476" spans="1:44" ht="19.5">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c r="AK476" s="24"/>
      <c r="AL476" s="24"/>
      <c r="AM476" s="24"/>
      <c r="AN476" s="24"/>
      <c r="AO476" s="24"/>
      <c r="AP476" s="24"/>
      <c r="AQ476" s="24"/>
      <c r="AR476" s="24"/>
    </row>
    <row r="477" spans="1:44" ht="19.5">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c r="AK477" s="24"/>
      <c r="AL477" s="24"/>
      <c r="AM477" s="24"/>
      <c r="AN477" s="24"/>
      <c r="AO477" s="24"/>
      <c r="AP477" s="24"/>
      <c r="AQ477" s="24"/>
      <c r="AR477" s="24"/>
    </row>
    <row r="478" spans="1:44" ht="19.5">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c r="AK478" s="24"/>
      <c r="AL478" s="24"/>
      <c r="AM478" s="24"/>
      <c r="AN478" s="24"/>
      <c r="AO478" s="24"/>
      <c r="AP478" s="24"/>
      <c r="AQ478" s="24"/>
      <c r="AR478" s="24"/>
    </row>
    <row r="479" spans="1:44" ht="19.5">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c r="AK479" s="24"/>
      <c r="AL479" s="24"/>
      <c r="AM479" s="24"/>
      <c r="AN479" s="24"/>
      <c r="AO479" s="24"/>
      <c r="AP479" s="24"/>
      <c r="AQ479" s="24"/>
      <c r="AR479" s="24"/>
    </row>
    <row r="480" spans="1:44" ht="19.5">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c r="AK480" s="24"/>
      <c r="AL480" s="24"/>
      <c r="AM480" s="24"/>
      <c r="AN480" s="24"/>
      <c r="AO480" s="24"/>
      <c r="AP480" s="24"/>
      <c r="AQ480" s="24"/>
      <c r="AR480" s="24"/>
    </row>
    <row r="481" spans="1:44" ht="19.5">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c r="AK481" s="24"/>
      <c r="AL481" s="24"/>
      <c r="AM481" s="24"/>
      <c r="AN481" s="24"/>
      <c r="AO481" s="24"/>
      <c r="AP481" s="24"/>
      <c r="AQ481" s="24"/>
      <c r="AR481" s="24"/>
    </row>
    <row r="482" spans="1:44" ht="19.5">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c r="AK482" s="24"/>
      <c r="AL482" s="24"/>
      <c r="AM482" s="24"/>
      <c r="AN482" s="24"/>
      <c r="AO482" s="24"/>
      <c r="AP482" s="24"/>
      <c r="AQ482" s="24"/>
      <c r="AR482" s="24"/>
    </row>
    <row r="483" spans="1:44" ht="19.5">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c r="AK483" s="24"/>
      <c r="AL483" s="24"/>
      <c r="AM483" s="24"/>
      <c r="AN483" s="24"/>
      <c r="AO483" s="24"/>
      <c r="AP483" s="24"/>
      <c r="AQ483" s="24"/>
      <c r="AR483" s="24"/>
    </row>
    <row r="484" spans="1:44" ht="19.5">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c r="AK484" s="24"/>
      <c r="AL484" s="24"/>
      <c r="AM484" s="24"/>
      <c r="AN484" s="24"/>
      <c r="AO484" s="24"/>
      <c r="AP484" s="24"/>
      <c r="AQ484" s="24"/>
      <c r="AR484" s="24"/>
    </row>
    <row r="485" spans="1:44" ht="19.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c r="AK485" s="24"/>
      <c r="AL485" s="24"/>
      <c r="AM485" s="24"/>
      <c r="AN485" s="24"/>
      <c r="AO485" s="24"/>
      <c r="AP485" s="24"/>
      <c r="AQ485" s="24"/>
      <c r="AR485" s="24"/>
    </row>
    <row r="486" spans="1:44" ht="19.5">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c r="AK486" s="24"/>
      <c r="AL486" s="24"/>
      <c r="AM486" s="24"/>
      <c r="AN486" s="24"/>
      <c r="AO486" s="24"/>
      <c r="AP486" s="24"/>
      <c r="AQ486" s="24"/>
      <c r="AR486" s="24"/>
    </row>
    <row r="487" spans="1:44" ht="19.5">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c r="AK487" s="24"/>
      <c r="AL487" s="24"/>
      <c r="AM487" s="24"/>
      <c r="AN487" s="24"/>
      <c r="AO487" s="24"/>
      <c r="AP487" s="24"/>
      <c r="AQ487" s="24"/>
      <c r="AR487" s="24"/>
    </row>
    <row r="488" spans="1:44" ht="19.5">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c r="AK488" s="24"/>
      <c r="AL488" s="24"/>
      <c r="AM488" s="24"/>
      <c r="AN488" s="24"/>
      <c r="AO488" s="24"/>
      <c r="AP488" s="24"/>
      <c r="AQ488" s="24"/>
      <c r="AR488" s="24"/>
    </row>
    <row r="489" spans="1:44" ht="19.5">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c r="AK489" s="24"/>
      <c r="AL489" s="24"/>
      <c r="AM489" s="24"/>
      <c r="AN489" s="24"/>
      <c r="AO489" s="24"/>
      <c r="AP489" s="24"/>
      <c r="AQ489" s="24"/>
      <c r="AR489" s="24"/>
    </row>
    <row r="490" spans="1:44" ht="19.5">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c r="AK490" s="24"/>
      <c r="AL490" s="24"/>
      <c r="AM490" s="24"/>
      <c r="AN490" s="24"/>
      <c r="AO490" s="24"/>
      <c r="AP490" s="24"/>
      <c r="AQ490" s="24"/>
      <c r="AR490" s="24"/>
    </row>
    <row r="491" spans="1:44" ht="19.5">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c r="AK491" s="24"/>
      <c r="AL491" s="24"/>
      <c r="AM491" s="24"/>
      <c r="AN491" s="24"/>
      <c r="AO491" s="24"/>
      <c r="AP491" s="24"/>
      <c r="AQ491" s="24"/>
      <c r="AR491" s="24"/>
    </row>
    <row r="492" spans="1:44" ht="19.5">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c r="AK492" s="24"/>
      <c r="AL492" s="24"/>
      <c r="AM492" s="24"/>
      <c r="AN492" s="24"/>
      <c r="AO492" s="24"/>
      <c r="AP492" s="24"/>
      <c r="AQ492" s="24"/>
      <c r="AR492" s="24"/>
    </row>
    <row r="493" spans="1:44" ht="19.5">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c r="AK493" s="24"/>
      <c r="AL493" s="24"/>
      <c r="AM493" s="24"/>
      <c r="AN493" s="24"/>
      <c r="AO493" s="24"/>
      <c r="AP493" s="24"/>
      <c r="AQ493" s="24"/>
      <c r="AR493" s="24"/>
    </row>
    <row r="494" spans="1:44" ht="19.5">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c r="AK494" s="24"/>
      <c r="AL494" s="24"/>
      <c r="AM494" s="24"/>
      <c r="AN494" s="24"/>
      <c r="AO494" s="24"/>
      <c r="AP494" s="24"/>
      <c r="AQ494" s="24"/>
      <c r="AR494" s="24"/>
    </row>
    <row r="495" spans="1:44" ht="1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c r="AK495" s="24"/>
      <c r="AL495" s="24"/>
      <c r="AM495" s="24"/>
      <c r="AN495" s="24"/>
      <c r="AO495" s="24"/>
      <c r="AP495" s="24"/>
      <c r="AQ495" s="24"/>
      <c r="AR495" s="24"/>
    </row>
    <row r="496" spans="1:44" ht="19.5">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c r="AK496" s="24"/>
      <c r="AL496" s="24"/>
      <c r="AM496" s="24"/>
      <c r="AN496" s="24"/>
      <c r="AO496" s="24"/>
      <c r="AP496" s="24"/>
      <c r="AQ496" s="24"/>
      <c r="AR496" s="24"/>
    </row>
    <row r="497" spans="1:44" ht="19.5">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c r="AK497" s="24"/>
      <c r="AL497" s="24"/>
      <c r="AM497" s="24"/>
      <c r="AN497" s="24"/>
      <c r="AO497" s="24"/>
      <c r="AP497" s="24"/>
      <c r="AQ497" s="24"/>
      <c r="AR497" s="24"/>
    </row>
    <row r="498" spans="1:44" ht="19.5">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c r="AK498" s="24"/>
      <c r="AL498" s="24"/>
      <c r="AM498" s="24"/>
      <c r="AN498" s="24"/>
      <c r="AO498" s="24"/>
      <c r="AP498" s="24"/>
      <c r="AQ498" s="24"/>
      <c r="AR498" s="24"/>
    </row>
    <row r="499" spans="1:44" ht="19.5">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c r="AK499" s="24"/>
      <c r="AL499" s="24"/>
      <c r="AM499" s="24"/>
      <c r="AN499" s="24"/>
      <c r="AO499" s="24"/>
      <c r="AP499" s="24"/>
      <c r="AQ499" s="24"/>
      <c r="AR499" s="24"/>
    </row>
    <row r="500" spans="1:44" ht="19.5">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c r="AK500" s="24"/>
      <c r="AL500" s="24"/>
      <c r="AM500" s="24"/>
      <c r="AN500" s="24"/>
      <c r="AO500" s="24"/>
      <c r="AP500" s="24"/>
      <c r="AQ500" s="24"/>
      <c r="AR500" s="24"/>
    </row>
    <row r="501" spans="1:44" ht="19.5">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c r="AK501" s="24"/>
      <c r="AL501" s="24"/>
      <c r="AM501" s="24"/>
      <c r="AN501" s="24"/>
      <c r="AO501" s="24"/>
      <c r="AP501" s="24"/>
      <c r="AQ501" s="24"/>
      <c r="AR501" s="24"/>
    </row>
    <row r="502" spans="1:44" ht="19.5">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c r="AK502" s="24"/>
      <c r="AL502" s="24"/>
      <c r="AM502" s="24"/>
      <c r="AN502" s="24"/>
      <c r="AO502" s="24"/>
      <c r="AP502" s="24"/>
      <c r="AQ502" s="24"/>
      <c r="AR502" s="24"/>
    </row>
    <row r="503" spans="1:44" ht="19.5">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c r="AK503" s="24"/>
      <c r="AL503" s="24"/>
      <c r="AM503" s="24"/>
      <c r="AN503" s="24"/>
      <c r="AO503" s="24"/>
      <c r="AP503" s="24"/>
      <c r="AQ503" s="24"/>
      <c r="AR503" s="24"/>
    </row>
    <row r="504" spans="1:44" ht="19.5">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c r="AK504" s="24"/>
      <c r="AL504" s="24"/>
      <c r="AM504" s="24"/>
      <c r="AN504" s="24"/>
      <c r="AO504" s="24"/>
      <c r="AP504" s="24"/>
      <c r="AQ504" s="24"/>
      <c r="AR504" s="24"/>
    </row>
    <row r="505" spans="1:44" ht="19.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c r="AK505" s="24"/>
      <c r="AL505" s="24"/>
      <c r="AM505" s="24"/>
      <c r="AN505" s="24"/>
      <c r="AO505" s="24"/>
      <c r="AP505" s="24"/>
      <c r="AQ505" s="24"/>
      <c r="AR505" s="24"/>
    </row>
    <row r="506" spans="1:44" ht="19.5">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c r="AK506" s="24"/>
      <c r="AL506" s="24"/>
      <c r="AM506" s="24"/>
      <c r="AN506" s="24"/>
      <c r="AO506" s="24"/>
      <c r="AP506" s="24"/>
      <c r="AQ506" s="24"/>
      <c r="AR506" s="24"/>
    </row>
    <row r="507" spans="1:44" ht="19.5">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c r="AK507" s="24"/>
      <c r="AL507" s="24"/>
      <c r="AM507" s="24"/>
      <c r="AN507" s="24"/>
      <c r="AO507" s="24"/>
      <c r="AP507" s="24"/>
      <c r="AQ507" s="24"/>
      <c r="AR507" s="24"/>
    </row>
    <row r="508" spans="1:44" ht="19.5">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c r="AK508" s="24"/>
      <c r="AL508" s="24"/>
      <c r="AM508" s="24"/>
      <c r="AN508" s="24"/>
      <c r="AO508" s="24"/>
      <c r="AP508" s="24"/>
      <c r="AQ508" s="24"/>
      <c r="AR508" s="24"/>
    </row>
    <row r="509" spans="1:44" ht="19.5">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c r="AK509" s="24"/>
      <c r="AL509" s="24"/>
      <c r="AM509" s="24"/>
      <c r="AN509" s="24"/>
      <c r="AO509" s="24"/>
      <c r="AP509" s="24"/>
      <c r="AQ509" s="24"/>
      <c r="AR509" s="24"/>
    </row>
    <row r="510" spans="1:44" ht="19.5">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c r="AK510" s="24"/>
      <c r="AL510" s="24"/>
      <c r="AM510" s="24"/>
      <c r="AN510" s="24"/>
      <c r="AO510" s="24"/>
      <c r="AP510" s="24"/>
      <c r="AQ510" s="24"/>
      <c r="AR510" s="24"/>
    </row>
    <row r="511" spans="1:44" ht="19.5">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c r="AK511" s="24"/>
      <c r="AL511" s="24"/>
      <c r="AM511" s="24"/>
      <c r="AN511" s="24"/>
      <c r="AO511" s="24"/>
      <c r="AP511" s="24"/>
      <c r="AQ511" s="24"/>
      <c r="AR511" s="24"/>
    </row>
    <row r="512" spans="1:44" ht="19.5">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4"/>
      <c r="AN512" s="24"/>
      <c r="AO512" s="24"/>
      <c r="AP512" s="24"/>
      <c r="AQ512" s="24"/>
      <c r="AR512" s="24"/>
    </row>
    <row r="513" spans="1:44" ht="19.5">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c r="AK513" s="24"/>
      <c r="AL513" s="24"/>
      <c r="AM513" s="24"/>
      <c r="AN513" s="24"/>
      <c r="AO513" s="24"/>
      <c r="AP513" s="24"/>
      <c r="AQ513" s="24"/>
      <c r="AR513" s="24"/>
    </row>
    <row r="514" spans="1:44" ht="19.5">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4"/>
      <c r="AN514" s="24"/>
      <c r="AO514" s="24"/>
      <c r="AP514" s="24"/>
      <c r="AQ514" s="24"/>
      <c r="AR514" s="24"/>
    </row>
    <row r="515" spans="1:44" ht="19.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c r="AK515" s="24"/>
      <c r="AL515" s="24"/>
      <c r="AM515" s="24"/>
      <c r="AN515" s="24"/>
      <c r="AO515" s="24"/>
      <c r="AP515" s="24"/>
      <c r="AQ515" s="24"/>
      <c r="AR515" s="24"/>
    </row>
    <row r="516" spans="1:44" ht="19.5">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c r="AK516" s="24"/>
      <c r="AL516" s="24"/>
      <c r="AM516" s="24"/>
      <c r="AN516" s="24"/>
      <c r="AO516" s="24"/>
      <c r="AP516" s="24"/>
      <c r="AQ516" s="24"/>
      <c r="AR516" s="24"/>
    </row>
    <row r="517" spans="1:44" ht="19.5">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c r="AK517" s="24"/>
      <c r="AL517" s="24"/>
      <c r="AM517" s="24"/>
      <c r="AN517" s="24"/>
      <c r="AO517" s="24"/>
      <c r="AP517" s="24"/>
      <c r="AQ517" s="24"/>
      <c r="AR517" s="24"/>
    </row>
    <row r="518" spans="1:44" ht="19.5">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c r="AK518" s="24"/>
      <c r="AL518" s="24"/>
      <c r="AM518" s="24"/>
      <c r="AN518" s="24"/>
      <c r="AO518" s="24"/>
      <c r="AP518" s="24"/>
      <c r="AQ518" s="24"/>
      <c r="AR518" s="24"/>
    </row>
    <row r="519" spans="1:44" ht="19.5">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c r="AK519" s="24"/>
      <c r="AL519" s="24"/>
      <c r="AM519" s="24"/>
      <c r="AN519" s="24"/>
      <c r="AO519" s="24"/>
      <c r="AP519" s="24"/>
      <c r="AQ519" s="24"/>
      <c r="AR519" s="24"/>
    </row>
    <row r="520" spans="1:44" ht="19.5">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c r="AK520" s="24"/>
      <c r="AL520" s="24"/>
      <c r="AM520" s="24"/>
      <c r="AN520" s="24"/>
      <c r="AO520" s="24"/>
      <c r="AP520" s="24"/>
      <c r="AQ520" s="24"/>
      <c r="AR520" s="24"/>
    </row>
    <row r="521" spans="1:44" ht="19.5">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c r="AK521" s="24"/>
      <c r="AL521" s="24"/>
      <c r="AM521" s="24"/>
      <c r="AN521" s="24"/>
      <c r="AO521" s="24"/>
      <c r="AP521" s="24"/>
      <c r="AQ521" s="24"/>
      <c r="AR521" s="24"/>
    </row>
    <row r="522" spans="1:44" ht="19.5">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c r="AK522" s="24"/>
      <c r="AL522" s="24"/>
      <c r="AM522" s="24"/>
      <c r="AN522" s="24"/>
      <c r="AO522" s="24"/>
      <c r="AP522" s="24"/>
      <c r="AQ522" s="24"/>
      <c r="AR522" s="24"/>
    </row>
    <row r="523" spans="1:44" ht="19.5">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c r="AK523" s="24"/>
      <c r="AL523" s="24"/>
      <c r="AM523" s="24"/>
      <c r="AN523" s="24"/>
      <c r="AO523" s="24"/>
      <c r="AP523" s="24"/>
      <c r="AQ523" s="24"/>
      <c r="AR523" s="24"/>
    </row>
    <row r="524" spans="1:44" ht="19.5">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c r="AK524" s="24"/>
      <c r="AL524" s="24"/>
      <c r="AM524" s="24"/>
      <c r="AN524" s="24"/>
      <c r="AO524" s="24"/>
      <c r="AP524" s="24"/>
      <c r="AQ524" s="24"/>
      <c r="AR524" s="24"/>
    </row>
    <row r="525" spans="1:44" ht="19.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c r="AK525" s="24"/>
      <c r="AL525" s="24"/>
      <c r="AM525" s="24"/>
      <c r="AN525" s="24"/>
      <c r="AO525" s="24"/>
      <c r="AP525" s="24"/>
      <c r="AQ525" s="24"/>
      <c r="AR525" s="24"/>
    </row>
    <row r="526" spans="1:44" ht="19.5">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c r="AK526" s="24"/>
      <c r="AL526" s="24"/>
      <c r="AM526" s="24"/>
      <c r="AN526" s="24"/>
      <c r="AO526" s="24"/>
      <c r="AP526" s="24"/>
      <c r="AQ526" s="24"/>
      <c r="AR526" s="24"/>
    </row>
    <row r="527" spans="1:44" ht="19.5">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c r="AK527" s="24"/>
      <c r="AL527" s="24"/>
      <c r="AM527" s="24"/>
      <c r="AN527" s="24"/>
      <c r="AO527" s="24"/>
      <c r="AP527" s="24"/>
      <c r="AQ527" s="24"/>
      <c r="AR527" s="24"/>
    </row>
    <row r="528" spans="1:44" ht="19.5">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c r="AK528" s="24"/>
      <c r="AL528" s="24"/>
      <c r="AM528" s="24"/>
      <c r="AN528" s="24"/>
      <c r="AO528" s="24"/>
      <c r="AP528" s="24"/>
      <c r="AQ528" s="24"/>
      <c r="AR528" s="24"/>
    </row>
    <row r="529" spans="1:44" ht="19.5">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c r="AK529" s="24"/>
      <c r="AL529" s="24"/>
      <c r="AM529" s="24"/>
      <c r="AN529" s="24"/>
      <c r="AO529" s="24"/>
      <c r="AP529" s="24"/>
      <c r="AQ529" s="24"/>
      <c r="AR529" s="24"/>
    </row>
    <row r="530" spans="1:44" ht="19.5">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c r="AK530" s="24"/>
      <c r="AL530" s="24"/>
      <c r="AM530" s="24"/>
      <c r="AN530" s="24"/>
      <c r="AO530" s="24"/>
      <c r="AP530" s="24"/>
      <c r="AQ530" s="24"/>
      <c r="AR530" s="24"/>
    </row>
    <row r="531" spans="1:44" ht="19.5">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c r="AK531" s="24"/>
      <c r="AL531" s="24"/>
      <c r="AM531" s="24"/>
      <c r="AN531" s="24"/>
      <c r="AO531" s="24"/>
      <c r="AP531" s="24"/>
      <c r="AQ531" s="24"/>
      <c r="AR531" s="24"/>
    </row>
    <row r="532" spans="1:44" ht="19.5">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c r="AK532" s="24"/>
      <c r="AL532" s="24"/>
      <c r="AM532" s="24"/>
      <c r="AN532" s="24"/>
      <c r="AO532" s="24"/>
      <c r="AP532" s="24"/>
      <c r="AQ532" s="24"/>
      <c r="AR532" s="24"/>
    </row>
    <row r="533" spans="1:44" ht="19.5">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c r="AK533" s="24"/>
      <c r="AL533" s="24"/>
      <c r="AM533" s="24"/>
      <c r="AN533" s="24"/>
      <c r="AO533" s="24"/>
      <c r="AP533" s="24"/>
      <c r="AQ533" s="24"/>
      <c r="AR533" s="24"/>
    </row>
    <row r="534" spans="1:44" ht="19.5">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4"/>
      <c r="AN534" s="24"/>
      <c r="AO534" s="24"/>
      <c r="AP534" s="24"/>
      <c r="AQ534" s="24"/>
      <c r="AR534" s="24"/>
    </row>
    <row r="535" spans="1:44" ht="19.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c r="AK535" s="24"/>
      <c r="AL535" s="24"/>
      <c r="AM535" s="24"/>
      <c r="AN535" s="24"/>
      <c r="AO535" s="24"/>
      <c r="AP535" s="24"/>
      <c r="AQ535" s="24"/>
      <c r="AR535" s="24"/>
    </row>
    <row r="536" spans="1:44" ht="19.5">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c r="AK536" s="24"/>
      <c r="AL536" s="24"/>
      <c r="AM536" s="24"/>
      <c r="AN536" s="24"/>
      <c r="AO536" s="24"/>
      <c r="AP536" s="24"/>
      <c r="AQ536" s="24"/>
      <c r="AR536" s="24"/>
    </row>
    <row r="537" spans="1:44" ht="19.5">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c r="AK537" s="24"/>
      <c r="AL537" s="24"/>
      <c r="AM537" s="24"/>
      <c r="AN537" s="24"/>
      <c r="AO537" s="24"/>
      <c r="AP537" s="24"/>
      <c r="AQ537" s="24"/>
      <c r="AR537" s="24"/>
    </row>
    <row r="538" spans="1:44" ht="19.5">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c r="AK538" s="24"/>
      <c r="AL538" s="24"/>
      <c r="AM538" s="24"/>
      <c r="AN538" s="24"/>
      <c r="AO538" s="24"/>
      <c r="AP538" s="24"/>
      <c r="AQ538" s="24"/>
      <c r="AR538" s="24"/>
    </row>
    <row r="539" spans="1:44" ht="19.5">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c r="AK539" s="24"/>
      <c r="AL539" s="24"/>
      <c r="AM539" s="24"/>
      <c r="AN539" s="24"/>
      <c r="AO539" s="24"/>
      <c r="AP539" s="24"/>
      <c r="AQ539" s="24"/>
      <c r="AR539" s="24"/>
    </row>
    <row r="540" spans="1:44" ht="19.5">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c r="AK540" s="24"/>
      <c r="AL540" s="24"/>
      <c r="AM540" s="24"/>
      <c r="AN540" s="24"/>
      <c r="AO540" s="24"/>
      <c r="AP540" s="24"/>
      <c r="AQ540" s="24"/>
      <c r="AR540" s="24"/>
    </row>
    <row r="541" spans="1:44" ht="19.5">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c r="AK541" s="24"/>
      <c r="AL541" s="24"/>
      <c r="AM541" s="24"/>
      <c r="AN541" s="24"/>
      <c r="AO541" s="24"/>
      <c r="AP541" s="24"/>
      <c r="AQ541" s="24"/>
      <c r="AR541" s="24"/>
    </row>
    <row r="542" spans="1:44" ht="19.5">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c r="AK542" s="24"/>
      <c r="AL542" s="24"/>
      <c r="AM542" s="24"/>
      <c r="AN542" s="24"/>
      <c r="AO542" s="24"/>
      <c r="AP542" s="24"/>
      <c r="AQ542" s="24"/>
      <c r="AR542" s="24"/>
    </row>
    <row r="543" spans="1:44" ht="19.5">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c r="AK543" s="24"/>
      <c r="AL543" s="24"/>
      <c r="AM543" s="24"/>
      <c r="AN543" s="24"/>
      <c r="AO543" s="24"/>
      <c r="AP543" s="24"/>
      <c r="AQ543" s="24"/>
      <c r="AR543" s="24"/>
    </row>
    <row r="544" spans="1:44" ht="19.5">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c r="AK544" s="24"/>
      <c r="AL544" s="24"/>
      <c r="AM544" s="24"/>
      <c r="AN544" s="24"/>
      <c r="AO544" s="24"/>
      <c r="AP544" s="24"/>
      <c r="AQ544" s="24"/>
      <c r="AR544" s="24"/>
    </row>
    <row r="545" spans="1:44" ht="19.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c r="AK545" s="24"/>
      <c r="AL545" s="24"/>
      <c r="AM545" s="24"/>
      <c r="AN545" s="24"/>
      <c r="AO545" s="24"/>
      <c r="AP545" s="24"/>
      <c r="AQ545" s="24"/>
      <c r="AR545" s="24"/>
    </row>
    <row r="546" spans="1:44" ht="19.5">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c r="AK546" s="24"/>
      <c r="AL546" s="24"/>
      <c r="AM546" s="24"/>
      <c r="AN546" s="24"/>
      <c r="AO546" s="24"/>
      <c r="AP546" s="24"/>
      <c r="AQ546" s="24"/>
      <c r="AR546" s="24"/>
    </row>
    <row r="547" spans="1:44" ht="19.5">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c r="AK547" s="24"/>
      <c r="AL547" s="24"/>
      <c r="AM547" s="24"/>
      <c r="AN547" s="24"/>
      <c r="AO547" s="24"/>
      <c r="AP547" s="24"/>
      <c r="AQ547" s="24"/>
      <c r="AR547" s="24"/>
    </row>
    <row r="548" spans="1:44" ht="19.5">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c r="AK548" s="24"/>
      <c r="AL548" s="24"/>
      <c r="AM548" s="24"/>
      <c r="AN548" s="24"/>
      <c r="AO548" s="24"/>
      <c r="AP548" s="24"/>
      <c r="AQ548" s="24"/>
      <c r="AR548" s="24"/>
    </row>
    <row r="549" spans="1:44" ht="19.5">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row>
    <row r="550" spans="1:44" ht="19.5">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c r="AK550" s="24"/>
      <c r="AL550" s="24"/>
      <c r="AM550" s="24"/>
      <c r="AN550" s="24"/>
      <c r="AO550" s="24"/>
      <c r="AP550" s="24"/>
      <c r="AQ550" s="24"/>
      <c r="AR550" s="24"/>
    </row>
    <row r="551" spans="1:44" ht="19.5">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c r="AK551" s="24"/>
      <c r="AL551" s="24"/>
      <c r="AM551" s="24"/>
      <c r="AN551" s="24"/>
      <c r="AO551" s="24"/>
      <c r="AP551" s="24"/>
      <c r="AQ551" s="24"/>
      <c r="AR551" s="24"/>
    </row>
    <row r="552" spans="1:44" ht="19.5">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c r="AK552" s="24"/>
      <c r="AL552" s="24"/>
      <c r="AM552" s="24"/>
      <c r="AN552" s="24"/>
      <c r="AO552" s="24"/>
      <c r="AP552" s="24"/>
      <c r="AQ552" s="24"/>
      <c r="AR552" s="24"/>
    </row>
    <row r="553" spans="1:44" ht="19.5">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c r="AK553" s="24"/>
      <c r="AL553" s="24"/>
      <c r="AM553" s="24"/>
      <c r="AN553" s="24"/>
      <c r="AO553" s="24"/>
      <c r="AP553" s="24"/>
      <c r="AQ553" s="24"/>
      <c r="AR553" s="24"/>
    </row>
    <row r="554" spans="1:44" ht="19.5">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c r="AK554" s="24"/>
      <c r="AL554" s="24"/>
      <c r="AM554" s="24"/>
      <c r="AN554" s="24"/>
      <c r="AO554" s="24"/>
      <c r="AP554" s="24"/>
      <c r="AQ554" s="24"/>
      <c r="AR554" s="24"/>
    </row>
    <row r="555" spans="1:44" ht="19.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c r="AK555" s="24"/>
      <c r="AL555" s="24"/>
      <c r="AM555" s="24"/>
      <c r="AN555" s="24"/>
      <c r="AO555" s="24"/>
      <c r="AP555" s="24"/>
      <c r="AQ555" s="24"/>
      <c r="AR555" s="24"/>
    </row>
    <row r="556" spans="1:44" ht="19.5">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c r="AK556" s="24"/>
      <c r="AL556" s="24"/>
      <c r="AM556" s="24"/>
      <c r="AN556" s="24"/>
      <c r="AO556" s="24"/>
      <c r="AP556" s="24"/>
      <c r="AQ556" s="24"/>
      <c r="AR556" s="24"/>
    </row>
    <row r="557" spans="1:44" ht="19.5">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c r="AK557" s="24"/>
      <c r="AL557" s="24"/>
      <c r="AM557" s="24"/>
      <c r="AN557" s="24"/>
      <c r="AO557" s="24"/>
      <c r="AP557" s="24"/>
      <c r="AQ557" s="24"/>
      <c r="AR557" s="24"/>
    </row>
    <row r="558" spans="1:44" ht="19.5">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c r="AK558" s="24"/>
      <c r="AL558" s="24"/>
      <c r="AM558" s="24"/>
      <c r="AN558" s="24"/>
      <c r="AO558" s="24"/>
      <c r="AP558" s="24"/>
      <c r="AQ558" s="24"/>
      <c r="AR558" s="24"/>
    </row>
    <row r="559" spans="1:44" ht="19.5">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c r="AK559" s="24"/>
      <c r="AL559" s="24"/>
      <c r="AM559" s="24"/>
      <c r="AN559" s="24"/>
      <c r="AO559" s="24"/>
      <c r="AP559" s="24"/>
      <c r="AQ559" s="24"/>
      <c r="AR559" s="24"/>
    </row>
    <row r="560" spans="1:44" ht="19.5">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c r="AK560" s="24"/>
      <c r="AL560" s="24"/>
      <c r="AM560" s="24"/>
      <c r="AN560" s="24"/>
      <c r="AO560" s="24"/>
      <c r="AP560" s="24"/>
      <c r="AQ560" s="24"/>
      <c r="AR560" s="24"/>
    </row>
    <row r="561" spans="1:44" ht="19.5">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c r="AK561" s="24"/>
      <c r="AL561" s="24"/>
      <c r="AM561" s="24"/>
      <c r="AN561" s="24"/>
      <c r="AO561" s="24"/>
      <c r="AP561" s="24"/>
      <c r="AQ561" s="24"/>
      <c r="AR561" s="24"/>
    </row>
    <row r="562" spans="1:44" ht="19.5">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c r="AK562" s="24"/>
      <c r="AL562" s="24"/>
      <c r="AM562" s="24"/>
      <c r="AN562" s="24"/>
      <c r="AO562" s="24"/>
      <c r="AP562" s="24"/>
      <c r="AQ562" s="24"/>
      <c r="AR562" s="24"/>
    </row>
    <row r="563" spans="1:44" ht="19.5">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c r="AK563" s="24"/>
      <c r="AL563" s="24"/>
      <c r="AM563" s="24"/>
      <c r="AN563" s="24"/>
      <c r="AO563" s="24"/>
      <c r="AP563" s="24"/>
      <c r="AQ563" s="24"/>
      <c r="AR563" s="24"/>
    </row>
    <row r="564" spans="1:44" ht="19.5">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c r="AK564" s="24"/>
      <c r="AL564" s="24"/>
      <c r="AM564" s="24"/>
      <c r="AN564" s="24"/>
      <c r="AO564" s="24"/>
      <c r="AP564" s="24"/>
      <c r="AQ564" s="24"/>
      <c r="AR564" s="24"/>
    </row>
    <row r="565" spans="1:44" ht="19.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c r="AK565" s="24"/>
      <c r="AL565" s="24"/>
      <c r="AM565" s="24"/>
      <c r="AN565" s="24"/>
      <c r="AO565" s="24"/>
      <c r="AP565" s="24"/>
      <c r="AQ565" s="24"/>
      <c r="AR565" s="24"/>
    </row>
    <row r="566" spans="1:44" ht="19.5">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c r="AK566" s="24"/>
      <c r="AL566" s="24"/>
      <c r="AM566" s="24"/>
      <c r="AN566" s="24"/>
      <c r="AO566" s="24"/>
      <c r="AP566" s="24"/>
      <c r="AQ566" s="24"/>
      <c r="AR566" s="24"/>
    </row>
    <row r="567" spans="1:44" ht="19.5">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c r="AK567" s="24"/>
      <c r="AL567" s="24"/>
      <c r="AM567" s="24"/>
      <c r="AN567" s="24"/>
      <c r="AO567" s="24"/>
      <c r="AP567" s="24"/>
      <c r="AQ567" s="24"/>
      <c r="AR567" s="24"/>
    </row>
    <row r="568" spans="1:44" ht="19.5">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c r="AK568" s="24"/>
      <c r="AL568" s="24"/>
      <c r="AM568" s="24"/>
      <c r="AN568" s="24"/>
      <c r="AO568" s="24"/>
      <c r="AP568" s="24"/>
      <c r="AQ568" s="24"/>
      <c r="AR568" s="24"/>
    </row>
    <row r="569" spans="1:44" ht="19.5">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c r="AK569" s="24"/>
      <c r="AL569" s="24"/>
      <c r="AM569" s="24"/>
      <c r="AN569" s="24"/>
      <c r="AO569" s="24"/>
      <c r="AP569" s="24"/>
      <c r="AQ569" s="24"/>
      <c r="AR569" s="24"/>
    </row>
    <row r="570" spans="1:44" ht="19.5">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c r="AK570" s="24"/>
      <c r="AL570" s="24"/>
      <c r="AM570" s="24"/>
      <c r="AN570" s="24"/>
      <c r="AO570" s="24"/>
      <c r="AP570" s="24"/>
      <c r="AQ570" s="24"/>
      <c r="AR570" s="24"/>
    </row>
    <row r="571" spans="1:44" ht="19.5">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c r="AK571" s="24"/>
      <c r="AL571" s="24"/>
      <c r="AM571" s="24"/>
      <c r="AN571" s="24"/>
      <c r="AO571" s="24"/>
      <c r="AP571" s="24"/>
      <c r="AQ571" s="24"/>
      <c r="AR571" s="24"/>
    </row>
    <row r="572" spans="1:44" ht="19.5">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c r="AK572" s="24"/>
      <c r="AL572" s="24"/>
      <c r="AM572" s="24"/>
      <c r="AN572" s="24"/>
      <c r="AO572" s="24"/>
      <c r="AP572" s="24"/>
      <c r="AQ572" s="24"/>
      <c r="AR572" s="24"/>
    </row>
    <row r="573" spans="1:44" ht="19.5">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c r="AK573" s="24"/>
      <c r="AL573" s="24"/>
      <c r="AM573" s="24"/>
      <c r="AN573" s="24"/>
      <c r="AO573" s="24"/>
      <c r="AP573" s="24"/>
      <c r="AQ573" s="24"/>
      <c r="AR573" s="24"/>
    </row>
    <row r="574" spans="1:44" ht="19.5">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c r="AK574" s="24"/>
      <c r="AL574" s="24"/>
      <c r="AM574" s="24"/>
      <c r="AN574" s="24"/>
      <c r="AO574" s="24"/>
      <c r="AP574" s="24"/>
      <c r="AQ574" s="24"/>
      <c r="AR574" s="24"/>
    </row>
    <row r="575" spans="1:44" ht="19.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c r="AK575" s="24"/>
      <c r="AL575" s="24"/>
      <c r="AM575" s="24"/>
      <c r="AN575" s="24"/>
      <c r="AO575" s="24"/>
      <c r="AP575" s="24"/>
      <c r="AQ575" s="24"/>
      <c r="AR575" s="24"/>
    </row>
    <row r="576" spans="1:44" ht="19.5">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c r="AK576" s="24"/>
      <c r="AL576" s="24"/>
      <c r="AM576" s="24"/>
      <c r="AN576" s="24"/>
      <c r="AO576" s="24"/>
      <c r="AP576" s="24"/>
      <c r="AQ576" s="24"/>
      <c r="AR576" s="24"/>
    </row>
    <row r="577" spans="1:44" ht="19.5">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c r="AK577" s="24"/>
      <c r="AL577" s="24"/>
      <c r="AM577" s="24"/>
      <c r="AN577" s="24"/>
      <c r="AO577" s="24"/>
      <c r="AP577" s="24"/>
      <c r="AQ577" s="24"/>
      <c r="AR577" s="24"/>
    </row>
    <row r="578" spans="1:44" ht="19.5">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c r="AK578" s="24"/>
      <c r="AL578" s="24"/>
      <c r="AM578" s="24"/>
      <c r="AN578" s="24"/>
      <c r="AO578" s="24"/>
      <c r="AP578" s="24"/>
      <c r="AQ578" s="24"/>
      <c r="AR578" s="24"/>
    </row>
    <row r="579" spans="1:44" ht="19.5">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c r="AK579" s="24"/>
      <c r="AL579" s="24"/>
      <c r="AM579" s="24"/>
      <c r="AN579" s="24"/>
      <c r="AO579" s="24"/>
      <c r="AP579" s="24"/>
      <c r="AQ579" s="24"/>
      <c r="AR579" s="24"/>
    </row>
    <row r="580" spans="1:44" ht="19.5">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c r="AK580" s="24"/>
      <c r="AL580" s="24"/>
      <c r="AM580" s="24"/>
      <c r="AN580" s="24"/>
      <c r="AO580" s="24"/>
      <c r="AP580" s="24"/>
      <c r="AQ580" s="24"/>
      <c r="AR580" s="24"/>
    </row>
    <row r="581" spans="1:44" ht="19.5">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row>
    <row r="582" spans="1:44" ht="19.5">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c r="AK582" s="24"/>
      <c r="AL582" s="24"/>
      <c r="AM582" s="24"/>
      <c r="AN582" s="24"/>
      <c r="AO582" s="24"/>
      <c r="AP582" s="24"/>
      <c r="AQ582" s="24"/>
      <c r="AR582" s="24"/>
    </row>
    <row r="583" spans="1:44" ht="19.5">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c r="AK583" s="24"/>
      <c r="AL583" s="24"/>
      <c r="AM583" s="24"/>
      <c r="AN583" s="24"/>
      <c r="AO583" s="24"/>
      <c r="AP583" s="24"/>
      <c r="AQ583" s="24"/>
      <c r="AR583" s="24"/>
    </row>
    <row r="584" spans="1:44" ht="19.5">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c r="AK584" s="24"/>
      <c r="AL584" s="24"/>
      <c r="AM584" s="24"/>
      <c r="AN584" s="24"/>
      <c r="AO584" s="24"/>
      <c r="AP584" s="24"/>
      <c r="AQ584" s="24"/>
      <c r="AR584" s="24"/>
    </row>
    <row r="585" spans="1:44" ht="19.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c r="AK585" s="24"/>
      <c r="AL585" s="24"/>
      <c r="AM585" s="24"/>
      <c r="AN585" s="24"/>
      <c r="AO585" s="24"/>
      <c r="AP585" s="24"/>
      <c r="AQ585" s="24"/>
      <c r="AR585" s="24"/>
    </row>
    <row r="586" spans="1:44" ht="19.5">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c r="AK586" s="24"/>
      <c r="AL586" s="24"/>
      <c r="AM586" s="24"/>
      <c r="AN586" s="24"/>
      <c r="AO586" s="24"/>
      <c r="AP586" s="24"/>
      <c r="AQ586" s="24"/>
      <c r="AR586" s="24"/>
    </row>
    <row r="587" spans="1:44" ht="19.5">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c r="AK587" s="24"/>
      <c r="AL587" s="24"/>
      <c r="AM587" s="24"/>
      <c r="AN587" s="24"/>
      <c r="AO587" s="24"/>
      <c r="AP587" s="24"/>
      <c r="AQ587" s="24"/>
      <c r="AR587" s="24"/>
    </row>
    <row r="588" spans="1:44" ht="19.5">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c r="AK588" s="24"/>
      <c r="AL588" s="24"/>
      <c r="AM588" s="24"/>
      <c r="AN588" s="24"/>
      <c r="AO588" s="24"/>
      <c r="AP588" s="24"/>
      <c r="AQ588" s="24"/>
      <c r="AR588" s="24"/>
    </row>
    <row r="589" spans="1:44" ht="19.5">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c r="AK589" s="24"/>
      <c r="AL589" s="24"/>
      <c r="AM589" s="24"/>
      <c r="AN589" s="24"/>
      <c r="AO589" s="24"/>
      <c r="AP589" s="24"/>
      <c r="AQ589" s="24"/>
      <c r="AR589" s="24"/>
    </row>
    <row r="590" spans="1:44" ht="19.5">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c r="AK590" s="24"/>
      <c r="AL590" s="24"/>
      <c r="AM590" s="24"/>
      <c r="AN590" s="24"/>
      <c r="AO590" s="24"/>
      <c r="AP590" s="24"/>
      <c r="AQ590" s="24"/>
      <c r="AR590" s="24"/>
    </row>
    <row r="591" spans="1:44" ht="19.5">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c r="AK591" s="24"/>
      <c r="AL591" s="24"/>
      <c r="AM591" s="24"/>
      <c r="AN591" s="24"/>
      <c r="AO591" s="24"/>
      <c r="AP591" s="24"/>
      <c r="AQ591" s="24"/>
      <c r="AR591" s="24"/>
    </row>
    <row r="592" spans="1:44" ht="19.5">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c r="AK592" s="24"/>
      <c r="AL592" s="24"/>
      <c r="AM592" s="24"/>
      <c r="AN592" s="24"/>
      <c r="AO592" s="24"/>
      <c r="AP592" s="24"/>
      <c r="AQ592" s="24"/>
      <c r="AR592" s="24"/>
    </row>
    <row r="593" spans="1:44" ht="19.5">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c r="AK593" s="24"/>
      <c r="AL593" s="24"/>
      <c r="AM593" s="24"/>
      <c r="AN593" s="24"/>
      <c r="AO593" s="24"/>
      <c r="AP593" s="24"/>
      <c r="AQ593" s="24"/>
      <c r="AR593" s="24"/>
    </row>
    <row r="594" spans="1:44" ht="19.5">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c r="AK594" s="24"/>
      <c r="AL594" s="24"/>
      <c r="AM594" s="24"/>
      <c r="AN594" s="24"/>
      <c r="AO594" s="24"/>
      <c r="AP594" s="24"/>
      <c r="AQ594" s="24"/>
      <c r="AR594" s="24"/>
    </row>
    <row r="595" spans="1:44" ht="1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c r="AK595" s="24"/>
      <c r="AL595" s="24"/>
      <c r="AM595" s="24"/>
      <c r="AN595" s="24"/>
      <c r="AO595" s="24"/>
      <c r="AP595" s="24"/>
      <c r="AQ595" s="24"/>
      <c r="AR595" s="24"/>
    </row>
    <row r="596" spans="1:44" ht="19.5">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c r="AK596" s="24"/>
      <c r="AL596" s="24"/>
      <c r="AM596" s="24"/>
      <c r="AN596" s="24"/>
      <c r="AO596" s="24"/>
      <c r="AP596" s="24"/>
      <c r="AQ596" s="24"/>
      <c r="AR596" s="24"/>
    </row>
    <row r="597" spans="1:44" ht="19.5">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c r="AK597" s="24"/>
      <c r="AL597" s="24"/>
      <c r="AM597" s="24"/>
      <c r="AN597" s="24"/>
      <c r="AO597" s="24"/>
      <c r="AP597" s="24"/>
      <c r="AQ597" s="24"/>
      <c r="AR597" s="24"/>
    </row>
    <row r="598" spans="1:44" ht="19.5">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c r="AK598" s="24"/>
      <c r="AL598" s="24"/>
      <c r="AM598" s="24"/>
      <c r="AN598" s="24"/>
      <c r="AO598" s="24"/>
      <c r="AP598" s="24"/>
      <c r="AQ598" s="24"/>
      <c r="AR598" s="24"/>
    </row>
    <row r="599" spans="1:44" ht="19.5">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c r="AK599" s="24"/>
      <c r="AL599" s="24"/>
      <c r="AM599" s="24"/>
      <c r="AN599" s="24"/>
      <c r="AO599" s="24"/>
      <c r="AP599" s="24"/>
      <c r="AQ599" s="24"/>
      <c r="AR599" s="24"/>
    </row>
    <row r="600" spans="1:44" ht="19.5">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c r="AK600" s="24"/>
      <c r="AL600" s="24"/>
      <c r="AM600" s="24"/>
      <c r="AN600" s="24"/>
      <c r="AO600" s="24"/>
      <c r="AP600" s="24"/>
      <c r="AQ600" s="24"/>
      <c r="AR600" s="24"/>
    </row>
    <row r="601" spans="1:44" ht="19.5">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c r="AK601" s="24"/>
      <c r="AL601" s="24"/>
      <c r="AM601" s="24"/>
      <c r="AN601" s="24"/>
      <c r="AO601" s="24"/>
      <c r="AP601" s="24"/>
      <c r="AQ601" s="24"/>
      <c r="AR601" s="24"/>
    </row>
    <row r="602" spans="1:44" ht="19.5">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c r="AK602" s="24"/>
      <c r="AL602" s="24"/>
      <c r="AM602" s="24"/>
      <c r="AN602" s="24"/>
      <c r="AO602" s="24"/>
      <c r="AP602" s="24"/>
      <c r="AQ602" s="24"/>
      <c r="AR602" s="24"/>
    </row>
    <row r="603" spans="1:44" ht="19.5">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c r="AK603" s="24"/>
      <c r="AL603" s="24"/>
      <c r="AM603" s="24"/>
      <c r="AN603" s="24"/>
      <c r="AO603" s="24"/>
      <c r="AP603" s="24"/>
      <c r="AQ603" s="24"/>
      <c r="AR603" s="24"/>
    </row>
    <row r="604" spans="1:44" ht="19.5">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c r="AK604" s="24"/>
      <c r="AL604" s="24"/>
      <c r="AM604" s="24"/>
      <c r="AN604" s="24"/>
      <c r="AO604" s="24"/>
      <c r="AP604" s="24"/>
      <c r="AQ604" s="24"/>
      <c r="AR604" s="24"/>
    </row>
    <row r="605" spans="1:44" ht="19.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c r="AK605" s="24"/>
      <c r="AL605" s="24"/>
      <c r="AM605" s="24"/>
      <c r="AN605" s="24"/>
      <c r="AO605" s="24"/>
      <c r="AP605" s="24"/>
      <c r="AQ605" s="24"/>
      <c r="AR605" s="24"/>
    </row>
    <row r="606" spans="1:44" ht="19.5">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c r="AK606" s="24"/>
      <c r="AL606" s="24"/>
      <c r="AM606" s="24"/>
      <c r="AN606" s="24"/>
      <c r="AO606" s="24"/>
      <c r="AP606" s="24"/>
      <c r="AQ606" s="24"/>
      <c r="AR606" s="24"/>
    </row>
    <row r="607" spans="1:44" ht="19.5">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c r="AK607" s="24"/>
      <c r="AL607" s="24"/>
      <c r="AM607" s="24"/>
      <c r="AN607" s="24"/>
      <c r="AO607" s="24"/>
      <c r="AP607" s="24"/>
      <c r="AQ607" s="24"/>
      <c r="AR607" s="24"/>
    </row>
    <row r="608" spans="1:44" ht="19.5">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c r="AK608" s="24"/>
      <c r="AL608" s="24"/>
      <c r="AM608" s="24"/>
      <c r="AN608" s="24"/>
      <c r="AO608" s="24"/>
      <c r="AP608" s="24"/>
      <c r="AQ608" s="24"/>
      <c r="AR608" s="24"/>
    </row>
    <row r="609" spans="1:44" ht="19.5">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c r="AK609" s="24"/>
      <c r="AL609" s="24"/>
      <c r="AM609" s="24"/>
      <c r="AN609" s="24"/>
      <c r="AO609" s="24"/>
      <c r="AP609" s="24"/>
      <c r="AQ609" s="24"/>
      <c r="AR609" s="24"/>
    </row>
    <row r="610" spans="1:44" ht="19.5">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c r="AK610" s="24"/>
      <c r="AL610" s="24"/>
      <c r="AM610" s="24"/>
      <c r="AN610" s="24"/>
      <c r="AO610" s="24"/>
      <c r="AP610" s="24"/>
      <c r="AQ610" s="24"/>
      <c r="AR610" s="24"/>
    </row>
    <row r="611" spans="1:44" ht="19.5">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c r="AK611" s="24"/>
      <c r="AL611" s="24"/>
      <c r="AM611" s="24"/>
      <c r="AN611" s="24"/>
      <c r="AO611" s="24"/>
      <c r="AP611" s="24"/>
      <c r="AQ611" s="24"/>
      <c r="AR611" s="24"/>
    </row>
    <row r="612" spans="1:44" ht="19.5">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c r="AK612" s="24"/>
      <c r="AL612" s="24"/>
      <c r="AM612" s="24"/>
      <c r="AN612" s="24"/>
      <c r="AO612" s="24"/>
      <c r="AP612" s="24"/>
      <c r="AQ612" s="24"/>
      <c r="AR612" s="24"/>
    </row>
    <row r="613" spans="1:44" ht="19.5">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c r="AK613" s="24"/>
      <c r="AL613" s="24"/>
      <c r="AM613" s="24"/>
      <c r="AN613" s="24"/>
      <c r="AO613" s="24"/>
      <c r="AP613" s="24"/>
      <c r="AQ613" s="24"/>
      <c r="AR613" s="24"/>
    </row>
    <row r="614" spans="1:44" ht="19.5">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c r="AK614" s="24"/>
      <c r="AL614" s="24"/>
      <c r="AM614" s="24"/>
      <c r="AN614" s="24"/>
      <c r="AO614" s="24"/>
      <c r="AP614" s="24"/>
      <c r="AQ614" s="24"/>
      <c r="AR614" s="24"/>
    </row>
    <row r="615" spans="1:44" ht="19.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c r="AK615" s="24"/>
      <c r="AL615" s="24"/>
      <c r="AM615" s="24"/>
      <c r="AN615" s="24"/>
      <c r="AO615" s="24"/>
      <c r="AP615" s="24"/>
      <c r="AQ615" s="24"/>
      <c r="AR615" s="24"/>
    </row>
    <row r="616" spans="1:44" ht="19.5">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c r="AK616" s="24"/>
      <c r="AL616" s="24"/>
      <c r="AM616" s="24"/>
      <c r="AN616" s="24"/>
      <c r="AO616" s="24"/>
      <c r="AP616" s="24"/>
      <c r="AQ616" s="24"/>
      <c r="AR616" s="24"/>
    </row>
    <row r="617" spans="1:44" ht="19.5">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c r="AK617" s="24"/>
      <c r="AL617" s="24"/>
      <c r="AM617" s="24"/>
      <c r="AN617" s="24"/>
      <c r="AO617" s="24"/>
      <c r="AP617" s="24"/>
      <c r="AQ617" s="24"/>
      <c r="AR617" s="24"/>
    </row>
    <row r="618" spans="1:44" ht="19.5">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c r="AK618" s="24"/>
      <c r="AL618" s="24"/>
      <c r="AM618" s="24"/>
      <c r="AN618" s="24"/>
      <c r="AO618" s="24"/>
      <c r="AP618" s="24"/>
      <c r="AQ618" s="24"/>
      <c r="AR618" s="24"/>
    </row>
    <row r="619" spans="1:44" ht="19.5">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c r="AK619" s="24"/>
      <c r="AL619" s="24"/>
      <c r="AM619" s="24"/>
      <c r="AN619" s="24"/>
      <c r="AO619" s="24"/>
      <c r="AP619" s="24"/>
      <c r="AQ619" s="24"/>
      <c r="AR619" s="24"/>
    </row>
    <row r="620" spans="1:44" ht="19.5">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c r="AK620" s="24"/>
      <c r="AL620" s="24"/>
      <c r="AM620" s="24"/>
      <c r="AN620" s="24"/>
      <c r="AO620" s="24"/>
      <c r="AP620" s="24"/>
      <c r="AQ620" s="24"/>
      <c r="AR620" s="24"/>
    </row>
    <row r="621" spans="1:44" ht="19.5">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c r="AK621" s="24"/>
      <c r="AL621" s="24"/>
      <c r="AM621" s="24"/>
      <c r="AN621" s="24"/>
      <c r="AO621" s="24"/>
      <c r="AP621" s="24"/>
      <c r="AQ621" s="24"/>
      <c r="AR621" s="24"/>
    </row>
    <row r="622" spans="1:44" ht="19.5">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c r="AK622" s="24"/>
      <c r="AL622" s="24"/>
      <c r="AM622" s="24"/>
      <c r="AN622" s="24"/>
      <c r="AO622" s="24"/>
      <c r="AP622" s="24"/>
      <c r="AQ622" s="24"/>
      <c r="AR622" s="24"/>
    </row>
    <row r="623" spans="1:44" ht="19.5">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c r="AK623" s="24"/>
      <c r="AL623" s="24"/>
      <c r="AM623" s="24"/>
      <c r="AN623" s="24"/>
      <c r="AO623" s="24"/>
      <c r="AP623" s="24"/>
      <c r="AQ623" s="24"/>
      <c r="AR623" s="24"/>
    </row>
    <row r="624" spans="1:44" ht="19.5">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row>
    <row r="625" spans="1:44" ht="19.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c r="AK625" s="24"/>
      <c r="AL625" s="24"/>
      <c r="AM625" s="24"/>
      <c r="AN625" s="24"/>
      <c r="AO625" s="24"/>
      <c r="AP625" s="24"/>
      <c r="AQ625" s="24"/>
      <c r="AR625" s="24"/>
    </row>
    <row r="626" spans="1:44" ht="19.5">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c r="AK626" s="24"/>
      <c r="AL626" s="24"/>
      <c r="AM626" s="24"/>
      <c r="AN626" s="24"/>
      <c r="AO626" s="24"/>
      <c r="AP626" s="24"/>
      <c r="AQ626" s="24"/>
      <c r="AR626" s="24"/>
    </row>
    <row r="627" spans="1:44" ht="19.5">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c r="AK627" s="24"/>
      <c r="AL627" s="24"/>
      <c r="AM627" s="24"/>
      <c r="AN627" s="24"/>
      <c r="AO627" s="24"/>
      <c r="AP627" s="24"/>
      <c r="AQ627" s="24"/>
      <c r="AR627" s="24"/>
    </row>
    <row r="628" spans="1:44" ht="19.5">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c r="AK628" s="24"/>
      <c r="AL628" s="24"/>
      <c r="AM628" s="24"/>
      <c r="AN628" s="24"/>
      <c r="AO628" s="24"/>
      <c r="AP628" s="24"/>
      <c r="AQ628" s="24"/>
      <c r="AR628" s="24"/>
    </row>
    <row r="629" spans="1:44" ht="19.5">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c r="AK629" s="24"/>
      <c r="AL629" s="24"/>
      <c r="AM629" s="24"/>
      <c r="AN629" s="24"/>
      <c r="AO629" s="24"/>
      <c r="AP629" s="24"/>
      <c r="AQ629" s="24"/>
      <c r="AR629" s="24"/>
    </row>
    <row r="630" spans="1:44" ht="19.5">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c r="AK630" s="24"/>
      <c r="AL630" s="24"/>
      <c r="AM630" s="24"/>
      <c r="AN630" s="24"/>
      <c r="AO630" s="24"/>
      <c r="AP630" s="24"/>
      <c r="AQ630" s="24"/>
      <c r="AR630" s="24"/>
    </row>
    <row r="631" spans="1:44" ht="19.5">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c r="AK631" s="24"/>
      <c r="AL631" s="24"/>
      <c r="AM631" s="24"/>
      <c r="AN631" s="24"/>
      <c r="AO631" s="24"/>
      <c r="AP631" s="24"/>
      <c r="AQ631" s="24"/>
      <c r="AR631" s="24"/>
    </row>
    <row r="632" spans="1:44" ht="19.5">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c r="AK632" s="24"/>
      <c r="AL632" s="24"/>
      <c r="AM632" s="24"/>
      <c r="AN632" s="24"/>
      <c r="AO632" s="24"/>
      <c r="AP632" s="24"/>
      <c r="AQ632" s="24"/>
      <c r="AR632" s="24"/>
    </row>
    <row r="633" spans="1:44" ht="19.5">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c r="AK633" s="24"/>
      <c r="AL633" s="24"/>
      <c r="AM633" s="24"/>
      <c r="AN633" s="24"/>
      <c r="AO633" s="24"/>
      <c r="AP633" s="24"/>
      <c r="AQ633" s="24"/>
      <c r="AR633" s="24"/>
    </row>
    <row r="634" spans="1:44" ht="19.5">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c r="AK634" s="24"/>
      <c r="AL634" s="24"/>
      <c r="AM634" s="24"/>
      <c r="AN634" s="24"/>
      <c r="AO634" s="24"/>
      <c r="AP634" s="24"/>
      <c r="AQ634" s="24"/>
      <c r="AR634" s="24"/>
    </row>
    <row r="635" spans="1:44" ht="19.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c r="AK635" s="24"/>
      <c r="AL635" s="24"/>
      <c r="AM635" s="24"/>
      <c r="AN635" s="24"/>
      <c r="AO635" s="24"/>
      <c r="AP635" s="24"/>
      <c r="AQ635" s="24"/>
      <c r="AR635" s="24"/>
    </row>
    <row r="636" spans="1:44" ht="19.5">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c r="AK636" s="24"/>
      <c r="AL636" s="24"/>
      <c r="AM636" s="24"/>
      <c r="AN636" s="24"/>
      <c r="AO636" s="24"/>
      <c r="AP636" s="24"/>
      <c r="AQ636" s="24"/>
      <c r="AR636" s="24"/>
    </row>
    <row r="637" spans="1:44" ht="19.5">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c r="AK637" s="24"/>
      <c r="AL637" s="24"/>
      <c r="AM637" s="24"/>
      <c r="AN637" s="24"/>
      <c r="AO637" s="24"/>
      <c r="AP637" s="24"/>
      <c r="AQ637" s="24"/>
      <c r="AR637" s="24"/>
    </row>
    <row r="638" spans="1:44" ht="19.5">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c r="AK638" s="24"/>
      <c r="AL638" s="24"/>
      <c r="AM638" s="24"/>
      <c r="AN638" s="24"/>
      <c r="AO638" s="24"/>
      <c r="AP638" s="24"/>
      <c r="AQ638" s="24"/>
      <c r="AR638" s="24"/>
    </row>
    <row r="639" spans="1:44" ht="19.5">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c r="AK639" s="24"/>
      <c r="AL639" s="24"/>
      <c r="AM639" s="24"/>
      <c r="AN639" s="24"/>
      <c r="AO639" s="24"/>
      <c r="AP639" s="24"/>
      <c r="AQ639" s="24"/>
      <c r="AR639" s="24"/>
    </row>
    <row r="640" spans="1:44" ht="19.5">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c r="AK640" s="24"/>
      <c r="AL640" s="24"/>
      <c r="AM640" s="24"/>
      <c r="AN640" s="24"/>
      <c r="AO640" s="24"/>
      <c r="AP640" s="24"/>
      <c r="AQ640" s="24"/>
      <c r="AR640" s="24"/>
    </row>
    <row r="641" spans="1:44" ht="19.5">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row>
    <row r="642" spans="1:44" ht="19.5">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c r="AK642" s="24"/>
      <c r="AL642" s="24"/>
      <c r="AM642" s="24"/>
      <c r="AN642" s="24"/>
      <c r="AO642" s="24"/>
      <c r="AP642" s="24"/>
      <c r="AQ642" s="24"/>
      <c r="AR642" s="24"/>
    </row>
    <row r="643" spans="1:44" ht="19.5">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c r="AK643" s="24"/>
      <c r="AL643" s="24"/>
      <c r="AM643" s="24"/>
      <c r="AN643" s="24"/>
      <c r="AO643" s="24"/>
      <c r="AP643" s="24"/>
      <c r="AQ643" s="24"/>
      <c r="AR643" s="24"/>
    </row>
    <row r="644" spans="1:44" ht="19.5">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c r="AK644" s="24"/>
      <c r="AL644" s="24"/>
      <c r="AM644" s="24"/>
      <c r="AN644" s="24"/>
      <c r="AO644" s="24"/>
      <c r="AP644" s="24"/>
      <c r="AQ644" s="24"/>
      <c r="AR644" s="24"/>
    </row>
    <row r="645" spans="1:44" ht="19.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c r="AK645" s="24"/>
      <c r="AL645" s="24"/>
      <c r="AM645" s="24"/>
      <c r="AN645" s="24"/>
      <c r="AO645" s="24"/>
      <c r="AP645" s="24"/>
      <c r="AQ645" s="24"/>
      <c r="AR645" s="24"/>
    </row>
    <row r="646" spans="1:44" ht="19.5">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c r="AK646" s="24"/>
      <c r="AL646" s="24"/>
      <c r="AM646" s="24"/>
      <c r="AN646" s="24"/>
      <c r="AO646" s="24"/>
      <c r="AP646" s="24"/>
      <c r="AQ646" s="24"/>
      <c r="AR646" s="24"/>
    </row>
    <row r="647" spans="1:44" ht="19.5">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c r="AK647" s="24"/>
      <c r="AL647" s="24"/>
      <c r="AM647" s="24"/>
      <c r="AN647" s="24"/>
      <c r="AO647" s="24"/>
      <c r="AP647" s="24"/>
      <c r="AQ647" s="24"/>
      <c r="AR647" s="24"/>
    </row>
    <row r="648" spans="1:44" ht="19.5">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c r="AK648" s="24"/>
      <c r="AL648" s="24"/>
      <c r="AM648" s="24"/>
      <c r="AN648" s="24"/>
      <c r="AO648" s="24"/>
      <c r="AP648" s="24"/>
      <c r="AQ648" s="24"/>
      <c r="AR648" s="24"/>
    </row>
    <row r="649" spans="1:44" ht="19.5">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c r="AK649" s="24"/>
      <c r="AL649" s="24"/>
      <c r="AM649" s="24"/>
      <c r="AN649" s="24"/>
      <c r="AO649" s="24"/>
      <c r="AP649" s="24"/>
      <c r="AQ649" s="24"/>
      <c r="AR649" s="24"/>
    </row>
    <row r="650" spans="1:44" ht="19.5">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c r="AK650" s="24"/>
      <c r="AL650" s="24"/>
      <c r="AM650" s="24"/>
      <c r="AN650" s="24"/>
      <c r="AO650" s="24"/>
      <c r="AP650" s="24"/>
      <c r="AQ650" s="24"/>
      <c r="AR650" s="24"/>
    </row>
    <row r="651" spans="1:44" ht="19.5">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c r="AK651" s="24"/>
      <c r="AL651" s="24"/>
      <c r="AM651" s="24"/>
      <c r="AN651" s="24"/>
      <c r="AO651" s="24"/>
      <c r="AP651" s="24"/>
      <c r="AQ651" s="24"/>
      <c r="AR651" s="24"/>
    </row>
    <row r="652" spans="1:44" ht="19.5">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4"/>
      <c r="AN652" s="24"/>
      <c r="AO652" s="24"/>
      <c r="AP652" s="24"/>
      <c r="AQ652" s="24"/>
      <c r="AR652" s="24"/>
    </row>
    <row r="653" spans="1:44" ht="19.5">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c r="AK653" s="24"/>
      <c r="AL653" s="24"/>
      <c r="AM653" s="24"/>
      <c r="AN653" s="24"/>
      <c r="AO653" s="24"/>
      <c r="AP653" s="24"/>
      <c r="AQ653" s="24"/>
      <c r="AR653" s="24"/>
    </row>
    <row r="654" spans="1:44" ht="19.5">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c r="AK654" s="24"/>
      <c r="AL654" s="24"/>
      <c r="AM654" s="24"/>
      <c r="AN654" s="24"/>
      <c r="AO654" s="24"/>
      <c r="AP654" s="24"/>
      <c r="AQ654" s="24"/>
      <c r="AR654" s="24"/>
    </row>
    <row r="655" spans="1:44" ht="19.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c r="AK655" s="24"/>
      <c r="AL655" s="24"/>
      <c r="AM655" s="24"/>
      <c r="AN655" s="24"/>
      <c r="AO655" s="24"/>
      <c r="AP655" s="24"/>
      <c r="AQ655" s="24"/>
      <c r="AR655" s="24"/>
    </row>
    <row r="656" spans="1:44" ht="19.5">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c r="AK656" s="24"/>
      <c r="AL656" s="24"/>
      <c r="AM656" s="24"/>
      <c r="AN656" s="24"/>
      <c r="AO656" s="24"/>
      <c r="AP656" s="24"/>
      <c r="AQ656" s="24"/>
      <c r="AR656" s="24"/>
    </row>
    <row r="657" spans="1:44" ht="19.5">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c r="AK657" s="24"/>
      <c r="AL657" s="24"/>
      <c r="AM657" s="24"/>
      <c r="AN657" s="24"/>
      <c r="AO657" s="24"/>
      <c r="AP657" s="24"/>
      <c r="AQ657" s="24"/>
      <c r="AR657" s="24"/>
    </row>
    <row r="658" spans="1:44" ht="19.5">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c r="AK658" s="24"/>
      <c r="AL658" s="24"/>
      <c r="AM658" s="24"/>
      <c r="AN658" s="24"/>
      <c r="AO658" s="24"/>
      <c r="AP658" s="24"/>
      <c r="AQ658" s="24"/>
      <c r="AR658" s="24"/>
    </row>
    <row r="659" spans="1:44" ht="19.5">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c r="AK659" s="24"/>
      <c r="AL659" s="24"/>
      <c r="AM659" s="24"/>
      <c r="AN659" s="24"/>
      <c r="AO659" s="24"/>
      <c r="AP659" s="24"/>
      <c r="AQ659" s="24"/>
      <c r="AR659" s="24"/>
    </row>
    <row r="660" spans="1:44" ht="19.5">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c r="AK660" s="24"/>
      <c r="AL660" s="24"/>
      <c r="AM660" s="24"/>
      <c r="AN660" s="24"/>
      <c r="AO660" s="24"/>
      <c r="AP660" s="24"/>
      <c r="AQ660" s="24"/>
      <c r="AR660" s="24"/>
    </row>
    <row r="661" spans="1:44" ht="19.5">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c r="AK661" s="24"/>
      <c r="AL661" s="24"/>
      <c r="AM661" s="24"/>
      <c r="AN661" s="24"/>
      <c r="AO661" s="24"/>
      <c r="AP661" s="24"/>
      <c r="AQ661" s="24"/>
      <c r="AR661" s="24"/>
    </row>
    <row r="662" spans="1:44" ht="19.5">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c r="AK662" s="24"/>
      <c r="AL662" s="24"/>
      <c r="AM662" s="24"/>
      <c r="AN662" s="24"/>
      <c r="AO662" s="24"/>
      <c r="AP662" s="24"/>
      <c r="AQ662" s="24"/>
      <c r="AR662" s="24"/>
    </row>
    <row r="663" spans="1:44" ht="19.5">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c r="AK663" s="24"/>
      <c r="AL663" s="24"/>
      <c r="AM663" s="24"/>
      <c r="AN663" s="24"/>
      <c r="AO663" s="24"/>
      <c r="AP663" s="24"/>
      <c r="AQ663" s="24"/>
      <c r="AR663" s="24"/>
    </row>
    <row r="664" spans="1:44" ht="19.5">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c r="AK664" s="24"/>
      <c r="AL664" s="24"/>
      <c r="AM664" s="24"/>
      <c r="AN664" s="24"/>
      <c r="AO664" s="24"/>
      <c r="AP664" s="24"/>
      <c r="AQ664" s="24"/>
      <c r="AR664" s="24"/>
    </row>
    <row r="665" spans="1:44" ht="19.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c r="AK665" s="24"/>
      <c r="AL665" s="24"/>
      <c r="AM665" s="24"/>
      <c r="AN665" s="24"/>
      <c r="AO665" s="24"/>
      <c r="AP665" s="24"/>
      <c r="AQ665" s="24"/>
      <c r="AR665" s="24"/>
    </row>
    <row r="666" spans="1:44" ht="19.5">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c r="AK666" s="24"/>
      <c r="AL666" s="24"/>
      <c r="AM666" s="24"/>
      <c r="AN666" s="24"/>
      <c r="AO666" s="24"/>
      <c r="AP666" s="24"/>
      <c r="AQ666" s="24"/>
      <c r="AR666" s="24"/>
    </row>
    <row r="667" spans="1:44" ht="19.5">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c r="AK667" s="24"/>
      <c r="AL667" s="24"/>
      <c r="AM667" s="24"/>
      <c r="AN667" s="24"/>
      <c r="AO667" s="24"/>
      <c r="AP667" s="24"/>
      <c r="AQ667" s="24"/>
      <c r="AR667" s="24"/>
    </row>
    <row r="668" spans="1:44" ht="19.5">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4"/>
      <c r="AN668" s="24"/>
      <c r="AO668" s="24"/>
      <c r="AP668" s="24"/>
      <c r="AQ668" s="24"/>
      <c r="AR668" s="24"/>
    </row>
    <row r="669" spans="1:44" ht="19.5">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c r="AK669" s="24"/>
      <c r="AL669" s="24"/>
      <c r="AM669" s="24"/>
      <c r="AN669" s="24"/>
      <c r="AO669" s="24"/>
      <c r="AP669" s="24"/>
      <c r="AQ669" s="24"/>
      <c r="AR669" s="24"/>
    </row>
    <row r="670" spans="1:44" ht="19.5">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c r="AK670" s="24"/>
      <c r="AL670" s="24"/>
      <c r="AM670" s="24"/>
      <c r="AN670" s="24"/>
      <c r="AO670" s="24"/>
      <c r="AP670" s="24"/>
      <c r="AQ670" s="24"/>
      <c r="AR670" s="24"/>
    </row>
    <row r="671" spans="1:44" ht="19.5">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c r="AK671" s="24"/>
      <c r="AL671" s="24"/>
      <c r="AM671" s="24"/>
      <c r="AN671" s="24"/>
      <c r="AO671" s="24"/>
      <c r="AP671" s="24"/>
      <c r="AQ671" s="24"/>
      <c r="AR671" s="24"/>
    </row>
    <row r="672" spans="1:44" ht="19.5">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c r="AK672" s="24"/>
      <c r="AL672" s="24"/>
      <c r="AM672" s="24"/>
      <c r="AN672" s="24"/>
      <c r="AO672" s="24"/>
      <c r="AP672" s="24"/>
      <c r="AQ672" s="24"/>
      <c r="AR672" s="24"/>
    </row>
    <row r="673" spans="1:44" ht="19.5">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c r="AK673" s="24"/>
      <c r="AL673" s="24"/>
      <c r="AM673" s="24"/>
      <c r="AN673" s="24"/>
      <c r="AO673" s="24"/>
      <c r="AP673" s="24"/>
      <c r="AQ673" s="24"/>
      <c r="AR673" s="24"/>
    </row>
    <row r="674" spans="1:44" ht="19.5">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c r="AK674" s="24"/>
      <c r="AL674" s="24"/>
      <c r="AM674" s="24"/>
      <c r="AN674" s="24"/>
      <c r="AO674" s="24"/>
      <c r="AP674" s="24"/>
      <c r="AQ674" s="24"/>
      <c r="AR674" s="24"/>
    </row>
    <row r="675" spans="1:44" ht="19.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c r="AK675" s="24"/>
      <c r="AL675" s="24"/>
      <c r="AM675" s="24"/>
      <c r="AN675" s="24"/>
      <c r="AO675" s="24"/>
      <c r="AP675" s="24"/>
      <c r="AQ675" s="24"/>
      <c r="AR675" s="24"/>
    </row>
    <row r="676" spans="1:44" ht="19.5">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c r="AK676" s="24"/>
      <c r="AL676" s="24"/>
      <c r="AM676" s="24"/>
      <c r="AN676" s="24"/>
      <c r="AO676" s="24"/>
      <c r="AP676" s="24"/>
      <c r="AQ676" s="24"/>
      <c r="AR676" s="24"/>
    </row>
    <row r="677" spans="1:44" ht="19.5">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c r="AK677" s="24"/>
      <c r="AL677" s="24"/>
      <c r="AM677" s="24"/>
      <c r="AN677" s="24"/>
      <c r="AO677" s="24"/>
      <c r="AP677" s="24"/>
      <c r="AQ677" s="24"/>
      <c r="AR677" s="24"/>
    </row>
    <row r="678" spans="1:44" ht="19.5">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c r="AK678" s="24"/>
      <c r="AL678" s="24"/>
      <c r="AM678" s="24"/>
      <c r="AN678" s="24"/>
      <c r="AO678" s="24"/>
      <c r="AP678" s="24"/>
      <c r="AQ678" s="24"/>
      <c r="AR678" s="24"/>
    </row>
    <row r="679" spans="1:44" ht="19.5">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c r="AK679" s="24"/>
      <c r="AL679" s="24"/>
      <c r="AM679" s="24"/>
      <c r="AN679" s="24"/>
      <c r="AO679" s="24"/>
      <c r="AP679" s="24"/>
      <c r="AQ679" s="24"/>
      <c r="AR679" s="24"/>
    </row>
    <row r="680" spans="1:44" ht="19.5">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c r="AK680" s="24"/>
      <c r="AL680" s="24"/>
      <c r="AM680" s="24"/>
      <c r="AN680" s="24"/>
      <c r="AO680" s="24"/>
      <c r="AP680" s="24"/>
      <c r="AQ680" s="24"/>
      <c r="AR680" s="24"/>
    </row>
    <row r="681" spans="1:44" ht="19.5">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c r="AK681" s="24"/>
      <c r="AL681" s="24"/>
      <c r="AM681" s="24"/>
      <c r="AN681" s="24"/>
      <c r="AO681" s="24"/>
      <c r="AP681" s="24"/>
      <c r="AQ681" s="24"/>
      <c r="AR681" s="24"/>
    </row>
    <row r="682" spans="1:44" ht="19.5">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c r="AK682" s="24"/>
      <c r="AL682" s="24"/>
      <c r="AM682" s="24"/>
      <c r="AN682" s="24"/>
      <c r="AO682" s="24"/>
      <c r="AP682" s="24"/>
      <c r="AQ682" s="24"/>
      <c r="AR682" s="24"/>
    </row>
    <row r="683" spans="1:44" ht="19.5">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c r="AK683" s="24"/>
      <c r="AL683" s="24"/>
      <c r="AM683" s="24"/>
      <c r="AN683" s="24"/>
      <c r="AO683" s="24"/>
      <c r="AP683" s="24"/>
      <c r="AQ683" s="24"/>
      <c r="AR683" s="24"/>
    </row>
    <row r="684" spans="1:44" ht="19.5">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c r="AK684" s="24"/>
      <c r="AL684" s="24"/>
      <c r="AM684" s="24"/>
      <c r="AN684" s="24"/>
      <c r="AO684" s="24"/>
      <c r="AP684" s="24"/>
      <c r="AQ684" s="24"/>
      <c r="AR684" s="24"/>
    </row>
    <row r="685" spans="1:44" ht="19.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c r="AK685" s="24"/>
      <c r="AL685" s="24"/>
      <c r="AM685" s="24"/>
      <c r="AN685" s="24"/>
      <c r="AO685" s="24"/>
      <c r="AP685" s="24"/>
      <c r="AQ685" s="24"/>
      <c r="AR685" s="24"/>
    </row>
    <row r="686" spans="1:44" ht="19.5">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c r="AK686" s="24"/>
      <c r="AL686" s="24"/>
      <c r="AM686" s="24"/>
      <c r="AN686" s="24"/>
      <c r="AO686" s="24"/>
      <c r="AP686" s="24"/>
      <c r="AQ686" s="24"/>
      <c r="AR686" s="24"/>
    </row>
    <row r="687" spans="1:44" ht="19.5">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c r="AK687" s="24"/>
      <c r="AL687" s="24"/>
      <c r="AM687" s="24"/>
      <c r="AN687" s="24"/>
      <c r="AO687" s="24"/>
      <c r="AP687" s="24"/>
      <c r="AQ687" s="24"/>
      <c r="AR687" s="24"/>
    </row>
    <row r="688" spans="1:44" ht="19.5">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c r="AK688" s="24"/>
      <c r="AL688" s="24"/>
      <c r="AM688" s="24"/>
      <c r="AN688" s="24"/>
      <c r="AO688" s="24"/>
      <c r="AP688" s="24"/>
      <c r="AQ688" s="24"/>
      <c r="AR688" s="24"/>
    </row>
    <row r="689" spans="1:44" ht="19.5">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c r="AK689" s="24"/>
      <c r="AL689" s="24"/>
      <c r="AM689" s="24"/>
      <c r="AN689" s="24"/>
      <c r="AO689" s="24"/>
      <c r="AP689" s="24"/>
      <c r="AQ689" s="24"/>
      <c r="AR689" s="24"/>
    </row>
    <row r="690" spans="1:44" ht="19.5">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c r="AK690" s="24"/>
      <c r="AL690" s="24"/>
      <c r="AM690" s="24"/>
      <c r="AN690" s="24"/>
      <c r="AO690" s="24"/>
      <c r="AP690" s="24"/>
      <c r="AQ690" s="24"/>
      <c r="AR690" s="24"/>
    </row>
    <row r="691" spans="1:44" ht="19.5">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c r="AK691" s="24"/>
      <c r="AL691" s="24"/>
      <c r="AM691" s="24"/>
      <c r="AN691" s="24"/>
      <c r="AO691" s="24"/>
      <c r="AP691" s="24"/>
      <c r="AQ691" s="24"/>
      <c r="AR691" s="24"/>
    </row>
    <row r="692" spans="1:44" ht="19.5">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c r="AK692" s="24"/>
      <c r="AL692" s="24"/>
      <c r="AM692" s="24"/>
      <c r="AN692" s="24"/>
      <c r="AO692" s="24"/>
      <c r="AP692" s="24"/>
      <c r="AQ692" s="24"/>
      <c r="AR692" s="24"/>
    </row>
    <row r="693" spans="1:44" ht="19.5">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c r="AK693" s="24"/>
      <c r="AL693" s="24"/>
      <c r="AM693" s="24"/>
      <c r="AN693" s="24"/>
      <c r="AO693" s="24"/>
      <c r="AP693" s="24"/>
      <c r="AQ693" s="24"/>
      <c r="AR693" s="24"/>
    </row>
    <row r="694" spans="1:44" ht="19.5">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c r="AK694" s="24"/>
      <c r="AL694" s="24"/>
      <c r="AM694" s="24"/>
      <c r="AN694" s="24"/>
      <c r="AO694" s="24"/>
      <c r="AP694" s="24"/>
      <c r="AQ694" s="24"/>
      <c r="AR694" s="24"/>
    </row>
    <row r="695" spans="1:44" ht="1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c r="AK695" s="24"/>
      <c r="AL695" s="24"/>
      <c r="AM695" s="24"/>
      <c r="AN695" s="24"/>
      <c r="AO695" s="24"/>
      <c r="AP695" s="24"/>
      <c r="AQ695" s="24"/>
      <c r="AR695" s="24"/>
    </row>
    <row r="696" spans="1:44" ht="19.5">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c r="AK696" s="24"/>
      <c r="AL696" s="24"/>
      <c r="AM696" s="24"/>
      <c r="AN696" s="24"/>
      <c r="AO696" s="24"/>
      <c r="AP696" s="24"/>
      <c r="AQ696" s="24"/>
      <c r="AR696" s="24"/>
    </row>
    <row r="697" spans="1:44" ht="19.5">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c r="AK697" s="24"/>
      <c r="AL697" s="24"/>
      <c r="AM697" s="24"/>
      <c r="AN697" s="24"/>
      <c r="AO697" s="24"/>
      <c r="AP697" s="24"/>
      <c r="AQ697" s="24"/>
      <c r="AR697" s="24"/>
    </row>
    <row r="698" spans="1:44" ht="19.5">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c r="AK698" s="24"/>
      <c r="AL698" s="24"/>
      <c r="AM698" s="24"/>
      <c r="AN698" s="24"/>
      <c r="AO698" s="24"/>
      <c r="AP698" s="24"/>
      <c r="AQ698" s="24"/>
      <c r="AR698" s="24"/>
    </row>
    <row r="699" spans="1:44" ht="19.5">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c r="AK699" s="24"/>
      <c r="AL699" s="24"/>
      <c r="AM699" s="24"/>
      <c r="AN699" s="24"/>
      <c r="AO699" s="24"/>
      <c r="AP699" s="24"/>
      <c r="AQ699" s="24"/>
      <c r="AR699" s="24"/>
    </row>
    <row r="700" spans="1:44" ht="19.5">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c r="AK700" s="24"/>
      <c r="AL700" s="24"/>
      <c r="AM700" s="24"/>
      <c r="AN700" s="24"/>
      <c r="AO700" s="24"/>
      <c r="AP700" s="24"/>
      <c r="AQ700" s="24"/>
      <c r="AR700" s="24"/>
    </row>
    <row r="701" spans="1:44" ht="19.5">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c r="AK701" s="24"/>
      <c r="AL701" s="24"/>
      <c r="AM701" s="24"/>
      <c r="AN701" s="24"/>
      <c r="AO701" s="24"/>
      <c r="AP701" s="24"/>
      <c r="AQ701" s="24"/>
      <c r="AR701" s="24"/>
    </row>
    <row r="702" spans="1:44" ht="19.5">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c r="AK702" s="24"/>
      <c r="AL702" s="24"/>
      <c r="AM702" s="24"/>
      <c r="AN702" s="24"/>
      <c r="AO702" s="24"/>
      <c r="AP702" s="24"/>
      <c r="AQ702" s="24"/>
      <c r="AR702" s="24"/>
    </row>
    <row r="703" spans="1:44" ht="19.5">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4"/>
      <c r="AN703" s="24"/>
      <c r="AO703" s="24"/>
      <c r="AP703" s="24"/>
      <c r="AQ703" s="24"/>
      <c r="AR703" s="24"/>
    </row>
    <row r="704" spans="1:44" ht="19.5">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c r="AK704" s="24"/>
      <c r="AL704" s="24"/>
      <c r="AM704" s="24"/>
      <c r="AN704" s="24"/>
      <c r="AO704" s="24"/>
      <c r="AP704" s="24"/>
      <c r="AQ704" s="24"/>
      <c r="AR704" s="24"/>
    </row>
    <row r="705" spans="1:44" ht="19.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c r="AK705" s="24"/>
      <c r="AL705" s="24"/>
      <c r="AM705" s="24"/>
      <c r="AN705" s="24"/>
      <c r="AO705" s="24"/>
      <c r="AP705" s="24"/>
      <c r="AQ705" s="24"/>
      <c r="AR705" s="24"/>
    </row>
    <row r="706" spans="1:44" ht="19.5">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c r="AK706" s="24"/>
      <c r="AL706" s="24"/>
      <c r="AM706" s="24"/>
      <c r="AN706" s="24"/>
      <c r="AO706" s="24"/>
      <c r="AP706" s="24"/>
      <c r="AQ706" s="24"/>
      <c r="AR706" s="24"/>
    </row>
    <row r="707" spans="1:44" ht="19.5">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row>
    <row r="708" spans="1:44" ht="19.5">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c r="AK708" s="24"/>
      <c r="AL708" s="24"/>
      <c r="AM708" s="24"/>
      <c r="AN708" s="24"/>
      <c r="AO708" s="24"/>
      <c r="AP708" s="24"/>
      <c r="AQ708" s="24"/>
      <c r="AR708" s="24"/>
    </row>
    <row r="709" spans="1:44" ht="19.5">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c r="AK709" s="24"/>
      <c r="AL709" s="24"/>
      <c r="AM709" s="24"/>
      <c r="AN709" s="24"/>
      <c r="AO709" s="24"/>
      <c r="AP709" s="24"/>
      <c r="AQ709" s="24"/>
      <c r="AR709" s="24"/>
    </row>
    <row r="710" spans="1:44" ht="19.5">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c r="AK710" s="24"/>
      <c r="AL710" s="24"/>
      <c r="AM710" s="24"/>
      <c r="AN710" s="24"/>
      <c r="AO710" s="24"/>
      <c r="AP710" s="24"/>
      <c r="AQ710" s="24"/>
      <c r="AR710" s="24"/>
    </row>
    <row r="711" spans="1:44" ht="19.5">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4"/>
      <c r="AN711" s="24"/>
      <c r="AO711" s="24"/>
      <c r="AP711" s="24"/>
      <c r="AQ711" s="24"/>
      <c r="AR711" s="24"/>
    </row>
    <row r="712" spans="1:44" ht="19.5">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c r="AK712" s="24"/>
      <c r="AL712" s="24"/>
      <c r="AM712" s="24"/>
      <c r="AN712" s="24"/>
      <c r="AO712" s="24"/>
      <c r="AP712" s="24"/>
      <c r="AQ712" s="24"/>
      <c r="AR712" s="24"/>
    </row>
    <row r="713" spans="1:44" ht="19.5">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c r="AK713" s="24"/>
      <c r="AL713" s="24"/>
      <c r="AM713" s="24"/>
      <c r="AN713" s="24"/>
      <c r="AO713" s="24"/>
      <c r="AP713" s="24"/>
      <c r="AQ713" s="24"/>
      <c r="AR713" s="24"/>
    </row>
    <row r="714" spans="1:44" ht="19.5">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c r="AK714" s="24"/>
      <c r="AL714" s="24"/>
      <c r="AM714" s="24"/>
      <c r="AN714" s="24"/>
      <c r="AO714" s="24"/>
      <c r="AP714" s="24"/>
      <c r="AQ714" s="24"/>
      <c r="AR714" s="24"/>
    </row>
    <row r="715" spans="1:44" ht="19.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c r="AK715" s="24"/>
      <c r="AL715" s="24"/>
      <c r="AM715" s="24"/>
      <c r="AN715" s="24"/>
      <c r="AO715" s="24"/>
      <c r="AP715" s="24"/>
      <c r="AQ715" s="24"/>
      <c r="AR715" s="24"/>
    </row>
    <row r="716" spans="1:44" ht="19.5">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c r="AK716" s="24"/>
      <c r="AL716" s="24"/>
      <c r="AM716" s="24"/>
      <c r="AN716" s="24"/>
      <c r="AO716" s="24"/>
      <c r="AP716" s="24"/>
      <c r="AQ716" s="24"/>
      <c r="AR716" s="24"/>
    </row>
    <row r="717" spans="1:44" ht="19.5">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c r="AK717" s="24"/>
      <c r="AL717" s="24"/>
      <c r="AM717" s="24"/>
      <c r="AN717" s="24"/>
      <c r="AO717" s="24"/>
      <c r="AP717" s="24"/>
      <c r="AQ717" s="24"/>
      <c r="AR717" s="24"/>
    </row>
    <row r="718" spans="1:44" ht="19.5">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c r="AK718" s="24"/>
      <c r="AL718" s="24"/>
      <c r="AM718" s="24"/>
      <c r="AN718" s="24"/>
      <c r="AO718" s="24"/>
      <c r="AP718" s="24"/>
      <c r="AQ718" s="24"/>
      <c r="AR718" s="24"/>
    </row>
    <row r="719" spans="1:44" ht="19.5">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c r="AK719" s="24"/>
      <c r="AL719" s="24"/>
      <c r="AM719" s="24"/>
      <c r="AN719" s="24"/>
      <c r="AO719" s="24"/>
      <c r="AP719" s="24"/>
      <c r="AQ719" s="24"/>
      <c r="AR719" s="24"/>
    </row>
    <row r="720" spans="1:44" ht="19.5">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c r="AK720" s="24"/>
      <c r="AL720" s="24"/>
      <c r="AM720" s="24"/>
      <c r="AN720" s="24"/>
      <c r="AO720" s="24"/>
      <c r="AP720" s="24"/>
      <c r="AQ720" s="24"/>
      <c r="AR720" s="24"/>
    </row>
    <row r="721" spans="1:44" ht="19.5">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c r="AK721" s="24"/>
      <c r="AL721" s="24"/>
      <c r="AM721" s="24"/>
      <c r="AN721" s="24"/>
      <c r="AO721" s="24"/>
      <c r="AP721" s="24"/>
      <c r="AQ721" s="24"/>
      <c r="AR721" s="24"/>
    </row>
    <row r="722" spans="1:44" ht="19.5">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c r="AK722" s="24"/>
      <c r="AL722" s="24"/>
      <c r="AM722" s="24"/>
      <c r="AN722" s="24"/>
      <c r="AO722" s="24"/>
      <c r="AP722" s="24"/>
      <c r="AQ722" s="24"/>
      <c r="AR722" s="24"/>
    </row>
    <row r="723" spans="1:44" ht="19.5">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c r="AK723" s="24"/>
      <c r="AL723" s="24"/>
      <c r="AM723" s="24"/>
      <c r="AN723" s="24"/>
      <c r="AO723" s="24"/>
      <c r="AP723" s="24"/>
      <c r="AQ723" s="24"/>
      <c r="AR723" s="24"/>
    </row>
    <row r="724" spans="1:44" ht="19.5">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4"/>
      <c r="AN724" s="24"/>
      <c r="AO724" s="24"/>
      <c r="AP724" s="24"/>
      <c r="AQ724" s="24"/>
      <c r="AR724" s="24"/>
    </row>
    <row r="725" spans="1:44" ht="19.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row>
    <row r="726" spans="1:44" ht="19.5">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row>
    <row r="727" spans="1:44" ht="19.5">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row>
    <row r="728" spans="1:44" ht="19.5">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c r="AK728" s="24"/>
      <c r="AL728" s="24"/>
      <c r="AM728" s="24"/>
      <c r="AN728" s="24"/>
      <c r="AO728" s="24"/>
      <c r="AP728" s="24"/>
      <c r="AQ728" s="24"/>
      <c r="AR728" s="24"/>
    </row>
    <row r="729" spans="1:44" ht="19.5">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4"/>
      <c r="AN729" s="24"/>
      <c r="AO729" s="24"/>
      <c r="AP729" s="24"/>
      <c r="AQ729" s="24"/>
      <c r="AR729" s="24"/>
    </row>
    <row r="730" spans="1:44" ht="19.5">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c r="AK730" s="24"/>
      <c r="AL730" s="24"/>
      <c r="AM730" s="24"/>
      <c r="AN730" s="24"/>
      <c r="AO730" s="24"/>
      <c r="AP730" s="24"/>
      <c r="AQ730" s="24"/>
      <c r="AR730" s="24"/>
    </row>
    <row r="731" spans="1:44" ht="19.5">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4"/>
      <c r="AN731" s="24"/>
      <c r="AO731" s="24"/>
      <c r="AP731" s="24"/>
      <c r="AQ731" s="24"/>
      <c r="AR731" s="24"/>
    </row>
    <row r="732" spans="1:44" ht="19.5">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c r="AK732" s="24"/>
      <c r="AL732" s="24"/>
      <c r="AM732" s="24"/>
      <c r="AN732" s="24"/>
      <c r="AO732" s="24"/>
      <c r="AP732" s="24"/>
      <c r="AQ732" s="24"/>
      <c r="AR732" s="24"/>
    </row>
    <row r="733" spans="1:44" ht="19.5">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c r="AK733" s="24"/>
      <c r="AL733" s="24"/>
      <c r="AM733" s="24"/>
      <c r="AN733" s="24"/>
      <c r="AO733" s="24"/>
      <c r="AP733" s="24"/>
      <c r="AQ733" s="24"/>
      <c r="AR733" s="24"/>
    </row>
    <row r="734" spans="1:44" ht="19.5">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c r="AK734" s="24"/>
      <c r="AL734" s="24"/>
      <c r="AM734" s="24"/>
      <c r="AN734" s="24"/>
      <c r="AO734" s="24"/>
      <c r="AP734" s="24"/>
      <c r="AQ734" s="24"/>
      <c r="AR734" s="24"/>
    </row>
    <row r="735" spans="1:44" ht="19.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c r="AK735" s="24"/>
      <c r="AL735" s="24"/>
      <c r="AM735" s="24"/>
      <c r="AN735" s="24"/>
      <c r="AO735" s="24"/>
      <c r="AP735" s="24"/>
      <c r="AQ735" s="24"/>
      <c r="AR735" s="24"/>
    </row>
    <row r="736" spans="1:44" ht="19.5">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c r="AK736" s="24"/>
      <c r="AL736" s="24"/>
      <c r="AM736" s="24"/>
      <c r="AN736" s="24"/>
      <c r="AO736" s="24"/>
      <c r="AP736" s="24"/>
      <c r="AQ736" s="24"/>
      <c r="AR736" s="24"/>
    </row>
    <row r="737" spans="1:44" ht="19.5">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c r="AK737" s="24"/>
      <c r="AL737" s="24"/>
      <c r="AM737" s="24"/>
      <c r="AN737" s="24"/>
      <c r="AO737" s="24"/>
      <c r="AP737" s="24"/>
      <c r="AQ737" s="24"/>
      <c r="AR737" s="24"/>
    </row>
    <row r="738" spans="1:44" ht="19.5">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c r="AK738" s="24"/>
      <c r="AL738" s="24"/>
      <c r="AM738" s="24"/>
      <c r="AN738" s="24"/>
      <c r="AO738" s="24"/>
      <c r="AP738" s="24"/>
      <c r="AQ738" s="24"/>
      <c r="AR738" s="24"/>
    </row>
    <row r="739" spans="1:44" ht="19.5">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c r="AK739" s="24"/>
      <c r="AL739" s="24"/>
      <c r="AM739" s="24"/>
      <c r="AN739" s="24"/>
      <c r="AO739" s="24"/>
      <c r="AP739" s="24"/>
      <c r="AQ739" s="24"/>
      <c r="AR739" s="24"/>
    </row>
    <row r="740" spans="1:44" ht="19.5">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c r="AK740" s="24"/>
      <c r="AL740" s="24"/>
      <c r="AM740" s="24"/>
      <c r="AN740" s="24"/>
      <c r="AO740" s="24"/>
      <c r="AP740" s="24"/>
      <c r="AQ740" s="24"/>
      <c r="AR740" s="24"/>
    </row>
    <row r="741" spans="1:44" ht="19.5">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c r="AK741" s="24"/>
      <c r="AL741" s="24"/>
      <c r="AM741" s="24"/>
      <c r="AN741" s="24"/>
      <c r="AO741" s="24"/>
      <c r="AP741" s="24"/>
      <c r="AQ741" s="24"/>
      <c r="AR741" s="24"/>
    </row>
    <row r="742" spans="1:44" ht="19.5">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c r="AK742" s="24"/>
      <c r="AL742" s="24"/>
      <c r="AM742" s="24"/>
      <c r="AN742" s="24"/>
      <c r="AO742" s="24"/>
      <c r="AP742" s="24"/>
      <c r="AQ742" s="24"/>
      <c r="AR742" s="24"/>
    </row>
    <row r="743" spans="1:44" ht="19.5">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c r="AK743" s="24"/>
      <c r="AL743" s="24"/>
      <c r="AM743" s="24"/>
      <c r="AN743" s="24"/>
      <c r="AO743" s="24"/>
      <c r="AP743" s="24"/>
      <c r="AQ743" s="24"/>
      <c r="AR743" s="24"/>
    </row>
    <row r="744" spans="1:44" ht="19.5">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c r="AK744" s="24"/>
      <c r="AL744" s="24"/>
      <c r="AM744" s="24"/>
      <c r="AN744" s="24"/>
      <c r="AO744" s="24"/>
      <c r="AP744" s="24"/>
      <c r="AQ744" s="24"/>
      <c r="AR744" s="24"/>
    </row>
    <row r="745" spans="1:44" ht="19.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c r="AK745" s="24"/>
      <c r="AL745" s="24"/>
      <c r="AM745" s="24"/>
      <c r="AN745" s="24"/>
      <c r="AO745" s="24"/>
      <c r="AP745" s="24"/>
      <c r="AQ745" s="24"/>
      <c r="AR745" s="24"/>
    </row>
    <row r="746" spans="1:44" ht="19.5">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c r="AK746" s="24"/>
      <c r="AL746" s="24"/>
      <c r="AM746" s="24"/>
      <c r="AN746" s="24"/>
      <c r="AO746" s="24"/>
      <c r="AP746" s="24"/>
      <c r="AQ746" s="24"/>
      <c r="AR746" s="24"/>
    </row>
    <row r="747" spans="1:44" ht="19.5">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4"/>
      <c r="AN747" s="24"/>
      <c r="AO747" s="24"/>
      <c r="AP747" s="24"/>
      <c r="AQ747" s="24"/>
      <c r="AR747" s="24"/>
    </row>
    <row r="748" spans="1:44" ht="19.5">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c r="AK748" s="24"/>
      <c r="AL748" s="24"/>
      <c r="AM748" s="24"/>
      <c r="AN748" s="24"/>
      <c r="AO748" s="24"/>
      <c r="AP748" s="24"/>
      <c r="AQ748" s="24"/>
      <c r="AR748" s="24"/>
    </row>
    <row r="749" spans="1:44" ht="19.5">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4"/>
      <c r="AN749" s="24"/>
      <c r="AO749" s="24"/>
      <c r="AP749" s="24"/>
      <c r="AQ749" s="24"/>
      <c r="AR749" s="24"/>
    </row>
    <row r="750" spans="1:44" ht="19.5">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c r="AK750" s="24"/>
      <c r="AL750" s="24"/>
      <c r="AM750" s="24"/>
      <c r="AN750" s="24"/>
      <c r="AO750" s="24"/>
      <c r="AP750" s="24"/>
      <c r="AQ750" s="24"/>
      <c r="AR750" s="24"/>
    </row>
    <row r="751" spans="1:44" ht="19.5">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c r="AK751" s="24"/>
      <c r="AL751" s="24"/>
      <c r="AM751" s="24"/>
      <c r="AN751" s="24"/>
      <c r="AO751" s="24"/>
      <c r="AP751" s="24"/>
      <c r="AQ751" s="24"/>
      <c r="AR751" s="24"/>
    </row>
    <row r="752" spans="1:44" ht="19.5">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c r="AK752" s="24"/>
      <c r="AL752" s="24"/>
      <c r="AM752" s="24"/>
      <c r="AN752" s="24"/>
      <c r="AO752" s="24"/>
      <c r="AP752" s="24"/>
      <c r="AQ752" s="24"/>
      <c r="AR752" s="24"/>
    </row>
    <row r="753" spans="1:44" ht="19.5">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c r="AK753" s="24"/>
      <c r="AL753" s="24"/>
      <c r="AM753" s="24"/>
      <c r="AN753" s="24"/>
      <c r="AO753" s="24"/>
      <c r="AP753" s="24"/>
      <c r="AQ753" s="24"/>
      <c r="AR753" s="24"/>
    </row>
    <row r="754" spans="1:44" ht="19.5">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c r="AK754" s="24"/>
      <c r="AL754" s="24"/>
      <c r="AM754" s="24"/>
      <c r="AN754" s="24"/>
      <c r="AO754" s="24"/>
      <c r="AP754" s="24"/>
      <c r="AQ754" s="24"/>
      <c r="AR754" s="24"/>
    </row>
    <row r="755" spans="1:44" ht="19.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c r="AK755" s="24"/>
      <c r="AL755" s="24"/>
      <c r="AM755" s="24"/>
      <c r="AN755" s="24"/>
      <c r="AO755" s="24"/>
      <c r="AP755" s="24"/>
      <c r="AQ755" s="24"/>
      <c r="AR755" s="24"/>
    </row>
    <row r="756" spans="1:44" ht="19.5">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c r="AK756" s="24"/>
      <c r="AL756" s="24"/>
      <c r="AM756" s="24"/>
      <c r="AN756" s="24"/>
      <c r="AO756" s="24"/>
      <c r="AP756" s="24"/>
      <c r="AQ756" s="24"/>
      <c r="AR756" s="24"/>
    </row>
    <row r="757" spans="1:44" ht="19.5">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c r="AK757" s="24"/>
      <c r="AL757" s="24"/>
      <c r="AM757" s="24"/>
      <c r="AN757" s="24"/>
      <c r="AO757" s="24"/>
      <c r="AP757" s="24"/>
      <c r="AQ757" s="24"/>
      <c r="AR757" s="24"/>
    </row>
    <row r="758" spans="1:44" ht="19.5">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c r="AK758" s="24"/>
      <c r="AL758" s="24"/>
      <c r="AM758" s="24"/>
      <c r="AN758" s="24"/>
      <c r="AO758" s="24"/>
      <c r="AP758" s="24"/>
      <c r="AQ758" s="24"/>
      <c r="AR758" s="24"/>
    </row>
    <row r="759" spans="1:44" ht="19.5">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c r="AK759" s="24"/>
      <c r="AL759" s="24"/>
      <c r="AM759" s="24"/>
      <c r="AN759" s="24"/>
      <c r="AO759" s="24"/>
      <c r="AP759" s="24"/>
      <c r="AQ759" s="24"/>
      <c r="AR759" s="24"/>
    </row>
    <row r="760" spans="1:44" ht="19.5">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c r="AK760" s="24"/>
      <c r="AL760" s="24"/>
      <c r="AM760" s="24"/>
      <c r="AN760" s="24"/>
      <c r="AO760" s="24"/>
      <c r="AP760" s="24"/>
      <c r="AQ760" s="24"/>
      <c r="AR760" s="24"/>
    </row>
    <row r="761" spans="1:44" ht="19.5">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c r="AK761" s="24"/>
      <c r="AL761" s="24"/>
      <c r="AM761" s="24"/>
      <c r="AN761" s="24"/>
      <c r="AO761" s="24"/>
      <c r="AP761" s="24"/>
      <c r="AQ761" s="24"/>
      <c r="AR761" s="24"/>
    </row>
    <row r="762" spans="1:44" ht="19.5">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c r="AK762" s="24"/>
      <c r="AL762" s="24"/>
      <c r="AM762" s="24"/>
      <c r="AN762" s="24"/>
      <c r="AO762" s="24"/>
      <c r="AP762" s="24"/>
      <c r="AQ762" s="24"/>
      <c r="AR762" s="24"/>
    </row>
    <row r="763" spans="1:44" ht="19.5">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c r="AK763" s="24"/>
      <c r="AL763" s="24"/>
      <c r="AM763" s="24"/>
      <c r="AN763" s="24"/>
      <c r="AO763" s="24"/>
      <c r="AP763" s="24"/>
      <c r="AQ763" s="24"/>
      <c r="AR763" s="24"/>
    </row>
    <row r="764" spans="1:44" ht="19.5">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c r="AK764" s="24"/>
      <c r="AL764" s="24"/>
      <c r="AM764" s="24"/>
      <c r="AN764" s="24"/>
      <c r="AO764" s="24"/>
      <c r="AP764" s="24"/>
      <c r="AQ764" s="24"/>
      <c r="AR764" s="24"/>
    </row>
    <row r="765" spans="1:44" ht="19.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c r="AK765" s="24"/>
      <c r="AL765" s="24"/>
      <c r="AM765" s="24"/>
      <c r="AN765" s="24"/>
      <c r="AO765" s="24"/>
      <c r="AP765" s="24"/>
      <c r="AQ765" s="24"/>
      <c r="AR765" s="24"/>
    </row>
    <row r="766" spans="1:44" ht="19.5">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c r="AK766" s="24"/>
      <c r="AL766" s="24"/>
      <c r="AM766" s="24"/>
      <c r="AN766" s="24"/>
      <c r="AO766" s="24"/>
      <c r="AP766" s="24"/>
      <c r="AQ766" s="24"/>
      <c r="AR766" s="24"/>
    </row>
    <row r="767" spans="1:44" ht="19.5">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c r="AK767" s="24"/>
      <c r="AL767" s="24"/>
      <c r="AM767" s="24"/>
      <c r="AN767" s="24"/>
      <c r="AO767" s="24"/>
      <c r="AP767" s="24"/>
      <c r="AQ767" s="24"/>
      <c r="AR767" s="24"/>
    </row>
    <row r="768" spans="1:44" ht="19.5">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c r="AK768" s="24"/>
      <c r="AL768" s="24"/>
      <c r="AM768" s="24"/>
      <c r="AN768" s="24"/>
      <c r="AO768" s="24"/>
      <c r="AP768" s="24"/>
      <c r="AQ768" s="24"/>
      <c r="AR768" s="24"/>
    </row>
    <row r="769" spans="1:44" ht="19.5">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c r="AK769" s="24"/>
      <c r="AL769" s="24"/>
      <c r="AM769" s="24"/>
      <c r="AN769" s="24"/>
      <c r="AO769" s="24"/>
      <c r="AP769" s="24"/>
      <c r="AQ769" s="24"/>
      <c r="AR769" s="24"/>
    </row>
    <row r="770" spans="1:44" ht="19.5">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c r="AK770" s="24"/>
      <c r="AL770" s="24"/>
      <c r="AM770" s="24"/>
      <c r="AN770" s="24"/>
      <c r="AO770" s="24"/>
      <c r="AP770" s="24"/>
      <c r="AQ770" s="24"/>
      <c r="AR770" s="24"/>
    </row>
    <row r="771" spans="1:44" ht="19.5">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c r="AK771" s="24"/>
      <c r="AL771" s="24"/>
      <c r="AM771" s="24"/>
      <c r="AN771" s="24"/>
      <c r="AO771" s="24"/>
      <c r="AP771" s="24"/>
      <c r="AQ771" s="24"/>
      <c r="AR771" s="24"/>
    </row>
    <row r="772" spans="1:44" ht="19.5">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c r="AK772" s="24"/>
      <c r="AL772" s="24"/>
      <c r="AM772" s="24"/>
      <c r="AN772" s="24"/>
      <c r="AO772" s="24"/>
      <c r="AP772" s="24"/>
      <c r="AQ772" s="24"/>
      <c r="AR772" s="24"/>
    </row>
    <row r="773" spans="1:44" ht="19.5">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c r="AK773" s="24"/>
      <c r="AL773" s="24"/>
      <c r="AM773" s="24"/>
      <c r="AN773" s="24"/>
      <c r="AO773" s="24"/>
      <c r="AP773" s="24"/>
      <c r="AQ773" s="24"/>
      <c r="AR773" s="24"/>
    </row>
    <row r="774" spans="1:44" ht="19.5">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c r="AK774" s="24"/>
      <c r="AL774" s="24"/>
      <c r="AM774" s="24"/>
      <c r="AN774" s="24"/>
      <c r="AO774" s="24"/>
      <c r="AP774" s="24"/>
      <c r="AQ774" s="24"/>
      <c r="AR774" s="24"/>
    </row>
    <row r="775" spans="1:44" ht="19.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c r="AK775" s="24"/>
      <c r="AL775" s="24"/>
      <c r="AM775" s="24"/>
      <c r="AN775" s="24"/>
      <c r="AO775" s="24"/>
      <c r="AP775" s="24"/>
      <c r="AQ775" s="24"/>
      <c r="AR775" s="24"/>
    </row>
    <row r="776" spans="1:44" ht="19.5">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c r="AK776" s="24"/>
      <c r="AL776" s="24"/>
      <c r="AM776" s="24"/>
      <c r="AN776" s="24"/>
      <c r="AO776" s="24"/>
      <c r="AP776" s="24"/>
      <c r="AQ776" s="24"/>
      <c r="AR776" s="24"/>
    </row>
    <row r="777" spans="1:44" ht="19.5">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c r="AK777" s="24"/>
      <c r="AL777" s="24"/>
      <c r="AM777" s="24"/>
      <c r="AN777" s="24"/>
      <c r="AO777" s="24"/>
      <c r="AP777" s="24"/>
      <c r="AQ777" s="24"/>
      <c r="AR777" s="24"/>
    </row>
    <row r="778" spans="1:44" ht="19.5">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row>
    <row r="779" spans="1:44" ht="19.5">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c r="AK779" s="24"/>
      <c r="AL779" s="24"/>
      <c r="AM779" s="24"/>
      <c r="AN779" s="24"/>
      <c r="AO779" s="24"/>
      <c r="AP779" s="24"/>
      <c r="AQ779" s="24"/>
      <c r="AR779" s="24"/>
    </row>
    <row r="780" spans="1:44" ht="19.5">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c r="AK780" s="24"/>
      <c r="AL780" s="24"/>
      <c r="AM780" s="24"/>
      <c r="AN780" s="24"/>
      <c r="AO780" s="24"/>
      <c r="AP780" s="24"/>
      <c r="AQ780" s="24"/>
      <c r="AR780" s="24"/>
    </row>
    <row r="781" spans="1:44" ht="19.5">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c r="AK781" s="24"/>
      <c r="AL781" s="24"/>
      <c r="AM781" s="24"/>
      <c r="AN781" s="24"/>
      <c r="AO781" s="24"/>
      <c r="AP781" s="24"/>
      <c r="AQ781" s="24"/>
      <c r="AR781" s="24"/>
    </row>
    <row r="782" spans="1:44" ht="19.5">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c r="AK782" s="24"/>
      <c r="AL782" s="24"/>
      <c r="AM782" s="24"/>
      <c r="AN782" s="24"/>
      <c r="AO782" s="24"/>
      <c r="AP782" s="24"/>
      <c r="AQ782" s="24"/>
      <c r="AR782" s="24"/>
    </row>
    <row r="783" spans="1:44" ht="19.5">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c r="AK783" s="24"/>
      <c r="AL783" s="24"/>
      <c r="AM783" s="24"/>
      <c r="AN783" s="24"/>
      <c r="AO783" s="24"/>
      <c r="AP783" s="24"/>
      <c r="AQ783" s="24"/>
      <c r="AR783" s="24"/>
    </row>
    <row r="784" spans="1:44" ht="19.5">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row>
    <row r="785" spans="1:44" ht="19.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c r="AK785" s="24"/>
      <c r="AL785" s="24"/>
      <c r="AM785" s="24"/>
      <c r="AN785" s="24"/>
      <c r="AO785" s="24"/>
      <c r="AP785" s="24"/>
      <c r="AQ785" s="24"/>
      <c r="AR785" s="24"/>
    </row>
    <row r="786" spans="1:44" ht="19.5">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c r="AK786" s="24"/>
      <c r="AL786" s="24"/>
      <c r="AM786" s="24"/>
      <c r="AN786" s="24"/>
      <c r="AO786" s="24"/>
      <c r="AP786" s="24"/>
      <c r="AQ786" s="24"/>
      <c r="AR786" s="24"/>
    </row>
    <row r="787" spans="1:44" ht="19.5">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c r="AK787" s="24"/>
      <c r="AL787" s="24"/>
      <c r="AM787" s="24"/>
      <c r="AN787" s="24"/>
      <c r="AO787" s="24"/>
      <c r="AP787" s="24"/>
      <c r="AQ787" s="24"/>
      <c r="AR787" s="24"/>
    </row>
    <row r="788" spans="1:44" ht="19.5">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c r="AK788" s="24"/>
      <c r="AL788" s="24"/>
      <c r="AM788" s="24"/>
      <c r="AN788" s="24"/>
      <c r="AO788" s="24"/>
      <c r="AP788" s="24"/>
      <c r="AQ788" s="24"/>
      <c r="AR788" s="24"/>
    </row>
    <row r="789" spans="1:44" ht="19.5">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c r="AK789" s="24"/>
      <c r="AL789" s="24"/>
      <c r="AM789" s="24"/>
      <c r="AN789" s="24"/>
      <c r="AO789" s="24"/>
      <c r="AP789" s="24"/>
      <c r="AQ789" s="24"/>
      <c r="AR789" s="24"/>
    </row>
    <row r="790" spans="1:44" ht="19.5">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c r="AK790" s="24"/>
      <c r="AL790" s="24"/>
      <c r="AM790" s="24"/>
      <c r="AN790" s="24"/>
      <c r="AO790" s="24"/>
      <c r="AP790" s="24"/>
      <c r="AQ790" s="24"/>
      <c r="AR790" s="24"/>
    </row>
    <row r="791" spans="1:44" ht="19.5">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c r="AK791" s="24"/>
      <c r="AL791" s="24"/>
      <c r="AM791" s="24"/>
      <c r="AN791" s="24"/>
      <c r="AO791" s="24"/>
      <c r="AP791" s="24"/>
      <c r="AQ791" s="24"/>
      <c r="AR791" s="24"/>
    </row>
    <row r="792" spans="1:44" ht="19.5">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c r="AK792" s="24"/>
      <c r="AL792" s="24"/>
      <c r="AM792" s="24"/>
      <c r="AN792" s="24"/>
      <c r="AO792" s="24"/>
      <c r="AP792" s="24"/>
      <c r="AQ792" s="24"/>
      <c r="AR792" s="24"/>
    </row>
    <row r="793" spans="1:44" ht="19.5">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c r="AK793" s="24"/>
      <c r="AL793" s="24"/>
      <c r="AM793" s="24"/>
      <c r="AN793" s="24"/>
      <c r="AO793" s="24"/>
      <c r="AP793" s="24"/>
      <c r="AQ793" s="24"/>
      <c r="AR793" s="24"/>
    </row>
    <row r="794" spans="1:44" ht="19.5">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c r="AK794" s="24"/>
      <c r="AL794" s="24"/>
      <c r="AM794" s="24"/>
      <c r="AN794" s="24"/>
      <c r="AO794" s="24"/>
      <c r="AP794" s="24"/>
      <c r="AQ794" s="24"/>
      <c r="AR794" s="24"/>
    </row>
    <row r="795" spans="1:44" ht="1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c r="AK795" s="24"/>
      <c r="AL795" s="24"/>
      <c r="AM795" s="24"/>
      <c r="AN795" s="24"/>
      <c r="AO795" s="24"/>
      <c r="AP795" s="24"/>
      <c r="AQ795" s="24"/>
      <c r="AR795" s="24"/>
    </row>
    <row r="796" spans="1:44" ht="19.5">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c r="AK796" s="24"/>
      <c r="AL796" s="24"/>
      <c r="AM796" s="24"/>
      <c r="AN796" s="24"/>
      <c r="AO796" s="24"/>
      <c r="AP796" s="24"/>
      <c r="AQ796" s="24"/>
      <c r="AR796" s="24"/>
    </row>
    <row r="797" spans="1:44" ht="19.5">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c r="AK797" s="24"/>
      <c r="AL797" s="24"/>
      <c r="AM797" s="24"/>
      <c r="AN797" s="24"/>
      <c r="AO797" s="24"/>
      <c r="AP797" s="24"/>
      <c r="AQ797" s="24"/>
      <c r="AR797" s="24"/>
    </row>
    <row r="798" spans="1:44" ht="19.5">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c r="AK798" s="24"/>
      <c r="AL798" s="24"/>
      <c r="AM798" s="24"/>
      <c r="AN798" s="24"/>
      <c r="AO798" s="24"/>
      <c r="AP798" s="24"/>
      <c r="AQ798" s="24"/>
      <c r="AR798" s="24"/>
    </row>
    <row r="799" spans="1:44" ht="19.5">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4"/>
      <c r="AN799" s="24"/>
      <c r="AO799" s="24"/>
      <c r="AP799" s="24"/>
      <c r="AQ799" s="24"/>
      <c r="AR799" s="24"/>
    </row>
    <row r="800" spans="1:44" ht="19.5">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c r="AK800" s="24"/>
      <c r="AL800" s="24"/>
      <c r="AM800" s="24"/>
      <c r="AN800" s="24"/>
      <c r="AO800" s="24"/>
      <c r="AP800" s="24"/>
      <c r="AQ800" s="24"/>
      <c r="AR800" s="24"/>
    </row>
    <row r="801" spans="1:44" ht="19.5">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c r="AK801" s="24"/>
      <c r="AL801" s="24"/>
      <c r="AM801" s="24"/>
      <c r="AN801" s="24"/>
      <c r="AO801" s="24"/>
      <c r="AP801" s="24"/>
      <c r="AQ801" s="24"/>
      <c r="AR801" s="24"/>
    </row>
    <row r="802" spans="1:44" ht="19.5">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c r="AK802" s="24"/>
      <c r="AL802" s="24"/>
      <c r="AM802" s="24"/>
      <c r="AN802" s="24"/>
      <c r="AO802" s="24"/>
      <c r="AP802" s="24"/>
      <c r="AQ802" s="24"/>
      <c r="AR802" s="24"/>
    </row>
    <row r="803" spans="1:44" ht="19.5">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c r="AK803" s="24"/>
      <c r="AL803" s="24"/>
      <c r="AM803" s="24"/>
      <c r="AN803" s="24"/>
      <c r="AO803" s="24"/>
      <c r="AP803" s="24"/>
      <c r="AQ803" s="24"/>
      <c r="AR803" s="24"/>
    </row>
    <row r="804" spans="1:44" ht="19.5">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c r="AK804" s="24"/>
      <c r="AL804" s="24"/>
      <c r="AM804" s="24"/>
      <c r="AN804" s="24"/>
      <c r="AO804" s="24"/>
      <c r="AP804" s="24"/>
      <c r="AQ804" s="24"/>
      <c r="AR804" s="24"/>
    </row>
    <row r="805" spans="1:44" ht="19.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c r="AK805" s="24"/>
      <c r="AL805" s="24"/>
      <c r="AM805" s="24"/>
      <c r="AN805" s="24"/>
      <c r="AO805" s="24"/>
      <c r="AP805" s="24"/>
      <c r="AQ805" s="24"/>
      <c r="AR805" s="24"/>
    </row>
    <row r="806" spans="1:44" ht="19.5">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c r="AK806" s="24"/>
      <c r="AL806" s="24"/>
      <c r="AM806" s="24"/>
      <c r="AN806" s="24"/>
      <c r="AO806" s="24"/>
      <c r="AP806" s="24"/>
      <c r="AQ806" s="24"/>
      <c r="AR806" s="24"/>
    </row>
    <row r="807" spans="1:44" ht="19.5">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c r="AK807" s="24"/>
      <c r="AL807" s="24"/>
      <c r="AM807" s="24"/>
      <c r="AN807" s="24"/>
      <c r="AO807" s="24"/>
      <c r="AP807" s="24"/>
      <c r="AQ807" s="24"/>
      <c r="AR807" s="24"/>
    </row>
    <row r="808" spans="1:44" ht="19.5">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c r="AK808" s="24"/>
      <c r="AL808" s="24"/>
      <c r="AM808" s="24"/>
      <c r="AN808" s="24"/>
      <c r="AO808" s="24"/>
      <c r="AP808" s="24"/>
      <c r="AQ808" s="24"/>
      <c r="AR808" s="24"/>
    </row>
    <row r="809" spans="1:44" ht="19.5">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row>
    <row r="810" spans="1:44" ht="19.5">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c r="AK810" s="24"/>
      <c r="AL810" s="24"/>
      <c r="AM810" s="24"/>
      <c r="AN810" s="24"/>
      <c r="AO810" s="24"/>
      <c r="AP810" s="24"/>
      <c r="AQ810" s="24"/>
      <c r="AR810" s="24"/>
    </row>
    <row r="811" spans="1:44" ht="19.5">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c r="AK811" s="24"/>
      <c r="AL811" s="24"/>
      <c r="AM811" s="24"/>
      <c r="AN811" s="24"/>
      <c r="AO811" s="24"/>
      <c r="AP811" s="24"/>
      <c r="AQ811" s="24"/>
      <c r="AR811" s="24"/>
    </row>
    <row r="812" spans="1:44" ht="19.5">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c r="AK812" s="24"/>
      <c r="AL812" s="24"/>
      <c r="AM812" s="24"/>
      <c r="AN812" s="24"/>
      <c r="AO812" s="24"/>
      <c r="AP812" s="24"/>
      <c r="AQ812" s="24"/>
      <c r="AR812" s="24"/>
    </row>
    <row r="813" spans="1:44" ht="19.5">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c r="AK813" s="24"/>
      <c r="AL813" s="24"/>
      <c r="AM813" s="24"/>
      <c r="AN813" s="24"/>
      <c r="AO813" s="24"/>
      <c r="AP813" s="24"/>
      <c r="AQ813" s="24"/>
      <c r="AR813" s="24"/>
    </row>
    <row r="814" spans="1:44" ht="19.5">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c r="AK814" s="24"/>
      <c r="AL814" s="24"/>
      <c r="AM814" s="24"/>
      <c r="AN814" s="24"/>
      <c r="AO814" s="24"/>
      <c r="AP814" s="24"/>
      <c r="AQ814" s="24"/>
      <c r="AR814" s="24"/>
    </row>
    <row r="815" spans="1:44" ht="19.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c r="AK815" s="24"/>
      <c r="AL815" s="24"/>
      <c r="AM815" s="24"/>
      <c r="AN815" s="24"/>
      <c r="AO815" s="24"/>
      <c r="AP815" s="24"/>
      <c r="AQ815" s="24"/>
      <c r="AR815" s="24"/>
    </row>
    <row r="816" spans="1:44" ht="19.5">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c r="AK816" s="24"/>
      <c r="AL816" s="24"/>
      <c r="AM816" s="24"/>
      <c r="AN816" s="24"/>
      <c r="AO816" s="24"/>
      <c r="AP816" s="24"/>
      <c r="AQ816" s="24"/>
      <c r="AR816" s="24"/>
    </row>
    <row r="817" spans="1:44" ht="19.5">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c r="AK817" s="24"/>
      <c r="AL817" s="24"/>
      <c r="AM817" s="24"/>
      <c r="AN817" s="24"/>
      <c r="AO817" s="24"/>
      <c r="AP817" s="24"/>
      <c r="AQ817" s="24"/>
      <c r="AR817" s="24"/>
    </row>
    <row r="818" spans="1:44" ht="19.5">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c r="AK818" s="24"/>
      <c r="AL818" s="24"/>
      <c r="AM818" s="24"/>
      <c r="AN818" s="24"/>
      <c r="AO818" s="24"/>
      <c r="AP818" s="24"/>
      <c r="AQ818" s="24"/>
      <c r="AR818" s="24"/>
    </row>
    <row r="819" spans="1:44" ht="19.5">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c r="AK819" s="24"/>
      <c r="AL819" s="24"/>
      <c r="AM819" s="24"/>
      <c r="AN819" s="24"/>
      <c r="AO819" s="24"/>
      <c r="AP819" s="24"/>
      <c r="AQ819" s="24"/>
      <c r="AR819" s="24"/>
    </row>
    <row r="820" spans="1:44" ht="19.5">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c r="AK820" s="24"/>
      <c r="AL820" s="24"/>
      <c r="AM820" s="24"/>
      <c r="AN820" s="24"/>
      <c r="AO820" s="24"/>
      <c r="AP820" s="24"/>
      <c r="AQ820" s="24"/>
      <c r="AR820" s="24"/>
    </row>
    <row r="821" spans="1:44" ht="19.5">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c r="AK821" s="24"/>
      <c r="AL821" s="24"/>
      <c r="AM821" s="24"/>
      <c r="AN821" s="24"/>
      <c r="AO821" s="24"/>
      <c r="AP821" s="24"/>
      <c r="AQ821" s="24"/>
      <c r="AR821" s="24"/>
    </row>
    <row r="822" spans="1:44" ht="19.5">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c r="AK822" s="24"/>
      <c r="AL822" s="24"/>
      <c r="AM822" s="24"/>
      <c r="AN822" s="24"/>
      <c r="AO822" s="24"/>
      <c r="AP822" s="24"/>
      <c r="AQ822" s="24"/>
      <c r="AR822" s="24"/>
    </row>
    <row r="823" spans="1:44" ht="19.5">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c r="AK823" s="24"/>
      <c r="AL823" s="24"/>
      <c r="AM823" s="24"/>
      <c r="AN823" s="24"/>
      <c r="AO823" s="24"/>
      <c r="AP823" s="24"/>
      <c r="AQ823" s="24"/>
      <c r="AR823" s="24"/>
    </row>
    <row r="824" spans="1:44" ht="19.5">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c r="AK824" s="24"/>
      <c r="AL824" s="24"/>
      <c r="AM824" s="24"/>
      <c r="AN824" s="24"/>
      <c r="AO824" s="24"/>
      <c r="AP824" s="24"/>
      <c r="AQ824" s="24"/>
      <c r="AR824" s="24"/>
    </row>
    <row r="825" spans="1:44" ht="19.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c r="AK825" s="24"/>
      <c r="AL825" s="24"/>
      <c r="AM825" s="24"/>
      <c r="AN825" s="24"/>
      <c r="AO825" s="24"/>
      <c r="AP825" s="24"/>
      <c r="AQ825" s="24"/>
      <c r="AR825" s="24"/>
    </row>
    <row r="826" spans="1:44" ht="19.5">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c r="AK826" s="24"/>
      <c r="AL826" s="24"/>
      <c r="AM826" s="24"/>
      <c r="AN826" s="24"/>
      <c r="AO826" s="24"/>
      <c r="AP826" s="24"/>
      <c r="AQ826" s="24"/>
      <c r="AR826" s="24"/>
    </row>
    <row r="827" spans="1:44" ht="19.5">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c r="AK827" s="24"/>
      <c r="AL827" s="24"/>
      <c r="AM827" s="24"/>
      <c r="AN827" s="24"/>
      <c r="AO827" s="24"/>
      <c r="AP827" s="24"/>
      <c r="AQ827" s="24"/>
      <c r="AR827" s="24"/>
    </row>
    <row r="828" spans="1:44" ht="19.5">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row>
    <row r="829" spans="1:44" ht="19.5">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4"/>
      <c r="AN829" s="24"/>
      <c r="AO829" s="24"/>
      <c r="AP829" s="24"/>
      <c r="AQ829" s="24"/>
      <c r="AR829" s="24"/>
    </row>
    <row r="830" spans="1:44" ht="19.5">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c r="AK830" s="24"/>
      <c r="AL830" s="24"/>
      <c r="AM830" s="24"/>
      <c r="AN830" s="24"/>
      <c r="AO830" s="24"/>
      <c r="AP830" s="24"/>
      <c r="AQ830" s="24"/>
      <c r="AR830" s="24"/>
    </row>
    <row r="831" spans="1:44" ht="19.5">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c r="AK831" s="24"/>
      <c r="AL831" s="24"/>
      <c r="AM831" s="24"/>
      <c r="AN831" s="24"/>
      <c r="AO831" s="24"/>
      <c r="AP831" s="24"/>
      <c r="AQ831" s="24"/>
      <c r="AR831" s="24"/>
    </row>
    <row r="832" spans="1:44" ht="19.5">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c r="AK832" s="24"/>
      <c r="AL832" s="24"/>
      <c r="AM832" s="24"/>
      <c r="AN832" s="24"/>
      <c r="AO832" s="24"/>
      <c r="AP832" s="24"/>
      <c r="AQ832" s="24"/>
      <c r="AR832" s="24"/>
    </row>
    <row r="833" spans="1:44" ht="19.5">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4"/>
      <c r="AN833" s="24"/>
      <c r="AO833" s="24"/>
      <c r="AP833" s="24"/>
      <c r="AQ833" s="24"/>
      <c r="AR833" s="24"/>
    </row>
    <row r="834" spans="1:44" ht="19.5">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c r="AK834" s="24"/>
      <c r="AL834" s="24"/>
      <c r="AM834" s="24"/>
      <c r="AN834" s="24"/>
      <c r="AO834" s="24"/>
      <c r="AP834" s="24"/>
      <c r="AQ834" s="24"/>
      <c r="AR834" s="24"/>
    </row>
    <row r="835" spans="1:44" ht="19.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c r="AK835" s="24"/>
      <c r="AL835" s="24"/>
      <c r="AM835" s="24"/>
      <c r="AN835" s="24"/>
      <c r="AO835" s="24"/>
      <c r="AP835" s="24"/>
      <c r="AQ835" s="24"/>
      <c r="AR835" s="24"/>
    </row>
    <row r="836" spans="1:44" ht="19.5">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c r="AK836" s="24"/>
      <c r="AL836" s="24"/>
      <c r="AM836" s="24"/>
      <c r="AN836" s="24"/>
      <c r="AO836" s="24"/>
      <c r="AP836" s="24"/>
      <c r="AQ836" s="24"/>
      <c r="AR836" s="24"/>
    </row>
    <row r="837" spans="1:44" ht="19.5">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c r="AK837" s="24"/>
      <c r="AL837" s="24"/>
      <c r="AM837" s="24"/>
      <c r="AN837" s="24"/>
      <c r="AO837" s="24"/>
      <c r="AP837" s="24"/>
      <c r="AQ837" s="24"/>
      <c r="AR837" s="24"/>
    </row>
    <row r="838" spans="1:44" ht="19.5">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c r="AK838" s="24"/>
      <c r="AL838" s="24"/>
      <c r="AM838" s="24"/>
      <c r="AN838" s="24"/>
      <c r="AO838" s="24"/>
      <c r="AP838" s="24"/>
      <c r="AQ838" s="24"/>
      <c r="AR838" s="24"/>
    </row>
    <row r="839" spans="1:44" ht="19.5">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c r="AK839" s="24"/>
      <c r="AL839" s="24"/>
      <c r="AM839" s="24"/>
      <c r="AN839" s="24"/>
      <c r="AO839" s="24"/>
      <c r="AP839" s="24"/>
      <c r="AQ839" s="24"/>
      <c r="AR839" s="24"/>
    </row>
    <row r="840" spans="1:44" ht="19.5">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c r="AK840" s="24"/>
      <c r="AL840" s="24"/>
      <c r="AM840" s="24"/>
      <c r="AN840" s="24"/>
      <c r="AO840" s="24"/>
      <c r="AP840" s="24"/>
      <c r="AQ840" s="24"/>
      <c r="AR840" s="24"/>
    </row>
    <row r="841" spans="1:44" ht="19.5">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c r="AK841" s="24"/>
      <c r="AL841" s="24"/>
      <c r="AM841" s="24"/>
      <c r="AN841" s="24"/>
      <c r="AO841" s="24"/>
      <c r="AP841" s="24"/>
      <c r="AQ841" s="24"/>
      <c r="AR841" s="24"/>
    </row>
    <row r="842" spans="1:44" ht="19.5">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c r="AK842" s="24"/>
      <c r="AL842" s="24"/>
      <c r="AM842" s="24"/>
      <c r="AN842" s="24"/>
      <c r="AO842" s="24"/>
      <c r="AP842" s="24"/>
      <c r="AQ842" s="24"/>
      <c r="AR842" s="24"/>
    </row>
    <row r="843" spans="1:44" ht="19.5">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c r="AK843" s="24"/>
      <c r="AL843" s="24"/>
      <c r="AM843" s="24"/>
      <c r="AN843" s="24"/>
      <c r="AO843" s="24"/>
      <c r="AP843" s="24"/>
      <c r="AQ843" s="24"/>
      <c r="AR843" s="24"/>
    </row>
    <row r="844" spans="1:44" ht="19.5">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c r="AK844" s="24"/>
      <c r="AL844" s="24"/>
      <c r="AM844" s="24"/>
      <c r="AN844" s="24"/>
      <c r="AO844" s="24"/>
      <c r="AP844" s="24"/>
      <c r="AQ844" s="24"/>
      <c r="AR844" s="24"/>
    </row>
    <row r="845" spans="1:44" ht="19.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c r="AK845" s="24"/>
      <c r="AL845" s="24"/>
      <c r="AM845" s="24"/>
      <c r="AN845" s="24"/>
      <c r="AO845" s="24"/>
      <c r="AP845" s="24"/>
      <c r="AQ845" s="24"/>
      <c r="AR845" s="24"/>
    </row>
    <row r="846" spans="1:44" ht="19.5">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4"/>
      <c r="AN846" s="24"/>
      <c r="AO846" s="24"/>
      <c r="AP846" s="24"/>
      <c r="AQ846" s="24"/>
      <c r="AR846" s="24"/>
    </row>
    <row r="847" spans="1:44" ht="19.5">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c r="AK847" s="24"/>
      <c r="AL847" s="24"/>
      <c r="AM847" s="24"/>
      <c r="AN847" s="24"/>
      <c r="AO847" s="24"/>
      <c r="AP847" s="24"/>
      <c r="AQ847" s="24"/>
      <c r="AR847" s="24"/>
    </row>
    <row r="848" spans="1:44" ht="19.5">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c r="AK848" s="24"/>
      <c r="AL848" s="24"/>
      <c r="AM848" s="24"/>
      <c r="AN848" s="24"/>
      <c r="AO848" s="24"/>
      <c r="AP848" s="24"/>
      <c r="AQ848" s="24"/>
      <c r="AR848" s="24"/>
    </row>
    <row r="849" spans="1:44" ht="19.5">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c r="AK849" s="24"/>
      <c r="AL849" s="24"/>
      <c r="AM849" s="24"/>
      <c r="AN849" s="24"/>
      <c r="AO849" s="24"/>
      <c r="AP849" s="24"/>
      <c r="AQ849" s="24"/>
      <c r="AR849" s="24"/>
    </row>
    <row r="850" spans="1:44" ht="19.5">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c r="AK850" s="24"/>
      <c r="AL850" s="24"/>
      <c r="AM850" s="24"/>
      <c r="AN850" s="24"/>
      <c r="AO850" s="24"/>
      <c r="AP850" s="24"/>
      <c r="AQ850" s="24"/>
      <c r="AR850" s="24"/>
    </row>
    <row r="851" spans="1:44" ht="19.5">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c r="AK851" s="24"/>
      <c r="AL851" s="24"/>
      <c r="AM851" s="24"/>
      <c r="AN851" s="24"/>
      <c r="AO851" s="24"/>
      <c r="AP851" s="24"/>
      <c r="AQ851" s="24"/>
      <c r="AR851" s="24"/>
    </row>
    <row r="852" spans="1:44" ht="19.5">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c r="AK852" s="24"/>
      <c r="AL852" s="24"/>
      <c r="AM852" s="24"/>
      <c r="AN852" s="24"/>
      <c r="AO852" s="24"/>
      <c r="AP852" s="24"/>
      <c r="AQ852" s="24"/>
      <c r="AR852" s="24"/>
    </row>
    <row r="853" spans="1:44" ht="19.5">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c r="AK853" s="24"/>
      <c r="AL853" s="24"/>
      <c r="AM853" s="24"/>
      <c r="AN853" s="24"/>
      <c r="AO853" s="24"/>
      <c r="AP853" s="24"/>
      <c r="AQ853" s="24"/>
      <c r="AR853" s="24"/>
    </row>
    <row r="854" spans="1:44" ht="19.5">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c r="AK854" s="24"/>
      <c r="AL854" s="24"/>
      <c r="AM854" s="24"/>
      <c r="AN854" s="24"/>
      <c r="AO854" s="24"/>
      <c r="AP854" s="24"/>
      <c r="AQ854" s="24"/>
      <c r="AR854" s="24"/>
    </row>
    <row r="855" spans="1:44" ht="19.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c r="AK855" s="24"/>
      <c r="AL855" s="24"/>
      <c r="AM855" s="24"/>
      <c r="AN855" s="24"/>
      <c r="AO855" s="24"/>
      <c r="AP855" s="24"/>
      <c r="AQ855" s="24"/>
      <c r="AR855" s="24"/>
    </row>
    <row r="856" spans="1:44" ht="19.5">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c r="AK856" s="24"/>
      <c r="AL856" s="24"/>
      <c r="AM856" s="24"/>
      <c r="AN856" s="24"/>
      <c r="AO856" s="24"/>
      <c r="AP856" s="24"/>
      <c r="AQ856" s="24"/>
      <c r="AR856" s="24"/>
    </row>
    <row r="857" spans="1:44" ht="19.5">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c r="AK857" s="24"/>
      <c r="AL857" s="24"/>
      <c r="AM857" s="24"/>
      <c r="AN857" s="24"/>
      <c r="AO857" s="24"/>
      <c r="AP857" s="24"/>
      <c r="AQ857" s="24"/>
      <c r="AR857" s="24"/>
    </row>
    <row r="858" spans="1:44" ht="19.5">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row>
    <row r="859" spans="1:44" ht="19.5">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c r="AK859" s="24"/>
      <c r="AL859" s="24"/>
      <c r="AM859" s="24"/>
      <c r="AN859" s="24"/>
      <c r="AO859" s="24"/>
      <c r="AP859" s="24"/>
      <c r="AQ859" s="24"/>
      <c r="AR859" s="24"/>
    </row>
    <row r="860" spans="1:44" ht="19.5">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c r="AK860" s="24"/>
      <c r="AL860" s="24"/>
      <c r="AM860" s="24"/>
      <c r="AN860" s="24"/>
      <c r="AO860" s="24"/>
      <c r="AP860" s="24"/>
      <c r="AQ860" s="24"/>
      <c r="AR860" s="24"/>
    </row>
    <row r="861" spans="1:44" ht="19.5">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c r="AK861" s="24"/>
      <c r="AL861" s="24"/>
      <c r="AM861" s="24"/>
      <c r="AN861" s="24"/>
      <c r="AO861" s="24"/>
      <c r="AP861" s="24"/>
      <c r="AQ861" s="24"/>
      <c r="AR861" s="24"/>
    </row>
    <row r="862" spans="1:44" ht="19.5">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c r="AK862" s="24"/>
      <c r="AL862" s="24"/>
      <c r="AM862" s="24"/>
      <c r="AN862" s="24"/>
      <c r="AO862" s="24"/>
      <c r="AP862" s="24"/>
      <c r="AQ862" s="24"/>
      <c r="AR862" s="24"/>
    </row>
    <row r="863" spans="1:44" ht="19.5">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c r="AK863" s="24"/>
      <c r="AL863" s="24"/>
      <c r="AM863" s="24"/>
      <c r="AN863" s="24"/>
      <c r="AO863" s="24"/>
      <c r="AP863" s="24"/>
      <c r="AQ863" s="24"/>
      <c r="AR863" s="24"/>
    </row>
    <row r="864" spans="1:44" ht="19.5">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c r="AK864" s="24"/>
      <c r="AL864" s="24"/>
      <c r="AM864" s="24"/>
      <c r="AN864" s="24"/>
      <c r="AO864" s="24"/>
      <c r="AP864" s="24"/>
      <c r="AQ864" s="24"/>
      <c r="AR864" s="24"/>
    </row>
    <row r="865" spans="1:44" ht="19.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c r="AK865" s="24"/>
      <c r="AL865" s="24"/>
      <c r="AM865" s="24"/>
      <c r="AN865" s="24"/>
      <c r="AO865" s="24"/>
      <c r="AP865" s="24"/>
      <c r="AQ865" s="24"/>
      <c r="AR865" s="24"/>
    </row>
    <row r="866" spans="1:44" ht="19.5">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c r="AK866" s="24"/>
      <c r="AL866" s="24"/>
      <c r="AM866" s="24"/>
      <c r="AN866" s="24"/>
      <c r="AO866" s="24"/>
      <c r="AP866" s="24"/>
      <c r="AQ866" s="24"/>
      <c r="AR866" s="24"/>
    </row>
    <row r="867" spans="1:44" ht="19.5">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c r="AK867" s="24"/>
      <c r="AL867" s="24"/>
      <c r="AM867" s="24"/>
      <c r="AN867" s="24"/>
      <c r="AO867" s="24"/>
      <c r="AP867" s="24"/>
      <c r="AQ867" s="24"/>
      <c r="AR867" s="24"/>
    </row>
    <row r="868" spans="1:44" ht="19.5">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c r="AK868" s="24"/>
      <c r="AL868" s="24"/>
      <c r="AM868" s="24"/>
      <c r="AN868" s="24"/>
      <c r="AO868" s="24"/>
      <c r="AP868" s="24"/>
      <c r="AQ868" s="24"/>
      <c r="AR868" s="24"/>
    </row>
    <row r="869" spans="1:44" ht="19.5">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c r="AK869" s="24"/>
      <c r="AL869" s="24"/>
      <c r="AM869" s="24"/>
      <c r="AN869" s="24"/>
      <c r="AO869" s="24"/>
      <c r="AP869" s="24"/>
      <c r="AQ869" s="24"/>
      <c r="AR869" s="24"/>
    </row>
    <row r="870" spans="1:44" ht="19.5">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c r="AK870" s="24"/>
      <c r="AL870" s="24"/>
      <c r="AM870" s="24"/>
      <c r="AN870" s="24"/>
      <c r="AO870" s="24"/>
      <c r="AP870" s="24"/>
      <c r="AQ870" s="24"/>
      <c r="AR870" s="24"/>
    </row>
    <row r="871" spans="1:44" ht="19.5">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c r="AK871" s="24"/>
      <c r="AL871" s="24"/>
      <c r="AM871" s="24"/>
      <c r="AN871" s="24"/>
      <c r="AO871" s="24"/>
      <c r="AP871" s="24"/>
      <c r="AQ871" s="24"/>
      <c r="AR871" s="24"/>
    </row>
    <row r="872" spans="1:44" ht="19.5">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c r="AK872" s="24"/>
      <c r="AL872" s="24"/>
      <c r="AM872" s="24"/>
      <c r="AN872" s="24"/>
      <c r="AO872" s="24"/>
      <c r="AP872" s="24"/>
      <c r="AQ872" s="24"/>
      <c r="AR872" s="24"/>
    </row>
    <row r="873" spans="1:44" ht="19.5">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c r="AK873" s="24"/>
      <c r="AL873" s="24"/>
      <c r="AM873" s="24"/>
      <c r="AN873" s="24"/>
      <c r="AO873" s="24"/>
      <c r="AP873" s="24"/>
      <c r="AQ873" s="24"/>
      <c r="AR873" s="24"/>
    </row>
    <row r="874" spans="1:44" ht="19.5">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c r="AK874" s="24"/>
      <c r="AL874" s="24"/>
      <c r="AM874" s="24"/>
      <c r="AN874" s="24"/>
      <c r="AO874" s="24"/>
      <c r="AP874" s="24"/>
      <c r="AQ874" s="24"/>
      <c r="AR874" s="24"/>
    </row>
    <row r="875" spans="1:44" ht="19.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c r="AK875" s="24"/>
      <c r="AL875" s="24"/>
      <c r="AM875" s="24"/>
      <c r="AN875" s="24"/>
      <c r="AO875" s="24"/>
      <c r="AP875" s="24"/>
      <c r="AQ875" s="24"/>
      <c r="AR875" s="24"/>
    </row>
    <row r="876" spans="1:44" ht="19.5">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c r="AK876" s="24"/>
      <c r="AL876" s="24"/>
      <c r="AM876" s="24"/>
      <c r="AN876" s="24"/>
      <c r="AO876" s="24"/>
      <c r="AP876" s="24"/>
      <c r="AQ876" s="24"/>
      <c r="AR876" s="24"/>
    </row>
    <row r="877" spans="1:44" ht="19.5">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c r="AK877" s="24"/>
      <c r="AL877" s="24"/>
      <c r="AM877" s="24"/>
      <c r="AN877" s="24"/>
      <c r="AO877" s="24"/>
      <c r="AP877" s="24"/>
      <c r="AQ877" s="24"/>
      <c r="AR877" s="24"/>
    </row>
    <row r="878" spans="1:44" ht="19.5">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c r="AK878" s="24"/>
      <c r="AL878" s="24"/>
      <c r="AM878" s="24"/>
      <c r="AN878" s="24"/>
      <c r="AO878" s="24"/>
      <c r="AP878" s="24"/>
      <c r="AQ878" s="24"/>
      <c r="AR878" s="24"/>
    </row>
    <row r="879" spans="1:44" ht="19.5">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c r="AK879" s="24"/>
      <c r="AL879" s="24"/>
      <c r="AM879" s="24"/>
      <c r="AN879" s="24"/>
      <c r="AO879" s="24"/>
      <c r="AP879" s="24"/>
      <c r="AQ879" s="24"/>
      <c r="AR879" s="24"/>
    </row>
    <row r="880" spans="1:44" ht="19.5">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c r="AK880" s="24"/>
      <c r="AL880" s="24"/>
      <c r="AM880" s="24"/>
      <c r="AN880" s="24"/>
      <c r="AO880" s="24"/>
      <c r="AP880" s="24"/>
      <c r="AQ880" s="24"/>
      <c r="AR880" s="24"/>
    </row>
    <row r="881" spans="1:44" ht="19.5">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c r="AK881" s="24"/>
      <c r="AL881" s="24"/>
      <c r="AM881" s="24"/>
      <c r="AN881" s="24"/>
      <c r="AO881" s="24"/>
      <c r="AP881" s="24"/>
      <c r="AQ881" s="24"/>
      <c r="AR881" s="24"/>
    </row>
    <row r="882" spans="1:44" ht="19.5">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c r="AK882" s="24"/>
      <c r="AL882" s="24"/>
      <c r="AM882" s="24"/>
      <c r="AN882" s="24"/>
      <c r="AO882" s="24"/>
      <c r="AP882" s="24"/>
      <c r="AQ882" s="24"/>
      <c r="AR882" s="24"/>
    </row>
    <row r="883" spans="1:44" ht="19.5">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c r="AK883" s="24"/>
      <c r="AL883" s="24"/>
      <c r="AM883" s="24"/>
      <c r="AN883" s="24"/>
      <c r="AO883" s="24"/>
      <c r="AP883" s="24"/>
      <c r="AQ883" s="24"/>
      <c r="AR883" s="24"/>
    </row>
    <row r="884" spans="1:44" ht="19.5">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c r="AK884" s="24"/>
      <c r="AL884" s="24"/>
      <c r="AM884" s="24"/>
      <c r="AN884" s="24"/>
      <c r="AO884" s="24"/>
      <c r="AP884" s="24"/>
      <c r="AQ884" s="24"/>
      <c r="AR884" s="24"/>
    </row>
    <row r="885" spans="1:44" ht="19.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c r="AK885" s="24"/>
      <c r="AL885" s="24"/>
      <c r="AM885" s="24"/>
      <c r="AN885" s="24"/>
      <c r="AO885" s="24"/>
      <c r="AP885" s="24"/>
      <c r="AQ885" s="24"/>
      <c r="AR885" s="24"/>
    </row>
    <row r="886" spans="1:44" ht="19.5">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c r="AK886" s="24"/>
      <c r="AL886" s="24"/>
      <c r="AM886" s="24"/>
      <c r="AN886" s="24"/>
      <c r="AO886" s="24"/>
      <c r="AP886" s="24"/>
      <c r="AQ886" s="24"/>
      <c r="AR886" s="24"/>
    </row>
    <row r="887" spans="1:44" ht="19.5">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c r="AK887" s="24"/>
      <c r="AL887" s="24"/>
      <c r="AM887" s="24"/>
      <c r="AN887" s="24"/>
      <c r="AO887" s="24"/>
      <c r="AP887" s="24"/>
      <c r="AQ887" s="24"/>
      <c r="AR887" s="24"/>
    </row>
    <row r="888" spans="1:44" ht="19.5">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c r="AK888" s="24"/>
      <c r="AL888" s="24"/>
      <c r="AM888" s="24"/>
      <c r="AN888" s="24"/>
      <c r="AO888" s="24"/>
      <c r="AP888" s="24"/>
      <c r="AQ888" s="24"/>
      <c r="AR888" s="24"/>
    </row>
    <row r="889" spans="1:44" ht="19.5">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c r="AK889" s="24"/>
      <c r="AL889" s="24"/>
      <c r="AM889" s="24"/>
      <c r="AN889" s="24"/>
      <c r="AO889" s="24"/>
      <c r="AP889" s="24"/>
      <c r="AQ889" s="24"/>
      <c r="AR889" s="24"/>
    </row>
    <row r="890" spans="1:44" ht="19.5">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c r="AK890" s="24"/>
      <c r="AL890" s="24"/>
      <c r="AM890" s="24"/>
      <c r="AN890" s="24"/>
      <c r="AO890" s="24"/>
      <c r="AP890" s="24"/>
      <c r="AQ890" s="24"/>
      <c r="AR890" s="24"/>
    </row>
    <row r="891" spans="1:44" ht="19.5">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c r="AK891" s="24"/>
      <c r="AL891" s="24"/>
      <c r="AM891" s="24"/>
      <c r="AN891" s="24"/>
      <c r="AO891" s="24"/>
      <c r="AP891" s="24"/>
      <c r="AQ891" s="24"/>
      <c r="AR891" s="24"/>
    </row>
    <row r="892" spans="1:44" ht="19.5">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c r="AK892" s="24"/>
      <c r="AL892" s="24"/>
      <c r="AM892" s="24"/>
      <c r="AN892" s="24"/>
      <c r="AO892" s="24"/>
      <c r="AP892" s="24"/>
      <c r="AQ892" s="24"/>
      <c r="AR892" s="24"/>
    </row>
    <row r="893" spans="1:44" ht="19.5">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c r="AK893" s="24"/>
      <c r="AL893" s="24"/>
      <c r="AM893" s="24"/>
      <c r="AN893" s="24"/>
      <c r="AO893" s="24"/>
      <c r="AP893" s="24"/>
      <c r="AQ893" s="24"/>
      <c r="AR893" s="24"/>
    </row>
    <row r="894" spans="1:44" ht="19.5">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c r="AK894" s="24"/>
      <c r="AL894" s="24"/>
      <c r="AM894" s="24"/>
      <c r="AN894" s="24"/>
      <c r="AO894" s="24"/>
      <c r="AP894" s="24"/>
      <c r="AQ894" s="24"/>
      <c r="AR894" s="24"/>
    </row>
    <row r="895" spans="1:44" ht="1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c r="AK895" s="24"/>
      <c r="AL895" s="24"/>
      <c r="AM895" s="24"/>
      <c r="AN895" s="24"/>
      <c r="AO895" s="24"/>
      <c r="AP895" s="24"/>
      <c r="AQ895" s="24"/>
      <c r="AR895" s="24"/>
    </row>
    <row r="896" spans="1:44" ht="19.5">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c r="AK896" s="24"/>
      <c r="AL896" s="24"/>
      <c r="AM896" s="24"/>
      <c r="AN896" s="24"/>
      <c r="AO896" s="24"/>
      <c r="AP896" s="24"/>
      <c r="AQ896" s="24"/>
      <c r="AR896" s="24"/>
    </row>
    <row r="897" spans="1:44" ht="19.5">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c r="AK897" s="24"/>
      <c r="AL897" s="24"/>
      <c r="AM897" s="24"/>
      <c r="AN897" s="24"/>
      <c r="AO897" s="24"/>
      <c r="AP897" s="24"/>
      <c r="AQ897" s="24"/>
      <c r="AR897" s="24"/>
    </row>
    <row r="898" spans="1:44" ht="19.5">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c r="AK898" s="24"/>
      <c r="AL898" s="24"/>
      <c r="AM898" s="24"/>
      <c r="AN898" s="24"/>
      <c r="AO898" s="24"/>
      <c r="AP898" s="24"/>
      <c r="AQ898" s="24"/>
      <c r="AR898" s="24"/>
    </row>
    <row r="899" spans="1:44" ht="19.5">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c r="AK899" s="24"/>
      <c r="AL899" s="24"/>
      <c r="AM899" s="24"/>
      <c r="AN899" s="24"/>
      <c r="AO899" s="24"/>
      <c r="AP899" s="24"/>
      <c r="AQ899" s="24"/>
      <c r="AR899" s="24"/>
    </row>
    <row r="900" spans="1:44" ht="19.5">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c r="AK900" s="24"/>
      <c r="AL900" s="24"/>
      <c r="AM900" s="24"/>
      <c r="AN900" s="24"/>
      <c r="AO900" s="24"/>
      <c r="AP900" s="24"/>
      <c r="AQ900" s="24"/>
      <c r="AR900" s="24"/>
    </row>
    <row r="901" spans="1:44" ht="19.5">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c r="AK901" s="24"/>
      <c r="AL901" s="24"/>
      <c r="AM901" s="24"/>
      <c r="AN901" s="24"/>
      <c r="AO901" s="24"/>
      <c r="AP901" s="24"/>
      <c r="AQ901" s="24"/>
      <c r="AR901" s="24"/>
    </row>
    <row r="902" spans="1:44" ht="19.5">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c r="AK902" s="24"/>
      <c r="AL902" s="24"/>
      <c r="AM902" s="24"/>
      <c r="AN902" s="24"/>
      <c r="AO902" s="24"/>
      <c r="AP902" s="24"/>
      <c r="AQ902" s="24"/>
      <c r="AR902" s="24"/>
    </row>
    <row r="903" spans="1:44" ht="19.5">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c r="AK903" s="24"/>
      <c r="AL903" s="24"/>
      <c r="AM903" s="24"/>
      <c r="AN903" s="24"/>
      <c r="AO903" s="24"/>
      <c r="AP903" s="24"/>
      <c r="AQ903" s="24"/>
      <c r="AR903" s="24"/>
    </row>
    <row r="904" spans="1:44" ht="19.5">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c r="AK904" s="24"/>
      <c r="AL904" s="24"/>
      <c r="AM904" s="24"/>
      <c r="AN904" s="24"/>
      <c r="AO904" s="24"/>
      <c r="AP904" s="24"/>
      <c r="AQ904" s="24"/>
      <c r="AR904" s="24"/>
    </row>
    <row r="905" spans="1:44" ht="19.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c r="AK905" s="24"/>
      <c r="AL905" s="24"/>
      <c r="AM905" s="24"/>
      <c r="AN905" s="24"/>
      <c r="AO905" s="24"/>
      <c r="AP905" s="24"/>
      <c r="AQ905" s="24"/>
      <c r="AR905" s="24"/>
    </row>
    <row r="906" spans="1:44" ht="19.5">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c r="AK906" s="24"/>
      <c r="AL906" s="24"/>
      <c r="AM906" s="24"/>
      <c r="AN906" s="24"/>
      <c r="AO906" s="24"/>
      <c r="AP906" s="24"/>
      <c r="AQ906" s="24"/>
      <c r="AR906" s="24"/>
    </row>
    <row r="907" spans="1:44" ht="19.5">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c r="AK907" s="24"/>
      <c r="AL907" s="24"/>
      <c r="AM907" s="24"/>
      <c r="AN907" s="24"/>
      <c r="AO907" s="24"/>
      <c r="AP907" s="24"/>
      <c r="AQ907" s="24"/>
      <c r="AR907" s="24"/>
    </row>
    <row r="908" spans="1:44" ht="19.5">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c r="AK908" s="24"/>
      <c r="AL908" s="24"/>
      <c r="AM908" s="24"/>
      <c r="AN908" s="24"/>
      <c r="AO908" s="24"/>
      <c r="AP908" s="24"/>
      <c r="AQ908" s="24"/>
      <c r="AR908" s="24"/>
    </row>
    <row r="909" spans="1:44" ht="19.5">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row>
    <row r="910" spans="1:44" ht="19.5">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c r="AK910" s="24"/>
      <c r="AL910" s="24"/>
      <c r="AM910" s="24"/>
      <c r="AN910" s="24"/>
      <c r="AO910" s="24"/>
      <c r="AP910" s="24"/>
      <c r="AQ910" s="24"/>
      <c r="AR910" s="24"/>
    </row>
    <row r="911" spans="1:44" ht="19.5">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c r="AK911" s="24"/>
      <c r="AL911" s="24"/>
      <c r="AM911" s="24"/>
      <c r="AN911" s="24"/>
      <c r="AO911" s="24"/>
      <c r="AP911" s="24"/>
      <c r="AQ911" s="24"/>
      <c r="AR911" s="24"/>
    </row>
    <row r="912" spans="1:44" ht="19.5">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c r="AK912" s="24"/>
      <c r="AL912" s="24"/>
      <c r="AM912" s="24"/>
      <c r="AN912" s="24"/>
      <c r="AO912" s="24"/>
      <c r="AP912" s="24"/>
      <c r="AQ912" s="24"/>
      <c r="AR912" s="24"/>
    </row>
    <row r="913" spans="1:44" ht="19.5">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c r="AK913" s="24"/>
      <c r="AL913" s="24"/>
      <c r="AM913" s="24"/>
      <c r="AN913" s="24"/>
      <c r="AO913" s="24"/>
      <c r="AP913" s="24"/>
      <c r="AQ913" s="24"/>
      <c r="AR913" s="24"/>
    </row>
    <row r="914" spans="1:44" ht="19.5">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c r="AK914" s="24"/>
      <c r="AL914" s="24"/>
      <c r="AM914" s="24"/>
      <c r="AN914" s="24"/>
      <c r="AO914" s="24"/>
      <c r="AP914" s="24"/>
      <c r="AQ914" s="24"/>
      <c r="AR914" s="24"/>
    </row>
    <row r="915" spans="1:44" ht="19.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c r="AK915" s="24"/>
      <c r="AL915" s="24"/>
      <c r="AM915" s="24"/>
      <c r="AN915" s="24"/>
      <c r="AO915" s="24"/>
      <c r="AP915" s="24"/>
      <c r="AQ915" s="24"/>
      <c r="AR915" s="24"/>
    </row>
    <row r="916" spans="1:44" ht="19.5">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c r="AK916" s="24"/>
      <c r="AL916" s="24"/>
      <c r="AM916" s="24"/>
      <c r="AN916" s="24"/>
      <c r="AO916" s="24"/>
      <c r="AP916" s="24"/>
      <c r="AQ916" s="24"/>
      <c r="AR916" s="24"/>
    </row>
    <row r="917" spans="1:44" ht="19.5">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c r="AK917" s="24"/>
      <c r="AL917" s="24"/>
      <c r="AM917" s="24"/>
      <c r="AN917" s="24"/>
      <c r="AO917" s="24"/>
      <c r="AP917" s="24"/>
      <c r="AQ917" s="24"/>
      <c r="AR917" s="24"/>
    </row>
    <row r="918" spans="1:44" ht="19.5">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c r="AK918" s="24"/>
      <c r="AL918" s="24"/>
      <c r="AM918" s="24"/>
      <c r="AN918" s="24"/>
      <c r="AO918" s="24"/>
      <c r="AP918" s="24"/>
      <c r="AQ918" s="24"/>
      <c r="AR918" s="24"/>
    </row>
    <row r="919" spans="1:44" ht="19.5">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c r="AK919" s="24"/>
      <c r="AL919" s="24"/>
      <c r="AM919" s="24"/>
      <c r="AN919" s="24"/>
      <c r="AO919" s="24"/>
      <c r="AP919" s="24"/>
      <c r="AQ919" s="24"/>
      <c r="AR919" s="24"/>
    </row>
    <row r="920" spans="1:44" ht="19.5">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c r="AK920" s="24"/>
      <c r="AL920" s="24"/>
      <c r="AM920" s="24"/>
      <c r="AN920" s="24"/>
      <c r="AO920" s="24"/>
      <c r="AP920" s="24"/>
      <c r="AQ920" s="24"/>
      <c r="AR920" s="24"/>
    </row>
    <row r="921" spans="1:44" ht="19.5">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c r="AK921" s="24"/>
      <c r="AL921" s="24"/>
      <c r="AM921" s="24"/>
      <c r="AN921" s="24"/>
      <c r="AO921" s="24"/>
      <c r="AP921" s="24"/>
      <c r="AQ921" s="24"/>
      <c r="AR921" s="24"/>
    </row>
    <row r="922" spans="1:44" ht="19.5">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c r="AK922" s="24"/>
      <c r="AL922" s="24"/>
      <c r="AM922" s="24"/>
      <c r="AN922" s="24"/>
      <c r="AO922" s="24"/>
      <c r="AP922" s="24"/>
      <c r="AQ922" s="24"/>
      <c r="AR922" s="24"/>
    </row>
    <row r="923" spans="1:44" ht="19.5">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c r="AK923" s="24"/>
      <c r="AL923" s="24"/>
      <c r="AM923" s="24"/>
      <c r="AN923" s="24"/>
      <c r="AO923" s="24"/>
      <c r="AP923" s="24"/>
      <c r="AQ923" s="24"/>
      <c r="AR923" s="24"/>
    </row>
    <row r="924" spans="1:44" ht="19.5">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c r="AK924" s="24"/>
      <c r="AL924" s="24"/>
      <c r="AM924" s="24"/>
      <c r="AN924" s="24"/>
      <c r="AO924" s="24"/>
      <c r="AP924" s="24"/>
      <c r="AQ924" s="24"/>
      <c r="AR924" s="24"/>
    </row>
    <row r="925" spans="1:44" ht="19.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c r="AK925" s="24"/>
      <c r="AL925" s="24"/>
      <c r="AM925" s="24"/>
      <c r="AN925" s="24"/>
      <c r="AO925" s="24"/>
      <c r="AP925" s="24"/>
      <c r="AQ925" s="24"/>
      <c r="AR925" s="24"/>
    </row>
    <row r="926" spans="1:44" ht="19.5">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c r="AK926" s="24"/>
      <c r="AL926" s="24"/>
      <c r="AM926" s="24"/>
      <c r="AN926" s="24"/>
      <c r="AO926" s="24"/>
      <c r="AP926" s="24"/>
      <c r="AQ926" s="24"/>
      <c r="AR926" s="24"/>
    </row>
    <row r="927" spans="1:44" ht="19.5">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c r="AK927" s="24"/>
      <c r="AL927" s="24"/>
      <c r="AM927" s="24"/>
      <c r="AN927" s="24"/>
      <c r="AO927" s="24"/>
      <c r="AP927" s="24"/>
      <c r="AQ927" s="24"/>
      <c r="AR927" s="24"/>
    </row>
    <row r="928" spans="1:44" ht="19.5">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4"/>
      <c r="AN928" s="24"/>
      <c r="AO928" s="24"/>
      <c r="AP928" s="24"/>
      <c r="AQ928" s="24"/>
      <c r="AR928" s="24"/>
    </row>
    <row r="929" spans="1:44" ht="19.5">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c r="AK929" s="24"/>
      <c r="AL929" s="24"/>
      <c r="AM929" s="24"/>
      <c r="AN929" s="24"/>
      <c r="AO929" s="24"/>
      <c r="AP929" s="24"/>
      <c r="AQ929" s="24"/>
      <c r="AR929" s="24"/>
    </row>
    <row r="930" spans="1:44" ht="19.5">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c r="AK930" s="24"/>
      <c r="AL930" s="24"/>
      <c r="AM930" s="24"/>
      <c r="AN930" s="24"/>
      <c r="AO930" s="24"/>
      <c r="AP930" s="24"/>
      <c r="AQ930" s="24"/>
      <c r="AR930" s="24"/>
    </row>
    <row r="931" spans="1:44" ht="19.5">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c r="AK931" s="24"/>
      <c r="AL931" s="24"/>
      <c r="AM931" s="24"/>
      <c r="AN931" s="24"/>
      <c r="AO931" s="24"/>
      <c r="AP931" s="24"/>
      <c r="AQ931" s="24"/>
      <c r="AR931" s="24"/>
    </row>
    <row r="932" spans="1:44" ht="19.5">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c r="AK932" s="24"/>
      <c r="AL932" s="24"/>
      <c r="AM932" s="24"/>
      <c r="AN932" s="24"/>
      <c r="AO932" s="24"/>
      <c r="AP932" s="24"/>
      <c r="AQ932" s="24"/>
      <c r="AR932" s="24"/>
    </row>
    <row r="933" spans="1:44" ht="19.5">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c r="AK933" s="24"/>
      <c r="AL933" s="24"/>
      <c r="AM933" s="24"/>
      <c r="AN933" s="24"/>
      <c r="AO933" s="24"/>
      <c r="AP933" s="24"/>
      <c r="AQ933" s="24"/>
      <c r="AR933" s="24"/>
    </row>
    <row r="934" spans="1:44" ht="19.5">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c r="AK934" s="24"/>
      <c r="AL934" s="24"/>
      <c r="AM934" s="24"/>
      <c r="AN934" s="24"/>
      <c r="AO934" s="24"/>
      <c r="AP934" s="24"/>
      <c r="AQ934" s="24"/>
      <c r="AR934" s="24"/>
    </row>
    <row r="935" spans="1:44" ht="19.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c r="AK935" s="24"/>
      <c r="AL935" s="24"/>
      <c r="AM935" s="24"/>
      <c r="AN935" s="24"/>
      <c r="AO935" s="24"/>
      <c r="AP935" s="24"/>
      <c r="AQ935" s="24"/>
      <c r="AR935" s="24"/>
    </row>
    <row r="936" spans="1:44" ht="19.5">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c r="AK936" s="24"/>
      <c r="AL936" s="24"/>
      <c r="AM936" s="24"/>
      <c r="AN936" s="24"/>
      <c r="AO936" s="24"/>
      <c r="AP936" s="24"/>
      <c r="AQ936" s="24"/>
      <c r="AR936" s="24"/>
    </row>
    <row r="937" spans="1:44" ht="19.5">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c r="AK937" s="24"/>
      <c r="AL937" s="24"/>
      <c r="AM937" s="24"/>
      <c r="AN937" s="24"/>
      <c r="AO937" s="24"/>
      <c r="AP937" s="24"/>
      <c r="AQ937" s="24"/>
      <c r="AR937" s="24"/>
    </row>
    <row r="938" spans="1:44" ht="19.5">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c r="AK938" s="24"/>
      <c r="AL938" s="24"/>
      <c r="AM938" s="24"/>
      <c r="AN938" s="24"/>
      <c r="AO938" s="24"/>
      <c r="AP938" s="24"/>
      <c r="AQ938" s="24"/>
      <c r="AR938" s="24"/>
    </row>
    <row r="939" spans="1:44" ht="19.5">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c r="AK939" s="24"/>
      <c r="AL939" s="24"/>
      <c r="AM939" s="24"/>
      <c r="AN939" s="24"/>
      <c r="AO939" s="24"/>
      <c r="AP939" s="24"/>
      <c r="AQ939" s="24"/>
      <c r="AR939" s="24"/>
    </row>
    <row r="940" spans="1:44" ht="19.5">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c r="AK940" s="24"/>
      <c r="AL940" s="24"/>
      <c r="AM940" s="24"/>
      <c r="AN940" s="24"/>
      <c r="AO940" s="24"/>
      <c r="AP940" s="24"/>
      <c r="AQ940" s="24"/>
      <c r="AR940" s="24"/>
    </row>
    <row r="941" spans="1:44" ht="19.5">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c r="AK941" s="24"/>
      <c r="AL941" s="24"/>
      <c r="AM941" s="24"/>
      <c r="AN941" s="24"/>
      <c r="AO941" s="24"/>
      <c r="AP941" s="24"/>
      <c r="AQ941" s="24"/>
      <c r="AR941" s="24"/>
    </row>
    <row r="942" spans="1:44" ht="19.5">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c r="AK942" s="24"/>
      <c r="AL942" s="24"/>
      <c r="AM942" s="24"/>
      <c r="AN942" s="24"/>
      <c r="AO942" s="24"/>
      <c r="AP942" s="24"/>
      <c r="AQ942" s="24"/>
      <c r="AR942" s="24"/>
    </row>
    <row r="943" spans="1:44" ht="19.5">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c r="AK943" s="24"/>
      <c r="AL943" s="24"/>
      <c r="AM943" s="24"/>
      <c r="AN943" s="24"/>
      <c r="AO943" s="24"/>
      <c r="AP943" s="24"/>
      <c r="AQ943" s="24"/>
      <c r="AR943" s="24"/>
    </row>
    <row r="944" spans="1:44" ht="19.5">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c r="AK944" s="24"/>
      <c r="AL944" s="24"/>
      <c r="AM944" s="24"/>
      <c r="AN944" s="24"/>
      <c r="AO944" s="24"/>
      <c r="AP944" s="24"/>
      <c r="AQ944" s="24"/>
      <c r="AR944" s="24"/>
    </row>
    <row r="945" spans="1:44" ht="19.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c r="AK945" s="24"/>
      <c r="AL945" s="24"/>
      <c r="AM945" s="24"/>
      <c r="AN945" s="24"/>
      <c r="AO945" s="24"/>
      <c r="AP945" s="24"/>
      <c r="AQ945" s="24"/>
      <c r="AR945" s="24"/>
    </row>
    <row r="946" spans="1:44" ht="19.5">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c r="AK946" s="24"/>
      <c r="AL946" s="24"/>
      <c r="AM946" s="24"/>
      <c r="AN946" s="24"/>
      <c r="AO946" s="24"/>
      <c r="AP946" s="24"/>
      <c r="AQ946" s="24"/>
      <c r="AR946" s="24"/>
    </row>
    <row r="947" spans="1:44" ht="19.5">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c r="AK947" s="24"/>
      <c r="AL947" s="24"/>
      <c r="AM947" s="24"/>
      <c r="AN947" s="24"/>
      <c r="AO947" s="24"/>
      <c r="AP947" s="24"/>
      <c r="AQ947" s="24"/>
      <c r="AR947" s="24"/>
    </row>
    <row r="948" spans="1:44" ht="19.5">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c r="AK948" s="24"/>
      <c r="AL948" s="24"/>
      <c r="AM948" s="24"/>
      <c r="AN948" s="24"/>
      <c r="AO948" s="24"/>
      <c r="AP948" s="24"/>
      <c r="AQ948" s="24"/>
      <c r="AR948" s="24"/>
    </row>
    <row r="949" spans="1:44" ht="19.5">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c r="AK949" s="24"/>
      <c r="AL949" s="24"/>
      <c r="AM949" s="24"/>
      <c r="AN949" s="24"/>
      <c r="AO949" s="24"/>
      <c r="AP949" s="24"/>
      <c r="AQ949" s="24"/>
      <c r="AR949" s="24"/>
    </row>
    <row r="950" spans="1:44" ht="19.5">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c r="AK950" s="24"/>
      <c r="AL950" s="24"/>
      <c r="AM950" s="24"/>
      <c r="AN950" s="24"/>
      <c r="AO950" s="24"/>
      <c r="AP950" s="24"/>
      <c r="AQ950" s="24"/>
      <c r="AR950" s="24"/>
    </row>
    <row r="951" spans="1:44" ht="19.5">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c r="AK951" s="24"/>
      <c r="AL951" s="24"/>
      <c r="AM951" s="24"/>
      <c r="AN951" s="24"/>
      <c r="AO951" s="24"/>
      <c r="AP951" s="24"/>
      <c r="AQ951" s="24"/>
      <c r="AR951" s="24"/>
    </row>
    <row r="952" spans="1:44" ht="19.5">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c r="AK952" s="24"/>
      <c r="AL952" s="24"/>
      <c r="AM952" s="24"/>
      <c r="AN952" s="24"/>
      <c r="AO952" s="24"/>
      <c r="AP952" s="24"/>
      <c r="AQ952" s="24"/>
      <c r="AR952" s="24"/>
    </row>
    <row r="953" spans="1:44" ht="19.5">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c r="AK953" s="24"/>
      <c r="AL953" s="24"/>
      <c r="AM953" s="24"/>
      <c r="AN953" s="24"/>
      <c r="AO953" s="24"/>
      <c r="AP953" s="24"/>
      <c r="AQ953" s="24"/>
      <c r="AR953" s="24"/>
    </row>
    <row r="954" spans="1:44" ht="19.5">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c r="AK954" s="24"/>
      <c r="AL954" s="24"/>
      <c r="AM954" s="24"/>
      <c r="AN954" s="24"/>
      <c r="AO954" s="24"/>
      <c r="AP954" s="24"/>
      <c r="AQ954" s="24"/>
      <c r="AR954" s="24"/>
    </row>
    <row r="955" spans="1:44" ht="19.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c r="AK955" s="24"/>
      <c r="AL955" s="24"/>
      <c r="AM955" s="24"/>
      <c r="AN955" s="24"/>
      <c r="AO955" s="24"/>
      <c r="AP955" s="24"/>
      <c r="AQ955" s="24"/>
      <c r="AR955" s="24"/>
    </row>
    <row r="956" spans="1:44" ht="19.5">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c r="AK956" s="24"/>
      <c r="AL956" s="24"/>
      <c r="AM956" s="24"/>
      <c r="AN956" s="24"/>
      <c r="AO956" s="24"/>
      <c r="AP956" s="24"/>
      <c r="AQ956" s="24"/>
      <c r="AR956" s="24"/>
    </row>
    <row r="957" spans="1:44" ht="19.5">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c r="AK957" s="24"/>
      <c r="AL957" s="24"/>
      <c r="AM957" s="24"/>
      <c r="AN957" s="24"/>
      <c r="AO957" s="24"/>
      <c r="AP957" s="24"/>
      <c r="AQ957" s="24"/>
      <c r="AR957" s="24"/>
    </row>
    <row r="958" spans="1:44" ht="19.5">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c r="AK958" s="24"/>
      <c r="AL958" s="24"/>
      <c r="AM958" s="24"/>
      <c r="AN958" s="24"/>
      <c r="AO958" s="24"/>
      <c r="AP958" s="24"/>
      <c r="AQ958" s="24"/>
      <c r="AR958" s="24"/>
    </row>
    <row r="959" spans="1:44" ht="19.5">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c r="AK959" s="24"/>
      <c r="AL959" s="24"/>
      <c r="AM959" s="24"/>
      <c r="AN959" s="24"/>
      <c r="AO959" s="24"/>
      <c r="AP959" s="24"/>
      <c r="AQ959" s="24"/>
      <c r="AR959" s="24"/>
    </row>
    <row r="960" spans="1:44" ht="19.5">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c r="AK960" s="24"/>
      <c r="AL960" s="24"/>
      <c r="AM960" s="24"/>
      <c r="AN960" s="24"/>
      <c r="AO960" s="24"/>
      <c r="AP960" s="24"/>
      <c r="AQ960" s="24"/>
      <c r="AR960" s="24"/>
    </row>
    <row r="961" spans="1:44" ht="19.5">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c r="AK961" s="24"/>
      <c r="AL961" s="24"/>
      <c r="AM961" s="24"/>
      <c r="AN961" s="24"/>
      <c r="AO961" s="24"/>
      <c r="AP961" s="24"/>
      <c r="AQ961" s="24"/>
      <c r="AR961" s="24"/>
    </row>
    <row r="962" spans="1:44" ht="19.5">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c r="AK962" s="24"/>
      <c r="AL962" s="24"/>
      <c r="AM962" s="24"/>
      <c r="AN962" s="24"/>
      <c r="AO962" s="24"/>
      <c r="AP962" s="24"/>
      <c r="AQ962" s="24"/>
      <c r="AR962" s="24"/>
    </row>
    <row r="963" spans="1:44" ht="19.5">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c r="AK963" s="24"/>
      <c r="AL963" s="24"/>
      <c r="AM963" s="24"/>
      <c r="AN963" s="24"/>
      <c r="AO963" s="24"/>
      <c r="AP963" s="24"/>
      <c r="AQ963" s="24"/>
      <c r="AR963" s="24"/>
    </row>
    <row r="964" spans="1:44" ht="19.5">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c r="AK964" s="24"/>
      <c r="AL964" s="24"/>
      <c r="AM964" s="24"/>
      <c r="AN964" s="24"/>
      <c r="AO964" s="24"/>
      <c r="AP964" s="24"/>
      <c r="AQ964" s="24"/>
      <c r="AR964" s="24"/>
    </row>
    <row r="965" spans="1:44" ht="19.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c r="AK965" s="24"/>
      <c r="AL965" s="24"/>
      <c r="AM965" s="24"/>
      <c r="AN965" s="24"/>
      <c r="AO965" s="24"/>
      <c r="AP965" s="24"/>
      <c r="AQ965" s="24"/>
      <c r="AR965" s="24"/>
    </row>
    <row r="966" spans="1:44" ht="19.5">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c r="AK966" s="24"/>
      <c r="AL966" s="24"/>
      <c r="AM966" s="24"/>
      <c r="AN966" s="24"/>
      <c r="AO966" s="24"/>
      <c r="AP966" s="24"/>
      <c r="AQ966" s="24"/>
      <c r="AR966" s="24"/>
    </row>
    <row r="967" spans="1:44" ht="19.5">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c r="AK967" s="24"/>
      <c r="AL967" s="24"/>
      <c r="AM967" s="24"/>
      <c r="AN967" s="24"/>
      <c r="AO967" s="24"/>
      <c r="AP967" s="24"/>
      <c r="AQ967" s="24"/>
      <c r="AR967" s="24"/>
    </row>
    <row r="968" spans="1:44" ht="19.5">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c r="AK968" s="24"/>
      <c r="AL968" s="24"/>
      <c r="AM968" s="24"/>
      <c r="AN968" s="24"/>
      <c r="AO968" s="24"/>
      <c r="AP968" s="24"/>
      <c r="AQ968" s="24"/>
      <c r="AR968" s="24"/>
    </row>
    <row r="969" spans="1:44" ht="19.5">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c r="AK969" s="24"/>
      <c r="AL969" s="24"/>
      <c r="AM969" s="24"/>
      <c r="AN969" s="24"/>
      <c r="AO969" s="24"/>
      <c r="AP969" s="24"/>
      <c r="AQ969" s="24"/>
      <c r="AR969" s="24"/>
    </row>
    <row r="970" spans="1:44" ht="19.5">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c r="AK970" s="24"/>
      <c r="AL970" s="24"/>
      <c r="AM970" s="24"/>
      <c r="AN970" s="24"/>
      <c r="AO970" s="24"/>
      <c r="AP970" s="24"/>
      <c r="AQ970" s="24"/>
      <c r="AR970" s="24"/>
    </row>
    <row r="971" spans="1:44" ht="19.5">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c r="AK971" s="24"/>
      <c r="AL971" s="24"/>
      <c r="AM971" s="24"/>
      <c r="AN971" s="24"/>
      <c r="AO971" s="24"/>
      <c r="AP971" s="24"/>
      <c r="AQ971" s="24"/>
      <c r="AR971" s="24"/>
    </row>
    <row r="972" spans="1:44" ht="19.5">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c r="AK972" s="24"/>
      <c r="AL972" s="24"/>
      <c r="AM972" s="24"/>
      <c r="AN972" s="24"/>
      <c r="AO972" s="24"/>
      <c r="AP972" s="24"/>
      <c r="AQ972" s="24"/>
      <c r="AR972" s="24"/>
    </row>
    <row r="973" spans="1:44" ht="19.5">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c r="AK973" s="24"/>
      <c r="AL973" s="24"/>
      <c r="AM973" s="24"/>
      <c r="AN973" s="24"/>
      <c r="AO973" s="24"/>
      <c r="AP973" s="24"/>
      <c r="AQ973" s="24"/>
      <c r="AR973" s="24"/>
    </row>
    <row r="974" spans="1:44" ht="19.5">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c r="AK974" s="24"/>
      <c r="AL974" s="24"/>
      <c r="AM974" s="24"/>
      <c r="AN974" s="24"/>
      <c r="AO974" s="24"/>
      <c r="AP974" s="24"/>
      <c r="AQ974" s="24"/>
      <c r="AR974" s="24"/>
    </row>
    <row r="975" spans="1:44" ht="19.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c r="AK975" s="24"/>
      <c r="AL975" s="24"/>
      <c r="AM975" s="24"/>
      <c r="AN975" s="24"/>
      <c r="AO975" s="24"/>
      <c r="AP975" s="24"/>
      <c r="AQ975" s="24"/>
      <c r="AR975" s="24"/>
    </row>
    <row r="976" spans="1:44" ht="19.5">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c r="AK976" s="24"/>
      <c r="AL976" s="24"/>
      <c r="AM976" s="24"/>
      <c r="AN976" s="24"/>
      <c r="AO976" s="24"/>
      <c r="AP976" s="24"/>
      <c r="AQ976" s="24"/>
      <c r="AR976" s="24"/>
    </row>
    <row r="977" spans="1:44" ht="19.5">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c r="AK977" s="24"/>
      <c r="AL977" s="24"/>
      <c r="AM977" s="24"/>
      <c r="AN977" s="24"/>
      <c r="AO977" s="24"/>
      <c r="AP977" s="24"/>
      <c r="AQ977" s="24"/>
      <c r="AR977" s="24"/>
    </row>
    <row r="978" spans="1:44" ht="19.5">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c r="AK978" s="24"/>
      <c r="AL978" s="24"/>
      <c r="AM978" s="24"/>
      <c r="AN978" s="24"/>
      <c r="AO978" s="24"/>
      <c r="AP978" s="24"/>
      <c r="AQ978" s="24"/>
      <c r="AR978" s="24"/>
    </row>
    <row r="979" spans="1:44" ht="19.5">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c r="AK979" s="24"/>
      <c r="AL979" s="24"/>
      <c r="AM979" s="24"/>
      <c r="AN979" s="24"/>
      <c r="AO979" s="24"/>
      <c r="AP979" s="24"/>
      <c r="AQ979" s="24"/>
      <c r="AR979" s="24"/>
    </row>
    <row r="980" spans="1:44" ht="19.5">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c r="AJ980" s="24"/>
      <c r="AK980" s="24"/>
      <c r="AL980" s="24"/>
      <c r="AM980" s="24"/>
      <c r="AN980" s="24"/>
      <c r="AO980" s="24"/>
      <c r="AP980" s="24"/>
      <c r="AQ980" s="24"/>
      <c r="AR980" s="24"/>
    </row>
    <row r="981" spans="1:44" ht="19.5">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c r="AJ981" s="24"/>
      <c r="AK981" s="24"/>
      <c r="AL981" s="24"/>
      <c r="AM981" s="24"/>
      <c r="AN981" s="24"/>
      <c r="AO981" s="24"/>
      <c r="AP981" s="24"/>
      <c r="AQ981" s="24"/>
      <c r="AR981" s="24"/>
    </row>
    <row r="982" spans="1:44" ht="19.5">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c r="AJ982" s="24"/>
      <c r="AK982" s="24"/>
      <c r="AL982" s="24"/>
      <c r="AM982" s="24"/>
      <c r="AN982" s="24"/>
      <c r="AO982" s="24"/>
      <c r="AP982" s="24"/>
      <c r="AQ982" s="24"/>
      <c r="AR982" s="24"/>
    </row>
    <row r="983" spans="1:44" ht="19.5">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c r="AJ983" s="24"/>
      <c r="AK983" s="24"/>
      <c r="AL983" s="24"/>
      <c r="AM983" s="24"/>
      <c r="AN983" s="24"/>
      <c r="AO983" s="24"/>
      <c r="AP983" s="24"/>
      <c r="AQ983" s="24"/>
      <c r="AR983" s="24"/>
    </row>
    <row r="984" spans="1:44" ht="19.5">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c r="AJ984" s="24"/>
      <c r="AK984" s="24"/>
      <c r="AL984" s="24"/>
      <c r="AM984" s="24"/>
      <c r="AN984" s="24"/>
      <c r="AO984" s="24"/>
      <c r="AP984" s="24"/>
      <c r="AQ984" s="24"/>
      <c r="AR984" s="24"/>
    </row>
    <row r="985" spans="1:44" ht="19.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c r="AJ985" s="24"/>
      <c r="AK985" s="24"/>
      <c r="AL985" s="24"/>
      <c r="AM985" s="24"/>
      <c r="AN985" s="24"/>
      <c r="AO985" s="24"/>
      <c r="AP985" s="24"/>
      <c r="AQ985" s="24"/>
      <c r="AR985" s="24"/>
    </row>
    <row r="986" spans="1:44" ht="19.5">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c r="AJ986" s="24"/>
      <c r="AK986" s="24"/>
      <c r="AL986" s="24"/>
      <c r="AM986" s="24"/>
      <c r="AN986" s="24"/>
      <c r="AO986" s="24"/>
      <c r="AP986" s="24"/>
      <c r="AQ986" s="24"/>
      <c r="AR986" s="24"/>
    </row>
    <row r="987" spans="1:44" ht="19.5">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c r="AJ987" s="24"/>
      <c r="AK987" s="24"/>
      <c r="AL987" s="24"/>
      <c r="AM987" s="24"/>
      <c r="AN987" s="24"/>
      <c r="AO987" s="24"/>
      <c r="AP987" s="24"/>
      <c r="AQ987" s="24"/>
      <c r="AR987" s="24"/>
    </row>
    <row r="988" spans="1:44" ht="19.5">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c r="AJ988" s="24"/>
      <c r="AK988" s="24"/>
      <c r="AL988" s="24"/>
      <c r="AM988" s="24"/>
      <c r="AN988" s="24"/>
      <c r="AO988" s="24"/>
      <c r="AP988" s="24"/>
      <c r="AQ988" s="24"/>
      <c r="AR988" s="24"/>
    </row>
    <row r="989" spans="1:44" ht="19.5">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c r="AJ989" s="24"/>
      <c r="AK989" s="24"/>
      <c r="AL989" s="24"/>
      <c r="AM989" s="24"/>
      <c r="AN989" s="24"/>
      <c r="AO989" s="24"/>
      <c r="AP989" s="24"/>
      <c r="AQ989" s="24"/>
      <c r="AR989" s="24"/>
    </row>
    <row r="990" spans="1:44" ht="19.5">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c r="AJ990" s="24"/>
      <c r="AK990" s="24"/>
      <c r="AL990" s="24"/>
      <c r="AM990" s="24"/>
      <c r="AN990" s="24"/>
      <c r="AO990" s="24"/>
      <c r="AP990" s="24"/>
      <c r="AQ990" s="24"/>
      <c r="AR990" s="24"/>
    </row>
    <row r="991" spans="1:44" ht="19.5">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c r="AJ991" s="24"/>
      <c r="AK991" s="24"/>
      <c r="AL991" s="24"/>
      <c r="AM991" s="24"/>
      <c r="AN991" s="24"/>
      <c r="AO991" s="24"/>
      <c r="AP991" s="24"/>
      <c r="AQ991" s="24"/>
      <c r="AR991" s="24"/>
    </row>
    <row r="992" spans="1:44" ht="19.5">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c r="AJ992" s="24"/>
      <c r="AK992" s="24"/>
      <c r="AL992" s="24"/>
      <c r="AM992" s="24"/>
      <c r="AN992" s="24"/>
      <c r="AO992" s="24"/>
      <c r="AP992" s="24"/>
      <c r="AQ992" s="24"/>
      <c r="AR992" s="24"/>
    </row>
    <row r="993" spans="1:44" ht="19.5">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c r="AJ993" s="24"/>
      <c r="AK993" s="24"/>
      <c r="AL993" s="24"/>
      <c r="AM993" s="24"/>
      <c r="AN993" s="24"/>
      <c r="AO993" s="24"/>
      <c r="AP993" s="24"/>
      <c r="AQ993" s="24"/>
      <c r="AR993" s="24"/>
    </row>
    <row r="994" spans="1:44" ht="19.5">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c r="AJ994" s="24"/>
      <c r="AK994" s="24"/>
      <c r="AL994" s="24"/>
      <c r="AM994" s="24"/>
      <c r="AN994" s="24"/>
      <c r="AO994" s="24"/>
      <c r="AP994" s="24"/>
      <c r="AQ994" s="24"/>
      <c r="AR994" s="24"/>
    </row>
    <row r="995" spans="1:44" ht="1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c r="AJ995" s="24"/>
      <c r="AK995" s="24"/>
      <c r="AL995" s="24"/>
      <c r="AM995" s="24"/>
      <c r="AN995" s="24"/>
      <c r="AO995" s="24"/>
      <c r="AP995" s="24"/>
      <c r="AQ995" s="24"/>
      <c r="AR995" s="24"/>
    </row>
    <row r="996" spans="1:44" ht="19.5">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c r="AJ996" s="24"/>
      <c r="AK996" s="24"/>
      <c r="AL996" s="24"/>
      <c r="AM996" s="24"/>
      <c r="AN996" s="24"/>
      <c r="AO996" s="24"/>
      <c r="AP996" s="24"/>
      <c r="AQ996" s="24"/>
      <c r="AR996" s="24"/>
    </row>
    <row r="997" spans="1:44" ht="19.5">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c r="AJ997" s="24"/>
      <c r="AK997" s="24"/>
      <c r="AL997" s="24"/>
      <c r="AM997" s="24"/>
      <c r="AN997" s="24"/>
      <c r="AO997" s="24"/>
      <c r="AP997" s="24"/>
      <c r="AQ997" s="24"/>
      <c r="AR997" s="24"/>
    </row>
    <row r="998" spans="1:44" ht="19.5">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row>
    <row r="999" spans="1:44" ht="19.5">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c r="AJ999" s="24"/>
      <c r="AK999" s="24"/>
      <c r="AL999" s="24"/>
      <c r="AM999" s="24"/>
      <c r="AN999" s="24"/>
      <c r="AO999" s="24"/>
      <c r="AP999" s="24"/>
      <c r="AQ999" s="24"/>
      <c r="AR999" s="24"/>
    </row>
  </sheetData>
  <mergeCells count="16">
    <mergeCell ref="H48:T48"/>
    <mergeCell ref="H49:T49"/>
    <mergeCell ref="H50:T50"/>
    <mergeCell ref="G42:T42"/>
    <mergeCell ref="H43:T43"/>
    <mergeCell ref="H44:T44"/>
    <mergeCell ref="H45:T45"/>
    <mergeCell ref="G46:T46"/>
    <mergeCell ref="H47:T47"/>
    <mergeCell ref="G2:T4"/>
    <mergeCell ref="G5:K5"/>
    <mergeCell ref="L5:O5"/>
    <mergeCell ref="P5:T5"/>
    <mergeCell ref="G6:K6"/>
    <mergeCell ref="L6:O6"/>
    <mergeCell ref="P6:T6"/>
  </mergeCells>
  <printOptions horizontalCentered="1" gridLines="1"/>
  <pageMargins left="0.7" right="0.7" top="0.75" bottom="0.75" header="0" footer="0"/>
  <pageSetup pageOrder="overThenDown" orientation="landscape" cellComments="atEnd"/>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721"/>
  <sheetViews>
    <sheetView workbookViewId="0">
      <pane ySplit="1" topLeftCell="A2" activePane="bottomLeft" state="frozen"/>
      <selection pane="bottomLeft" activeCell="B3" sqref="B3"/>
    </sheetView>
  </sheetViews>
  <sheetFormatPr defaultColWidth="12.5703125" defaultRowHeight="15.75" customHeight="1"/>
  <sheetData>
    <row r="1" spans="1:12">
      <c r="A1" s="16" t="s">
        <v>0</v>
      </c>
      <c r="B1" s="17" t="s">
        <v>1</v>
      </c>
      <c r="C1" s="17" t="s">
        <v>2</v>
      </c>
      <c r="D1" s="17" t="s">
        <v>3</v>
      </c>
      <c r="E1" s="18" t="s">
        <v>4</v>
      </c>
      <c r="F1" s="18" t="s">
        <v>5</v>
      </c>
      <c r="G1" s="17" t="s">
        <v>45</v>
      </c>
      <c r="H1" s="17" t="s">
        <v>37</v>
      </c>
      <c r="I1" s="17" t="s">
        <v>46</v>
      </c>
      <c r="J1" s="17" t="s">
        <v>47</v>
      </c>
      <c r="K1" s="17" t="s">
        <v>48</v>
      </c>
      <c r="L1" s="19" t="s">
        <v>49</v>
      </c>
    </row>
    <row r="2" spans="1:12">
      <c r="A2" s="20" t="s">
        <v>10</v>
      </c>
      <c r="B2" s="21" t="s">
        <v>14</v>
      </c>
      <c r="C2" s="21" t="s">
        <v>16</v>
      </c>
      <c r="D2" s="21">
        <v>5</v>
      </c>
      <c r="E2" s="22">
        <v>35000</v>
      </c>
      <c r="F2" s="22">
        <v>175000</v>
      </c>
      <c r="G2" s="21" t="s">
        <v>42</v>
      </c>
      <c r="H2" s="21" t="s">
        <v>39</v>
      </c>
      <c r="I2" s="21">
        <v>20</v>
      </c>
      <c r="J2" s="21">
        <v>9</v>
      </c>
      <c r="K2" s="21">
        <v>2025</v>
      </c>
      <c r="L2" s="23">
        <v>45920</v>
      </c>
    </row>
    <row r="3" spans="1:12">
      <c r="A3" s="20" t="s">
        <v>20</v>
      </c>
      <c r="B3" s="21" t="s">
        <v>14</v>
      </c>
      <c r="C3" s="21" t="s">
        <v>12</v>
      </c>
      <c r="D3" s="21">
        <v>1</v>
      </c>
      <c r="E3" s="22">
        <v>20000</v>
      </c>
      <c r="F3" s="22">
        <v>20000</v>
      </c>
      <c r="G3" s="21" t="s">
        <v>43</v>
      </c>
      <c r="H3" s="21" t="s">
        <v>44</v>
      </c>
      <c r="I3" s="21">
        <v>26</v>
      </c>
      <c r="J3" s="21">
        <v>9</v>
      </c>
      <c r="K3" s="21">
        <v>2025</v>
      </c>
      <c r="L3" s="23">
        <v>45926</v>
      </c>
    </row>
    <row r="4" spans="1:12">
      <c r="A4" s="20" t="s">
        <v>21</v>
      </c>
      <c r="B4" s="21" t="s">
        <v>14</v>
      </c>
      <c r="C4" s="21" t="s">
        <v>8</v>
      </c>
      <c r="D4" s="21">
        <v>3</v>
      </c>
      <c r="E4" s="22">
        <v>35000</v>
      </c>
      <c r="F4" s="22">
        <v>105000</v>
      </c>
      <c r="G4" s="21" t="s">
        <v>38</v>
      </c>
      <c r="H4" s="21" t="s">
        <v>39</v>
      </c>
      <c r="I4" s="21">
        <v>19</v>
      </c>
      <c r="J4" s="21">
        <v>9</v>
      </c>
      <c r="K4" s="21">
        <v>2025</v>
      </c>
      <c r="L4" s="23">
        <v>45919</v>
      </c>
    </row>
    <row r="5" spans="1:12">
      <c r="A5" s="20" t="s">
        <v>50</v>
      </c>
      <c r="B5" s="21" t="s">
        <v>14</v>
      </c>
      <c r="C5" s="21" t="s">
        <v>15</v>
      </c>
      <c r="D5" s="21">
        <v>1</v>
      </c>
      <c r="E5" s="22">
        <v>28000</v>
      </c>
      <c r="F5" s="22">
        <v>28000</v>
      </c>
      <c r="G5" s="21" t="s">
        <v>40</v>
      </c>
      <c r="H5" s="21" t="s">
        <v>39</v>
      </c>
      <c r="I5" s="21">
        <v>11</v>
      </c>
      <c r="J5" s="21">
        <v>9</v>
      </c>
      <c r="K5" s="21">
        <v>2025</v>
      </c>
      <c r="L5" s="23">
        <v>45911</v>
      </c>
    </row>
    <row r="6" spans="1:12">
      <c r="A6" s="20" t="s">
        <v>51</v>
      </c>
      <c r="B6" s="21" t="s">
        <v>14</v>
      </c>
      <c r="C6" s="21" t="s">
        <v>13</v>
      </c>
      <c r="D6" s="21">
        <v>1</v>
      </c>
      <c r="E6" s="22">
        <v>30000</v>
      </c>
      <c r="F6" s="22">
        <v>30000</v>
      </c>
      <c r="G6" s="21" t="s">
        <v>41</v>
      </c>
      <c r="H6" s="21" t="s">
        <v>39</v>
      </c>
      <c r="I6" s="21">
        <v>2</v>
      </c>
      <c r="J6" s="21">
        <v>9</v>
      </c>
      <c r="K6" s="21">
        <v>2025</v>
      </c>
      <c r="L6" s="23">
        <v>45902</v>
      </c>
    </row>
    <row r="7" spans="1:12">
      <c r="A7" s="20" t="s">
        <v>24</v>
      </c>
      <c r="B7" s="21" t="s">
        <v>14</v>
      </c>
      <c r="C7" s="21" t="s">
        <v>16</v>
      </c>
      <c r="D7" s="21">
        <v>1</v>
      </c>
      <c r="E7" s="22">
        <v>35000</v>
      </c>
      <c r="F7" s="22">
        <v>35000</v>
      </c>
      <c r="G7" s="21" t="s">
        <v>42</v>
      </c>
      <c r="H7" s="21" t="s">
        <v>39</v>
      </c>
      <c r="I7" s="21">
        <v>13</v>
      </c>
      <c r="J7" s="21">
        <v>9</v>
      </c>
      <c r="K7" s="21">
        <v>2025</v>
      </c>
      <c r="L7" s="23">
        <v>45913</v>
      </c>
    </row>
    <row r="8" spans="1:12">
      <c r="A8" s="20" t="s">
        <v>17</v>
      </c>
      <c r="B8" s="21" t="s">
        <v>14</v>
      </c>
      <c r="C8" s="21" t="s">
        <v>12</v>
      </c>
      <c r="D8" s="21">
        <v>4</v>
      </c>
      <c r="E8" s="22">
        <v>35000</v>
      </c>
      <c r="F8" s="22">
        <v>140000</v>
      </c>
      <c r="G8" s="21" t="s">
        <v>43</v>
      </c>
      <c r="H8" s="21" t="s">
        <v>44</v>
      </c>
      <c r="I8" s="21">
        <v>14</v>
      </c>
      <c r="J8" s="21">
        <v>9</v>
      </c>
      <c r="K8" s="21">
        <v>2025</v>
      </c>
      <c r="L8" s="23">
        <v>45914</v>
      </c>
    </row>
    <row r="9" spans="1:12">
      <c r="A9" s="20" t="s">
        <v>19</v>
      </c>
      <c r="B9" s="21" t="s">
        <v>14</v>
      </c>
      <c r="C9" s="21" t="s">
        <v>13</v>
      </c>
      <c r="D9" s="21">
        <v>5</v>
      </c>
      <c r="E9" s="22">
        <v>25000</v>
      </c>
      <c r="F9" s="22">
        <v>125000</v>
      </c>
      <c r="G9" s="21" t="s">
        <v>41</v>
      </c>
      <c r="H9" s="21" t="s">
        <v>39</v>
      </c>
      <c r="I9" s="21">
        <v>27</v>
      </c>
      <c r="J9" s="21">
        <v>9</v>
      </c>
      <c r="K9" s="21">
        <v>2025</v>
      </c>
      <c r="L9" s="23">
        <v>45927</v>
      </c>
    </row>
    <row r="10" spans="1:12">
      <c r="A10" s="20" t="s">
        <v>52</v>
      </c>
      <c r="B10" s="21" t="s">
        <v>14</v>
      </c>
      <c r="C10" s="21" t="s">
        <v>16</v>
      </c>
      <c r="D10" s="21">
        <v>1</v>
      </c>
      <c r="E10" s="22">
        <v>30000</v>
      </c>
      <c r="F10" s="22">
        <v>30000</v>
      </c>
      <c r="G10" s="21" t="s">
        <v>42</v>
      </c>
      <c r="H10" s="21" t="s">
        <v>39</v>
      </c>
      <c r="I10" s="21">
        <v>1</v>
      </c>
      <c r="J10" s="21">
        <v>9</v>
      </c>
      <c r="K10" s="21">
        <v>2025</v>
      </c>
      <c r="L10" s="23">
        <v>45901</v>
      </c>
    </row>
    <row r="11" spans="1:12">
      <c r="A11" s="20" t="s">
        <v>53</v>
      </c>
      <c r="B11" s="21" t="s">
        <v>14</v>
      </c>
      <c r="C11" s="21" t="s">
        <v>12</v>
      </c>
      <c r="D11" s="21">
        <v>4</v>
      </c>
      <c r="E11" s="22">
        <v>20000</v>
      </c>
      <c r="F11" s="22">
        <v>80000</v>
      </c>
      <c r="G11" s="21" t="s">
        <v>43</v>
      </c>
      <c r="H11" s="21" t="s">
        <v>44</v>
      </c>
      <c r="I11" s="21">
        <v>7</v>
      </c>
      <c r="J11" s="21">
        <v>9</v>
      </c>
      <c r="K11" s="21">
        <v>2025</v>
      </c>
      <c r="L11" s="23">
        <v>45907</v>
      </c>
    </row>
    <row r="12" spans="1:12">
      <c r="A12" s="20" t="s">
        <v>29</v>
      </c>
      <c r="B12" s="21" t="s">
        <v>14</v>
      </c>
      <c r="C12" s="21" t="s">
        <v>8</v>
      </c>
      <c r="D12" s="21">
        <v>1</v>
      </c>
      <c r="E12" s="22">
        <v>25000</v>
      </c>
      <c r="F12" s="22">
        <v>25000</v>
      </c>
      <c r="G12" s="21" t="s">
        <v>38</v>
      </c>
      <c r="H12" s="21" t="s">
        <v>39</v>
      </c>
      <c r="I12" s="21">
        <v>22</v>
      </c>
      <c r="J12" s="21">
        <v>9</v>
      </c>
      <c r="K12" s="21">
        <v>2025</v>
      </c>
      <c r="L12" s="23">
        <v>45922</v>
      </c>
    </row>
    <row r="13" spans="1:12">
      <c r="A13" s="20" t="s">
        <v>17</v>
      </c>
      <c r="B13" s="21" t="s">
        <v>14</v>
      </c>
      <c r="C13" s="21" t="s">
        <v>15</v>
      </c>
      <c r="D13" s="21">
        <v>3</v>
      </c>
      <c r="E13" s="22">
        <v>30000</v>
      </c>
      <c r="F13" s="22">
        <v>90000</v>
      </c>
      <c r="G13" s="21" t="s">
        <v>40</v>
      </c>
      <c r="H13" s="21" t="s">
        <v>39</v>
      </c>
      <c r="I13" s="21">
        <v>14</v>
      </c>
      <c r="J13" s="21">
        <v>9</v>
      </c>
      <c r="K13" s="21">
        <v>2025</v>
      </c>
      <c r="L13" s="23">
        <v>45914</v>
      </c>
    </row>
    <row r="14" spans="1:12">
      <c r="A14" s="20" t="s">
        <v>6</v>
      </c>
      <c r="B14" s="21" t="s">
        <v>14</v>
      </c>
      <c r="C14" s="21" t="s">
        <v>13</v>
      </c>
      <c r="D14" s="21">
        <v>5</v>
      </c>
      <c r="E14" s="22">
        <v>35000</v>
      </c>
      <c r="F14" s="22">
        <v>175000</v>
      </c>
      <c r="G14" s="21" t="s">
        <v>41</v>
      </c>
      <c r="H14" s="21" t="s">
        <v>39</v>
      </c>
      <c r="I14" s="21">
        <v>17</v>
      </c>
      <c r="J14" s="21">
        <v>9</v>
      </c>
      <c r="K14" s="21">
        <v>2025</v>
      </c>
      <c r="L14" s="23">
        <v>45917</v>
      </c>
    </row>
    <row r="15" spans="1:12">
      <c r="A15" s="20" t="s">
        <v>17</v>
      </c>
      <c r="B15" s="21" t="s">
        <v>14</v>
      </c>
      <c r="C15" s="21" t="s">
        <v>16</v>
      </c>
      <c r="D15" s="21">
        <v>3</v>
      </c>
      <c r="E15" s="22">
        <v>30000</v>
      </c>
      <c r="F15" s="22">
        <v>90000</v>
      </c>
      <c r="G15" s="21" t="s">
        <v>42</v>
      </c>
      <c r="H15" s="21" t="s">
        <v>39</v>
      </c>
      <c r="I15" s="21">
        <v>14</v>
      </c>
      <c r="J15" s="21">
        <v>9</v>
      </c>
      <c r="K15" s="21">
        <v>2025</v>
      </c>
      <c r="L15" s="23">
        <v>45914</v>
      </c>
    </row>
    <row r="16" spans="1:12">
      <c r="A16" s="20" t="s">
        <v>50</v>
      </c>
      <c r="B16" s="21" t="s">
        <v>14</v>
      </c>
      <c r="C16" s="21" t="s">
        <v>12</v>
      </c>
      <c r="D16" s="21">
        <v>3</v>
      </c>
      <c r="E16" s="22">
        <v>25000</v>
      </c>
      <c r="F16" s="22">
        <v>75000</v>
      </c>
      <c r="G16" s="21" t="s">
        <v>43</v>
      </c>
      <c r="H16" s="21" t="s">
        <v>44</v>
      </c>
      <c r="I16" s="21">
        <v>11</v>
      </c>
      <c r="J16" s="21">
        <v>9</v>
      </c>
      <c r="K16" s="21">
        <v>2025</v>
      </c>
      <c r="L16" s="23">
        <v>45911</v>
      </c>
    </row>
    <row r="17" spans="1:12">
      <c r="A17" s="20" t="s">
        <v>29</v>
      </c>
      <c r="B17" s="21" t="s">
        <v>14</v>
      </c>
      <c r="C17" s="21" t="s">
        <v>8</v>
      </c>
      <c r="D17" s="21">
        <v>1</v>
      </c>
      <c r="E17" s="22">
        <v>35000</v>
      </c>
      <c r="F17" s="22">
        <v>35000</v>
      </c>
      <c r="G17" s="21" t="s">
        <v>38</v>
      </c>
      <c r="H17" s="21" t="s">
        <v>39</v>
      </c>
      <c r="I17" s="21">
        <v>22</v>
      </c>
      <c r="J17" s="21">
        <v>9</v>
      </c>
      <c r="K17" s="21">
        <v>2025</v>
      </c>
      <c r="L17" s="23">
        <v>45922</v>
      </c>
    </row>
    <row r="18" spans="1:12">
      <c r="A18" s="20" t="s">
        <v>54</v>
      </c>
      <c r="B18" s="21" t="s">
        <v>14</v>
      </c>
      <c r="C18" s="21" t="s">
        <v>15</v>
      </c>
      <c r="D18" s="21">
        <v>1</v>
      </c>
      <c r="E18" s="22">
        <v>25000</v>
      </c>
      <c r="F18" s="22">
        <v>25000</v>
      </c>
      <c r="G18" s="21" t="s">
        <v>40</v>
      </c>
      <c r="H18" s="21" t="s">
        <v>39</v>
      </c>
      <c r="I18" s="21">
        <v>8</v>
      </c>
      <c r="J18" s="21">
        <v>9</v>
      </c>
      <c r="K18" s="21">
        <v>2025</v>
      </c>
      <c r="L18" s="23">
        <v>45908</v>
      </c>
    </row>
    <row r="19" spans="1:12">
      <c r="A19" s="20" t="s">
        <v>54</v>
      </c>
      <c r="B19" s="21" t="s">
        <v>14</v>
      </c>
      <c r="C19" s="21" t="s">
        <v>13</v>
      </c>
      <c r="D19" s="21">
        <v>3</v>
      </c>
      <c r="E19" s="22">
        <v>35000</v>
      </c>
      <c r="F19" s="22">
        <v>105000</v>
      </c>
      <c r="G19" s="21" t="s">
        <v>41</v>
      </c>
      <c r="H19" s="21" t="s">
        <v>39</v>
      </c>
      <c r="I19" s="21">
        <v>8</v>
      </c>
      <c r="J19" s="21">
        <v>9</v>
      </c>
      <c r="K19" s="21">
        <v>2025</v>
      </c>
      <c r="L19" s="23">
        <v>45908</v>
      </c>
    </row>
    <row r="20" spans="1:12">
      <c r="A20" s="20" t="s">
        <v>18</v>
      </c>
      <c r="B20" s="21" t="s">
        <v>14</v>
      </c>
      <c r="C20" s="21" t="s">
        <v>16</v>
      </c>
      <c r="D20" s="21">
        <v>5</v>
      </c>
      <c r="E20" s="22">
        <v>20000</v>
      </c>
      <c r="F20" s="22">
        <v>100000</v>
      </c>
      <c r="G20" s="21" t="s">
        <v>42</v>
      </c>
      <c r="H20" s="21" t="s">
        <v>39</v>
      </c>
      <c r="I20" s="21">
        <v>29</v>
      </c>
      <c r="J20" s="21">
        <v>9</v>
      </c>
      <c r="K20" s="21">
        <v>2025</v>
      </c>
      <c r="L20" s="23">
        <v>45929</v>
      </c>
    </row>
    <row r="21" spans="1:12">
      <c r="A21" s="20" t="s">
        <v>21</v>
      </c>
      <c r="B21" s="21" t="s">
        <v>14</v>
      </c>
      <c r="C21" s="21" t="s">
        <v>12</v>
      </c>
      <c r="D21" s="21">
        <v>4</v>
      </c>
      <c r="E21" s="22">
        <v>20000</v>
      </c>
      <c r="F21" s="22">
        <v>80000</v>
      </c>
      <c r="G21" s="21" t="s">
        <v>43</v>
      </c>
      <c r="H21" s="21" t="s">
        <v>44</v>
      </c>
      <c r="I21" s="21">
        <v>19</v>
      </c>
      <c r="J21" s="21">
        <v>9</v>
      </c>
      <c r="K21" s="21">
        <v>2025</v>
      </c>
      <c r="L21" s="23">
        <v>45919</v>
      </c>
    </row>
    <row r="22" spans="1:12">
      <c r="A22" s="20" t="s">
        <v>55</v>
      </c>
      <c r="B22" s="21" t="s">
        <v>14</v>
      </c>
      <c r="C22" s="21" t="s">
        <v>8</v>
      </c>
      <c r="D22" s="21">
        <v>2</v>
      </c>
      <c r="E22" s="22">
        <v>30000</v>
      </c>
      <c r="F22" s="22">
        <v>60000</v>
      </c>
      <c r="G22" s="21" t="s">
        <v>38</v>
      </c>
      <c r="H22" s="21" t="s">
        <v>39</v>
      </c>
      <c r="I22" s="21">
        <v>10</v>
      </c>
      <c r="J22" s="21">
        <v>9</v>
      </c>
      <c r="K22" s="21">
        <v>2025</v>
      </c>
      <c r="L22" s="23">
        <v>45910</v>
      </c>
    </row>
    <row r="23" spans="1:12">
      <c r="A23" s="20" t="s">
        <v>28</v>
      </c>
      <c r="B23" s="21" t="s">
        <v>14</v>
      </c>
      <c r="C23" s="21" t="s">
        <v>15</v>
      </c>
      <c r="D23" s="21">
        <v>5</v>
      </c>
      <c r="E23" s="22">
        <v>30000</v>
      </c>
      <c r="F23" s="22">
        <v>150000</v>
      </c>
      <c r="G23" s="21" t="s">
        <v>40</v>
      </c>
      <c r="H23" s="21" t="s">
        <v>39</v>
      </c>
      <c r="I23" s="21">
        <v>30</v>
      </c>
      <c r="J23" s="21">
        <v>9</v>
      </c>
      <c r="K23" s="21">
        <v>2025</v>
      </c>
      <c r="L23" s="23">
        <v>45930</v>
      </c>
    </row>
    <row r="24" spans="1:12">
      <c r="A24" s="20" t="s">
        <v>54</v>
      </c>
      <c r="B24" s="21" t="s">
        <v>14</v>
      </c>
      <c r="C24" s="21" t="s">
        <v>13</v>
      </c>
      <c r="D24" s="21">
        <v>1</v>
      </c>
      <c r="E24" s="22">
        <v>25000</v>
      </c>
      <c r="F24" s="22">
        <v>25000</v>
      </c>
      <c r="G24" s="21" t="s">
        <v>41</v>
      </c>
      <c r="H24" s="21" t="s">
        <v>39</v>
      </c>
      <c r="I24" s="21">
        <v>8</v>
      </c>
      <c r="J24" s="21">
        <v>9</v>
      </c>
      <c r="K24" s="21">
        <v>2025</v>
      </c>
      <c r="L24" s="23">
        <v>45908</v>
      </c>
    </row>
    <row r="25" spans="1:12">
      <c r="A25" s="20" t="s">
        <v>18</v>
      </c>
      <c r="B25" s="21" t="s">
        <v>14</v>
      </c>
      <c r="C25" s="21" t="s">
        <v>16</v>
      </c>
      <c r="D25" s="21">
        <v>5</v>
      </c>
      <c r="E25" s="22">
        <v>30000</v>
      </c>
      <c r="F25" s="22">
        <v>150000</v>
      </c>
      <c r="G25" s="21" t="s">
        <v>42</v>
      </c>
      <c r="H25" s="21" t="s">
        <v>39</v>
      </c>
      <c r="I25" s="21">
        <v>29</v>
      </c>
      <c r="J25" s="21">
        <v>9</v>
      </c>
      <c r="K25" s="21">
        <v>2025</v>
      </c>
      <c r="L25" s="23">
        <v>45929</v>
      </c>
    </row>
    <row r="26" spans="1:12">
      <c r="A26" s="20" t="s">
        <v>29</v>
      </c>
      <c r="B26" s="21" t="s">
        <v>14</v>
      </c>
      <c r="C26" s="21" t="s">
        <v>12</v>
      </c>
      <c r="D26" s="21">
        <v>4</v>
      </c>
      <c r="E26" s="22">
        <v>28000</v>
      </c>
      <c r="F26" s="22">
        <v>112000</v>
      </c>
      <c r="G26" s="21" t="s">
        <v>43</v>
      </c>
      <c r="H26" s="21" t="s">
        <v>44</v>
      </c>
      <c r="I26" s="21">
        <v>22</v>
      </c>
      <c r="J26" s="21">
        <v>9</v>
      </c>
      <c r="K26" s="21">
        <v>2025</v>
      </c>
      <c r="L26" s="23">
        <v>45922</v>
      </c>
    </row>
    <row r="27" spans="1:12">
      <c r="A27" s="20" t="s">
        <v>23</v>
      </c>
      <c r="B27" s="21" t="s">
        <v>14</v>
      </c>
      <c r="C27" s="21" t="s">
        <v>8</v>
      </c>
      <c r="D27" s="21">
        <v>2</v>
      </c>
      <c r="E27" s="22">
        <v>25000</v>
      </c>
      <c r="F27" s="22">
        <v>50000</v>
      </c>
      <c r="G27" s="21" t="s">
        <v>38</v>
      </c>
      <c r="H27" s="21" t="s">
        <v>39</v>
      </c>
      <c r="I27" s="21">
        <v>24</v>
      </c>
      <c r="J27" s="21">
        <v>9</v>
      </c>
      <c r="K27" s="21">
        <v>2025</v>
      </c>
      <c r="L27" s="23">
        <v>45924</v>
      </c>
    </row>
    <row r="28" spans="1:12">
      <c r="A28" s="20" t="s">
        <v>29</v>
      </c>
      <c r="B28" s="21" t="s">
        <v>14</v>
      </c>
      <c r="C28" s="21" t="s">
        <v>15</v>
      </c>
      <c r="D28" s="21">
        <v>1</v>
      </c>
      <c r="E28" s="22">
        <v>30000</v>
      </c>
      <c r="F28" s="22">
        <v>30000</v>
      </c>
      <c r="G28" s="21" t="s">
        <v>40</v>
      </c>
      <c r="H28" s="21" t="s">
        <v>39</v>
      </c>
      <c r="I28" s="21">
        <v>22</v>
      </c>
      <c r="J28" s="21">
        <v>9</v>
      </c>
      <c r="K28" s="21">
        <v>2025</v>
      </c>
      <c r="L28" s="23">
        <v>45922</v>
      </c>
    </row>
    <row r="29" spans="1:12">
      <c r="A29" s="20" t="s">
        <v>56</v>
      </c>
      <c r="B29" s="21" t="s">
        <v>14</v>
      </c>
      <c r="C29" s="21" t="s">
        <v>13</v>
      </c>
      <c r="D29" s="21">
        <v>1</v>
      </c>
      <c r="E29" s="22">
        <v>25000</v>
      </c>
      <c r="F29" s="22">
        <v>25000</v>
      </c>
      <c r="G29" s="21" t="s">
        <v>41</v>
      </c>
      <c r="H29" s="21" t="s">
        <v>39</v>
      </c>
      <c r="I29" s="21">
        <v>3</v>
      </c>
      <c r="J29" s="21">
        <v>9</v>
      </c>
      <c r="K29" s="21">
        <v>2025</v>
      </c>
      <c r="L29" s="23">
        <v>45903</v>
      </c>
    </row>
    <row r="30" spans="1:12">
      <c r="A30" s="20" t="s">
        <v>53</v>
      </c>
      <c r="B30" s="21" t="s">
        <v>14</v>
      </c>
      <c r="C30" s="21" t="s">
        <v>16</v>
      </c>
      <c r="D30" s="21">
        <v>3</v>
      </c>
      <c r="E30" s="22">
        <v>30000</v>
      </c>
      <c r="F30" s="22">
        <v>90000</v>
      </c>
      <c r="G30" s="21" t="s">
        <v>42</v>
      </c>
      <c r="H30" s="21" t="s">
        <v>39</v>
      </c>
      <c r="I30" s="21">
        <v>7</v>
      </c>
      <c r="J30" s="21">
        <v>9</v>
      </c>
      <c r="K30" s="21">
        <v>2025</v>
      </c>
      <c r="L30" s="23">
        <v>45907</v>
      </c>
    </row>
    <row r="31" spans="1:12">
      <c r="A31" s="20" t="s">
        <v>57</v>
      </c>
      <c r="B31" s="21" t="s">
        <v>14</v>
      </c>
      <c r="C31" s="21" t="s">
        <v>12</v>
      </c>
      <c r="D31" s="21">
        <v>1</v>
      </c>
      <c r="E31" s="22">
        <v>35000</v>
      </c>
      <c r="F31" s="22">
        <v>35000</v>
      </c>
      <c r="G31" s="21" t="s">
        <v>43</v>
      </c>
      <c r="H31" s="21" t="s">
        <v>44</v>
      </c>
      <c r="I31" s="21">
        <v>6</v>
      </c>
      <c r="J31" s="21">
        <v>9</v>
      </c>
      <c r="K31" s="21">
        <v>2025</v>
      </c>
      <c r="L31" s="23">
        <v>45906</v>
      </c>
    </row>
    <row r="32" spans="1:12">
      <c r="A32" s="20" t="s">
        <v>58</v>
      </c>
      <c r="B32" s="21" t="s">
        <v>14</v>
      </c>
      <c r="C32" s="21" t="s">
        <v>8</v>
      </c>
      <c r="D32" s="21">
        <v>1</v>
      </c>
      <c r="E32" s="22">
        <v>25000</v>
      </c>
      <c r="F32" s="22">
        <v>25000</v>
      </c>
      <c r="G32" s="21" t="s">
        <v>38</v>
      </c>
      <c r="H32" s="21" t="s">
        <v>39</v>
      </c>
      <c r="I32" s="21">
        <v>5</v>
      </c>
      <c r="J32" s="21">
        <v>9</v>
      </c>
      <c r="K32" s="21">
        <v>2025</v>
      </c>
      <c r="L32" s="23">
        <v>45905</v>
      </c>
    </row>
    <row r="33" spans="1:12">
      <c r="A33" s="20" t="s">
        <v>59</v>
      </c>
      <c r="B33" s="21" t="s">
        <v>14</v>
      </c>
      <c r="C33" s="21" t="s">
        <v>15</v>
      </c>
      <c r="D33" s="21">
        <v>1</v>
      </c>
      <c r="E33" s="22">
        <v>25000</v>
      </c>
      <c r="F33" s="22">
        <v>25000</v>
      </c>
      <c r="G33" s="21" t="s">
        <v>40</v>
      </c>
      <c r="H33" s="21" t="s">
        <v>39</v>
      </c>
      <c r="I33" s="21">
        <v>12</v>
      </c>
      <c r="J33" s="21">
        <v>9</v>
      </c>
      <c r="K33" s="21">
        <v>2025</v>
      </c>
      <c r="L33" s="23">
        <v>45912</v>
      </c>
    </row>
    <row r="34" spans="1:12">
      <c r="A34" s="20" t="s">
        <v>60</v>
      </c>
      <c r="B34" s="21" t="s">
        <v>14</v>
      </c>
      <c r="C34" s="21" t="s">
        <v>13</v>
      </c>
      <c r="D34" s="21">
        <v>2</v>
      </c>
      <c r="E34" s="22">
        <v>28000</v>
      </c>
      <c r="F34" s="22">
        <v>56000</v>
      </c>
      <c r="G34" s="21" t="s">
        <v>41</v>
      </c>
      <c r="H34" s="21" t="s">
        <v>39</v>
      </c>
      <c r="I34" s="21">
        <v>4</v>
      </c>
      <c r="J34" s="21">
        <v>9</v>
      </c>
      <c r="K34" s="21">
        <v>2025</v>
      </c>
      <c r="L34" s="23">
        <v>45904</v>
      </c>
    </row>
    <row r="35" spans="1:12">
      <c r="A35" s="20" t="s">
        <v>31</v>
      </c>
      <c r="B35" s="21" t="s">
        <v>14</v>
      </c>
      <c r="C35" s="21" t="s">
        <v>16</v>
      </c>
      <c r="D35" s="21">
        <v>3</v>
      </c>
      <c r="E35" s="22">
        <v>30000</v>
      </c>
      <c r="F35" s="22">
        <v>90000</v>
      </c>
      <c r="G35" s="21" t="s">
        <v>42</v>
      </c>
      <c r="H35" s="21" t="s">
        <v>39</v>
      </c>
      <c r="I35" s="21">
        <v>23</v>
      </c>
      <c r="J35" s="21">
        <v>9</v>
      </c>
      <c r="K35" s="21">
        <v>2025</v>
      </c>
      <c r="L35" s="23">
        <v>45923</v>
      </c>
    </row>
    <row r="36" spans="1:12">
      <c r="A36" s="20" t="s">
        <v>10</v>
      </c>
      <c r="B36" s="21" t="s">
        <v>14</v>
      </c>
      <c r="C36" s="21" t="s">
        <v>12</v>
      </c>
      <c r="D36" s="21">
        <v>3</v>
      </c>
      <c r="E36" s="22">
        <v>28000</v>
      </c>
      <c r="F36" s="22">
        <v>84000</v>
      </c>
      <c r="G36" s="21" t="s">
        <v>43</v>
      </c>
      <c r="H36" s="21" t="s">
        <v>44</v>
      </c>
      <c r="I36" s="21">
        <v>20</v>
      </c>
      <c r="J36" s="21">
        <v>9</v>
      </c>
      <c r="K36" s="21">
        <v>2025</v>
      </c>
      <c r="L36" s="23">
        <v>45920</v>
      </c>
    </row>
    <row r="37" spans="1:12">
      <c r="A37" s="20" t="s">
        <v>27</v>
      </c>
      <c r="B37" s="21" t="s">
        <v>14</v>
      </c>
      <c r="C37" s="21" t="s">
        <v>8</v>
      </c>
      <c r="D37" s="21">
        <v>2</v>
      </c>
      <c r="E37" s="22">
        <v>35000</v>
      </c>
      <c r="F37" s="22">
        <v>70000</v>
      </c>
      <c r="G37" s="21" t="s">
        <v>38</v>
      </c>
      <c r="H37" s="21" t="s">
        <v>39</v>
      </c>
      <c r="I37" s="21">
        <v>15</v>
      </c>
      <c r="J37" s="21">
        <v>9</v>
      </c>
      <c r="K37" s="21">
        <v>2025</v>
      </c>
      <c r="L37" s="23">
        <v>45915</v>
      </c>
    </row>
    <row r="38" spans="1:12">
      <c r="A38" s="20" t="s">
        <v>51</v>
      </c>
      <c r="B38" s="21" t="s">
        <v>14</v>
      </c>
      <c r="C38" s="21" t="s">
        <v>15</v>
      </c>
      <c r="D38" s="21">
        <v>1</v>
      </c>
      <c r="E38" s="22">
        <v>20000</v>
      </c>
      <c r="F38" s="22">
        <v>20000</v>
      </c>
      <c r="G38" s="21" t="s">
        <v>40</v>
      </c>
      <c r="H38" s="21" t="s">
        <v>39</v>
      </c>
      <c r="I38" s="21">
        <v>2</v>
      </c>
      <c r="J38" s="21">
        <v>9</v>
      </c>
      <c r="K38" s="21">
        <v>2025</v>
      </c>
      <c r="L38" s="23">
        <v>45902</v>
      </c>
    </row>
    <row r="39" spans="1:12">
      <c r="A39" s="20" t="s">
        <v>59</v>
      </c>
      <c r="B39" s="21" t="s">
        <v>14</v>
      </c>
      <c r="C39" s="21" t="s">
        <v>13</v>
      </c>
      <c r="D39" s="21">
        <v>2</v>
      </c>
      <c r="E39" s="22">
        <v>28000</v>
      </c>
      <c r="F39" s="22">
        <v>56000</v>
      </c>
      <c r="G39" s="21" t="s">
        <v>41</v>
      </c>
      <c r="H39" s="21" t="s">
        <v>39</v>
      </c>
      <c r="I39" s="21">
        <v>12</v>
      </c>
      <c r="J39" s="21">
        <v>9</v>
      </c>
      <c r="K39" s="21">
        <v>2025</v>
      </c>
      <c r="L39" s="23">
        <v>45912</v>
      </c>
    </row>
    <row r="40" spans="1:12">
      <c r="A40" s="20" t="s">
        <v>54</v>
      </c>
      <c r="B40" s="21" t="s">
        <v>14</v>
      </c>
      <c r="C40" s="21" t="s">
        <v>16</v>
      </c>
      <c r="D40" s="21">
        <v>1</v>
      </c>
      <c r="E40" s="22">
        <v>20000</v>
      </c>
      <c r="F40" s="22">
        <v>20000</v>
      </c>
      <c r="G40" s="21" t="s">
        <v>42</v>
      </c>
      <c r="H40" s="21" t="s">
        <v>39</v>
      </c>
      <c r="I40" s="21">
        <v>8</v>
      </c>
      <c r="J40" s="21">
        <v>9</v>
      </c>
      <c r="K40" s="21">
        <v>2025</v>
      </c>
      <c r="L40" s="23">
        <v>45908</v>
      </c>
    </row>
    <row r="41" spans="1:12">
      <c r="A41" s="20" t="s">
        <v>23</v>
      </c>
      <c r="B41" s="21" t="s">
        <v>14</v>
      </c>
      <c r="C41" s="21" t="s">
        <v>12</v>
      </c>
      <c r="D41" s="21">
        <v>5</v>
      </c>
      <c r="E41" s="22">
        <v>25000</v>
      </c>
      <c r="F41" s="22">
        <v>125000</v>
      </c>
      <c r="G41" s="21" t="s">
        <v>43</v>
      </c>
      <c r="H41" s="21" t="s">
        <v>44</v>
      </c>
      <c r="I41" s="21">
        <v>24</v>
      </c>
      <c r="J41" s="21">
        <v>9</v>
      </c>
      <c r="K41" s="21">
        <v>2025</v>
      </c>
      <c r="L41" s="23">
        <v>45924</v>
      </c>
    </row>
    <row r="42" spans="1:12">
      <c r="A42" s="20" t="s">
        <v>52</v>
      </c>
      <c r="B42" s="21" t="s">
        <v>14</v>
      </c>
      <c r="C42" s="21" t="s">
        <v>13</v>
      </c>
      <c r="D42" s="21">
        <v>1</v>
      </c>
      <c r="E42" s="22">
        <v>35000</v>
      </c>
      <c r="F42" s="22">
        <v>35000</v>
      </c>
      <c r="G42" s="21" t="s">
        <v>41</v>
      </c>
      <c r="H42" s="21" t="s">
        <v>39</v>
      </c>
      <c r="I42" s="21">
        <v>1</v>
      </c>
      <c r="J42" s="21">
        <v>9</v>
      </c>
      <c r="K42" s="21">
        <v>2025</v>
      </c>
      <c r="L42" s="23">
        <v>45901</v>
      </c>
    </row>
    <row r="43" spans="1:12">
      <c r="A43" s="20" t="s">
        <v>57</v>
      </c>
      <c r="B43" s="21" t="s">
        <v>14</v>
      </c>
      <c r="C43" s="21" t="s">
        <v>16</v>
      </c>
      <c r="D43" s="21">
        <v>3</v>
      </c>
      <c r="E43" s="22">
        <v>20000</v>
      </c>
      <c r="F43" s="22">
        <v>60000</v>
      </c>
      <c r="G43" s="21" t="s">
        <v>42</v>
      </c>
      <c r="H43" s="21" t="s">
        <v>39</v>
      </c>
      <c r="I43" s="21">
        <v>6</v>
      </c>
      <c r="J43" s="21">
        <v>9</v>
      </c>
      <c r="K43" s="21">
        <v>2025</v>
      </c>
      <c r="L43" s="23">
        <v>45906</v>
      </c>
    </row>
    <row r="44" spans="1:12">
      <c r="A44" s="20" t="s">
        <v>30</v>
      </c>
      <c r="B44" s="21" t="s">
        <v>14</v>
      </c>
      <c r="C44" s="21" t="s">
        <v>12</v>
      </c>
      <c r="D44" s="21">
        <v>1</v>
      </c>
      <c r="E44" s="22">
        <v>28000</v>
      </c>
      <c r="F44" s="22">
        <v>28000</v>
      </c>
      <c r="G44" s="21" t="s">
        <v>43</v>
      </c>
      <c r="H44" s="21" t="s">
        <v>44</v>
      </c>
      <c r="I44" s="21">
        <v>25</v>
      </c>
      <c r="J44" s="21">
        <v>9</v>
      </c>
      <c r="K44" s="21">
        <v>2025</v>
      </c>
      <c r="L44" s="23">
        <v>45925</v>
      </c>
    </row>
    <row r="45" spans="1:12">
      <c r="A45" s="20" t="s">
        <v>24</v>
      </c>
      <c r="B45" s="21" t="s">
        <v>14</v>
      </c>
      <c r="C45" s="21" t="s">
        <v>8</v>
      </c>
      <c r="D45" s="21">
        <v>5</v>
      </c>
      <c r="E45" s="22">
        <v>25000</v>
      </c>
      <c r="F45" s="22">
        <v>125000</v>
      </c>
      <c r="G45" s="21" t="s">
        <v>38</v>
      </c>
      <c r="H45" s="21" t="s">
        <v>39</v>
      </c>
      <c r="I45" s="21">
        <v>13</v>
      </c>
      <c r="J45" s="21">
        <v>9</v>
      </c>
      <c r="K45" s="21">
        <v>2025</v>
      </c>
      <c r="L45" s="23">
        <v>45913</v>
      </c>
    </row>
    <row r="46" spans="1:12">
      <c r="A46" s="20" t="s">
        <v>10</v>
      </c>
      <c r="B46" s="21" t="s">
        <v>14</v>
      </c>
      <c r="C46" s="21" t="s">
        <v>15</v>
      </c>
      <c r="D46" s="21">
        <v>5</v>
      </c>
      <c r="E46" s="22">
        <v>30000</v>
      </c>
      <c r="F46" s="22">
        <v>150000</v>
      </c>
      <c r="G46" s="21" t="s">
        <v>40</v>
      </c>
      <c r="H46" s="21" t="s">
        <v>39</v>
      </c>
      <c r="I46" s="21">
        <v>20</v>
      </c>
      <c r="J46" s="21">
        <v>9</v>
      </c>
      <c r="K46" s="21">
        <v>2025</v>
      </c>
      <c r="L46" s="23">
        <v>45920</v>
      </c>
    </row>
    <row r="47" spans="1:12">
      <c r="A47" s="20" t="s">
        <v>32</v>
      </c>
      <c r="B47" s="21" t="s">
        <v>14</v>
      </c>
      <c r="C47" s="21" t="s">
        <v>13</v>
      </c>
      <c r="D47" s="21">
        <v>4</v>
      </c>
      <c r="E47" s="22">
        <v>20000</v>
      </c>
      <c r="F47" s="22">
        <v>80000</v>
      </c>
      <c r="G47" s="21" t="s">
        <v>41</v>
      </c>
      <c r="H47" s="21" t="s">
        <v>39</v>
      </c>
      <c r="I47" s="21">
        <v>28</v>
      </c>
      <c r="J47" s="21">
        <v>9</v>
      </c>
      <c r="K47" s="21">
        <v>2025</v>
      </c>
      <c r="L47" s="23">
        <v>45928</v>
      </c>
    </row>
    <row r="48" spans="1:12">
      <c r="A48" s="20" t="s">
        <v>60</v>
      </c>
      <c r="B48" s="21" t="s">
        <v>14</v>
      </c>
      <c r="C48" s="21" t="s">
        <v>16</v>
      </c>
      <c r="D48" s="21">
        <v>4</v>
      </c>
      <c r="E48" s="22">
        <v>35000</v>
      </c>
      <c r="F48" s="22">
        <v>140000</v>
      </c>
      <c r="G48" s="21" t="s">
        <v>42</v>
      </c>
      <c r="H48" s="21" t="s">
        <v>39</v>
      </c>
      <c r="I48" s="21">
        <v>4</v>
      </c>
      <c r="J48" s="21">
        <v>9</v>
      </c>
      <c r="K48" s="21">
        <v>2025</v>
      </c>
      <c r="L48" s="23">
        <v>45904</v>
      </c>
    </row>
    <row r="49" spans="1:12">
      <c r="A49" s="20" t="s">
        <v>60</v>
      </c>
      <c r="B49" s="21" t="s">
        <v>14</v>
      </c>
      <c r="C49" s="21" t="s">
        <v>12</v>
      </c>
      <c r="D49" s="21">
        <v>3</v>
      </c>
      <c r="E49" s="22">
        <v>20000</v>
      </c>
      <c r="F49" s="22">
        <v>60000</v>
      </c>
      <c r="G49" s="21" t="s">
        <v>43</v>
      </c>
      <c r="H49" s="21" t="s">
        <v>44</v>
      </c>
      <c r="I49" s="21">
        <v>4</v>
      </c>
      <c r="J49" s="21">
        <v>9</v>
      </c>
      <c r="K49" s="21">
        <v>2025</v>
      </c>
      <c r="L49" s="23">
        <v>45904</v>
      </c>
    </row>
    <row r="50" spans="1:12">
      <c r="A50" s="20" t="s">
        <v>60</v>
      </c>
      <c r="B50" s="21" t="s">
        <v>14</v>
      </c>
      <c r="C50" s="21" t="s">
        <v>8</v>
      </c>
      <c r="D50" s="21">
        <v>1</v>
      </c>
      <c r="E50" s="22">
        <v>28000</v>
      </c>
      <c r="F50" s="22">
        <v>28000</v>
      </c>
      <c r="G50" s="21" t="s">
        <v>38</v>
      </c>
      <c r="H50" s="21" t="s">
        <v>39</v>
      </c>
      <c r="I50" s="21">
        <v>4</v>
      </c>
      <c r="J50" s="21">
        <v>9</v>
      </c>
      <c r="K50" s="21">
        <v>2025</v>
      </c>
      <c r="L50" s="23">
        <v>45904</v>
      </c>
    </row>
    <row r="51" spans="1:12">
      <c r="A51" s="20" t="s">
        <v>6</v>
      </c>
      <c r="B51" s="21" t="s">
        <v>14</v>
      </c>
      <c r="C51" s="21" t="s">
        <v>16</v>
      </c>
      <c r="D51" s="21">
        <v>1</v>
      </c>
      <c r="E51" s="22">
        <v>35000</v>
      </c>
      <c r="F51" s="22">
        <v>35000</v>
      </c>
      <c r="G51" s="21" t="s">
        <v>42</v>
      </c>
      <c r="H51" s="21" t="s">
        <v>39</v>
      </c>
      <c r="I51" s="21">
        <v>17</v>
      </c>
      <c r="J51" s="21">
        <v>9</v>
      </c>
      <c r="K51" s="21">
        <v>2025</v>
      </c>
      <c r="L51" s="23">
        <v>45917</v>
      </c>
    </row>
    <row r="52" spans="1:12">
      <c r="A52" s="20" t="s">
        <v>50</v>
      </c>
      <c r="B52" s="21" t="s">
        <v>14</v>
      </c>
      <c r="C52" s="21" t="s">
        <v>12</v>
      </c>
      <c r="D52" s="21">
        <v>2</v>
      </c>
      <c r="E52" s="22">
        <v>20000</v>
      </c>
      <c r="F52" s="22">
        <v>40000</v>
      </c>
      <c r="G52" s="21" t="s">
        <v>43</v>
      </c>
      <c r="H52" s="21" t="s">
        <v>44</v>
      </c>
      <c r="I52" s="21">
        <v>11</v>
      </c>
      <c r="J52" s="21">
        <v>9</v>
      </c>
      <c r="K52" s="21">
        <v>2025</v>
      </c>
      <c r="L52" s="23">
        <v>45911</v>
      </c>
    </row>
    <row r="53" spans="1:12">
      <c r="A53" s="20" t="s">
        <v>56</v>
      </c>
      <c r="B53" s="21" t="s">
        <v>14</v>
      </c>
      <c r="C53" s="21" t="s">
        <v>13</v>
      </c>
      <c r="D53" s="21">
        <v>3</v>
      </c>
      <c r="E53" s="22">
        <v>35000</v>
      </c>
      <c r="F53" s="22">
        <v>105000</v>
      </c>
      <c r="G53" s="21" t="s">
        <v>41</v>
      </c>
      <c r="H53" s="21" t="s">
        <v>39</v>
      </c>
      <c r="I53" s="21">
        <v>3</v>
      </c>
      <c r="J53" s="21">
        <v>9</v>
      </c>
      <c r="K53" s="21">
        <v>2025</v>
      </c>
      <c r="L53" s="23">
        <v>45903</v>
      </c>
    </row>
    <row r="54" spans="1:12">
      <c r="A54" s="20" t="s">
        <v>21</v>
      </c>
      <c r="B54" s="21" t="s">
        <v>14</v>
      </c>
      <c r="C54" s="21" t="s">
        <v>16</v>
      </c>
      <c r="D54" s="21">
        <v>5</v>
      </c>
      <c r="E54" s="22">
        <v>28000</v>
      </c>
      <c r="F54" s="22">
        <v>140000</v>
      </c>
      <c r="G54" s="21" t="s">
        <v>42</v>
      </c>
      <c r="H54" s="21" t="s">
        <v>39</v>
      </c>
      <c r="I54" s="21">
        <v>19</v>
      </c>
      <c r="J54" s="21">
        <v>9</v>
      </c>
      <c r="K54" s="21">
        <v>2025</v>
      </c>
      <c r="L54" s="23">
        <v>45919</v>
      </c>
    </row>
    <row r="55" spans="1:12">
      <c r="A55" s="20" t="s">
        <v>32</v>
      </c>
      <c r="B55" s="21" t="s">
        <v>14</v>
      </c>
      <c r="C55" s="21" t="s">
        <v>12</v>
      </c>
      <c r="D55" s="21">
        <v>2</v>
      </c>
      <c r="E55" s="22">
        <v>28000</v>
      </c>
      <c r="F55" s="22">
        <v>56000</v>
      </c>
      <c r="G55" s="21" t="s">
        <v>43</v>
      </c>
      <c r="H55" s="21" t="s">
        <v>44</v>
      </c>
      <c r="I55" s="21">
        <v>28</v>
      </c>
      <c r="J55" s="21">
        <v>9</v>
      </c>
      <c r="K55" s="21">
        <v>2025</v>
      </c>
      <c r="L55" s="23">
        <v>45928</v>
      </c>
    </row>
    <row r="56" spans="1:12">
      <c r="A56" s="20" t="s">
        <v>24</v>
      </c>
      <c r="B56" s="21" t="s">
        <v>14</v>
      </c>
      <c r="C56" s="21" t="s">
        <v>8</v>
      </c>
      <c r="D56" s="21">
        <v>5</v>
      </c>
      <c r="E56" s="22">
        <v>25000</v>
      </c>
      <c r="F56" s="22">
        <v>125000</v>
      </c>
      <c r="G56" s="21" t="s">
        <v>38</v>
      </c>
      <c r="H56" s="21" t="s">
        <v>39</v>
      </c>
      <c r="I56" s="21">
        <v>13</v>
      </c>
      <c r="J56" s="21">
        <v>9</v>
      </c>
      <c r="K56" s="21">
        <v>2025</v>
      </c>
      <c r="L56" s="23">
        <v>45913</v>
      </c>
    </row>
    <row r="57" spans="1:12">
      <c r="A57" s="20" t="s">
        <v>28</v>
      </c>
      <c r="B57" s="21" t="s">
        <v>14</v>
      </c>
      <c r="C57" s="21" t="s">
        <v>15</v>
      </c>
      <c r="D57" s="21">
        <v>5</v>
      </c>
      <c r="E57" s="22">
        <v>20000</v>
      </c>
      <c r="F57" s="22">
        <v>100000</v>
      </c>
      <c r="G57" s="21" t="s">
        <v>40</v>
      </c>
      <c r="H57" s="21" t="s">
        <v>39</v>
      </c>
      <c r="I57" s="21">
        <v>30</v>
      </c>
      <c r="J57" s="21">
        <v>9</v>
      </c>
      <c r="K57" s="21">
        <v>2025</v>
      </c>
      <c r="L57" s="23">
        <v>45930</v>
      </c>
    </row>
    <row r="58" spans="1:12">
      <c r="A58" s="20" t="s">
        <v>28</v>
      </c>
      <c r="B58" s="21" t="s">
        <v>14</v>
      </c>
      <c r="C58" s="21" t="s">
        <v>13</v>
      </c>
      <c r="D58" s="21">
        <v>1</v>
      </c>
      <c r="E58" s="22">
        <v>28000</v>
      </c>
      <c r="F58" s="22">
        <v>28000</v>
      </c>
      <c r="G58" s="21" t="s">
        <v>41</v>
      </c>
      <c r="H58" s="21" t="s">
        <v>39</v>
      </c>
      <c r="I58" s="21">
        <v>30</v>
      </c>
      <c r="J58" s="21">
        <v>9</v>
      </c>
      <c r="K58" s="21">
        <v>2025</v>
      </c>
      <c r="L58" s="23">
        <v>45930</v>
      </c>
    </row>
    <row r="59" spans="1:12">
      <c r="A59" s="20" t="s">
        <v>22</v>
      </c>
      <c r="B59" s="21" t="s">
        <v>14</v>
      </c>
      <c r="C59" s="21" t="s">
        <v>16</v>
      </c>
      <c r="D59" s="21">
        <v>3</v>
      </c>
      <c r="E59" s="22">
        <v>25000</v>
      </c>
      <c r="F59" s="22">
        <v>75000</v>
      </c>
      <c r="G59" s="21" t="s">
        <v>42</v>
      </c>
      <c r="H59" s="21" t="s">
        <v>39</v>
      </c>
      <c r="I59" s="21">
        <v>16</v>
      </c>
      <c r="J59" s="21">
        <v>9</v>
      </c>
      <c r="K59" s="21">
        <v>2025</v>
      </c>
      <c r="L59" s="23">
        <v>45916</v>
      </c>
    </row>
    <row r="60" spans="1:12">
      <c r="A60" s="20" t="s">
        <v>21</v>
      </c>
      <c r="B60" s="21" t="s">
        <v>14</v>
      </c>
      <c r="C60" s="21" t="s">
        <v>12</v>
      </c>
      <c r="D60" s="21">
        <v>1</v>
      </c>
      <c r="E60" s="22">
        <v>20000</v>
      </c>
      <c r="F60" s="22">
        <v>20000</v>
      </c>
      <c r="G60" s="21" t="s">
        <v>43</v>
      </c>
      <c r="H60" s="21" t="s">
        <v>44</v>
      </c>
      <c r="I60" s="21">
        <v>19</v>
      </c>
      <c r="J60" s="21">
        <v>9</v>
      </c>
      <c r="K60" s="21">
        <v>2025</v>
      </c>
      <c r="L60" s="23">
        <v>45919</v>
      </c>
    </row>
    <row r="61" spans="1:12">
      <c r="A61" s="20" t="s">
        <v>23</v>
      </c>
      <c r="B61" s="21" t="s">
        <v>14</v>
      </c>
      <c r="C61" s="21" t="s">
        <v>8</v>
      </c>
      <c r="D61" s="21">
        <v>4</v>
      </c>
      <c r="E61" s="22">
        <v>28000</v>
      </c>
      <c r="F61" s="22">
        <v>112000</v>
      </c>
      <c r="G61" s="21" t="s">
        <v>38</v>
      </c>
      <c r="H61" s="21" t="s">
        <v>39</v>
      </c>
      <c r="I61" s="21">
        <v>24</v>
      </c>
      <c r="J61" s="21">
        <v>9</v>
      </c>
      <c r="K61" s="21">
        <v>2025</v>
      </c>
      <c r="L61" s="23">
        <v>45924</v>
      </c>
    </row>
    <row r="62" spans="1:12">
      <c r="A62" s="20" t="s">
        <v>19</v>
      </c>
      <c r="B62" s="21" t="s">
        <v>14</v>
      </c>
      <c r="C62" s="21" t="s">
        <v>15</v>
      </c>
      <c r="D62" s="21">
        <v>1</v>
      </c>
      <c r="E62" s="22">
        <v>30000</v>
      </c>
      <c r="F62" s="22">
        <v>30000</v>
      </c>
      <c r="G62" s="21" t="s">
        <v>40</v>
      </c>
      <c r="H62" s="21" t="s">
        <v>39</v>
      </c>
      <c r="I62" s="21">
        <v>27</v>
      </c>
      <c r="J62" s="21">
        <v>9</v>
      </c>
      <c r="K62" s="21">
        <v>2025</v>
      </c>
      <c r="L62" s="23">
        <v>45927</v>
      </c>
    </row>
    <row r="63" spans="1:12">
      <c r="A63" s="20" t="s">
        <v>61</v>
      </c>
      <c r="B63" s="21" t="s">
        <v>14</v>
      </c>
      <c r="C63" s="21" t="s">
        <v>13</v>
      </c>
      <c r="D63" s="21">
        <v>3</v>
      </c>
      <c r="E63" s="22">
        <v>25000</v>
      </c>
      <c r="F63" s="22">
        <v>75000</v>
      </c>
      <c r="G63" s="21" t="s">
        <v>41</v>
      </c>
      <c r="H63" s="21" t="s">
        <v>39</v>
      </c>
      <c r="I63" s="21">
        <v>9</v>
      </c>
      <c r="J63" s="21">
        <v>9</v>
      </c>
      <c r="K63" s="21">
        <v>2025</v>
      </c>
      <c r="L63" s="23">
        <v>45909</v>
      </c>
    </row>
    <row r="64" spans="1:12">
      <c r="A64" s="20" t="s">
        <v>50</v>
      </c>
      <c r="B64" s="21" t="s">
        <v>14</v>
      </c>
      <c r="C64" s="21" t="s">
        <v>16</v>
      </c>
      <c r="D64" s="21">
        <v>1</v>
      </c>
      <c r="E64" s="22">
        <v>30000</v>
      </c>
      <c r="F64" s="22">
        <v>30000</v>
      </c>
      <c r="G64" s="21" t="s">
        <v>42</v>
      </c>
      <c r="H64" s="21" t="s">
        <v>39</v>
      </c>
      <c r="I64" s="21">
        <v>11</v>
      </c>
      <c r="J64" s="21">
        <v>9</v>
      </c>
      <c r="K64" s="21">
        <v>2025</v>
      </c>
      <c r="L64" s="23">
        <v>45911</v>
      </c>
    </row>
    <row r="65" spans="1:12">
      <c r="A65" s="20" t="s">
        <v>55</v>
      </c>
      <c r="B65" s="21" t="s">
        <v>14</v>
      </c>
      <c r="C65" s="21" t="s">
        <v>12</v>
      </c>
      <c r="D65" s="21">
        <v>5</v>
      </c>
      <c r="E65" s="22">
        <v>25000</v>
      </c>
      <c r="F65" s="22">
        <v>125000</v>
      </c>
      <c r="G65" s="21" t="s">
        <v>43</v>
      </c>
      <c r="H65" s="21" t="s">
        <v>44</v>
      </c>
      <c r="I65" s="21">
        <v>10</v>
      </c>
      <c r="J65" s="21">
        <v>9</v>
      </c>
      <c r="K65" s="21">
        <v>2025</v>
      </c>
      <c r="L65" s="23">
        <v>45910</v>
      </c>
    </row>
    <row r="66" spans="1:12">
      <c r="A66" s="20" t="s">
        <v>32</v>
      </c>
      <c r="B66" s="21" t="s">
        <v>14</v>
      </c>
      <c r="C66" s="21" t="s">
        <v>8</v>
      </c>
      <c r="D66" s="21">
        <v>5</v>
      </c>
      <c r="E66" s="22">
        <v>28000</v>
      </c>
      <c r="F66" s="22">
        <v>140000</v>
      </c>
      <c r="G66" s="21" t="s">
        <v>38</v>
      </c>
      <c r="H66" s="21" t="s">
        <v>39</v>
      </c>
      <c r="I66" s="21">
        <v>28</v>
      </c>
      <c r="J66" s="21">
        <v>9</v>
      </c>
      <c r="K66" s="21">
        <v>2025</v>
      </c>
      <c r="L66" s="23">
        <v>45928</v>
      </c>
    </row>
    <row r="67" spans="1:12">
      <c r="A67" s="20" t="s">
        <v>26</v>
      </c>
      <c r="B67" s="21" t="s">
        <v>14</v>
      </c>
      <c r="C67" s="21" t="s">
        <v>15</v>
      </c>
      <c r="D67" s="21">
        <v>4</v>
      </c>
      <c r="E67" s="22">
        <v>35000</v>
      </c>
      <c r="F67" s="22">
        <v>140000</v>
      </c>
      <c r="G67" s="21" t="s">
        <v>40</v>
      </c>
      <c r="H67" s="21" t="s">
        <v>39</v>
      </c>
      <c r="I67" s="21">
        <v>21</v>
      </c>
      <c r="J67" s="21">
        <v>9</v>
      </c>
      <c r="K67" s="21">
        <v>2025</v>
      </c>
      <c r="L67" s="23">
        <v>45921</v>
      </c>
    </row>
    <row r="68" spans="1:12">
      <c r="A68" s="20" t="s">
        <v>19</v>
      </c>
      <c r="B68" s="21" t="s">
        <v>14</v>
      </c>
      <c r="C68" s="21" t="s">
        <v>13</v>
      </c>
      <c r="D68" s="21">
        <v>1</v>
      </c>
      <c r="E68" s="22">
        <v>35000</v>
      </c>
      <c r="F68" s="22">
        <v>35000</v>
      </c>
      <c r="G68" s="21" t="s">
        <v>41</v>
      </c>
      <c r="H68" s="21" t="s">
        <v>39</v>
      </c>
      <c r="I68" s="21">
        <v>27</v>
      </c>
      <c r="J68" s="21">
        <v>9</v>
      </c>
      <c r="K68" s="21">
        <v>2025</v>
      </c>
      <c r="L68" s="23">
        <v>45927</v>
      </c>
    </row>
    <row r="69" spans="1:12">
      <c r="A69" s="20" t="s">
        <v>21</v>
      </c>
      <c r="B69" s="21" t="s">
        <v>14</v>
      </c>
      <c r="C69" s="21" t="s">
        <v>16</v>
      </c>
      <c r="D69" s="21">
        <v>1</v>
      </c>
      <c r="E69" s="22">
        <v>25000</v>
      </c>
      <c r="F69" s="22">
        <v>25000</v>
      </c>
      <c r="G69" s="21" t="s">
        <v>42</v>
      </c>
      <c r="H69" s="21" t="s">
        <v>39</v>
      </c>
      <c r="I69" s="21">
        <v>19</v>
      </c>
      <c r="J69" s="21">
        <v>9</v>
      </c>
      <c r="K69" s="21">
        <v>2025</v>
      </c>
      <c r="L69" s="23">
        <v>45919</v>
      </c>
    </row>
    <row r="70" spans="1:12">
      <c r="A70" s="20" t="s">
        <v>30</v>
      </c>
      <c r="B70" s="21" t="s">
        <v>14</v>
      </c>
      <c r="C70" s="21" t="s">
        <v>12</v>
      </c>
      <c r="D70" s="21">
        <v>2</v>
      </c>
      <c r="E70" s="22">
        <v>35000</v>
      </c>
      <c r="F70" s="22">
        <v>70000</v>
      </c>
      <c r="G70" s="21" t="s">
        <v>43</v>
      </c>
      <c r="H70" s="21" t="s">
        <v>44</v>
      </c>
      <c r="I70" s="21">
        <v>25</v>
      </c>
      <c r="J70" s="21">
        <v>9</v>
      </c>
      <c r="K70" s="21">
        <v>2025</v>
      </c>
      <c r="L70" s="23">
        <v>45925</v>
      </c>
    </row>
    <row r="71" spans="1:12">
      <c r="A71" s="20" t="s">
        <v>55</v>
      </c>
      <c r="B71" s="21" t="s">
        <v>14</v>
      </c>
      <c r="C71" s="21" t="s">
        <v>8</v>
      </c>
      <c r="D71" s="21">
        <v>5</v>
      </c>
      <c r="E71" s="22">
        <v>35000</v>
      </c>
      <c r="F71" s="22">
        <v>175000</v>
      </c>
      <c r="G71" s="21" t="s">
        <v>38</v>
      </c>
      <c r="H71" s="21" t="s">
        <v>39</v>
      </c>
      <c r="I71" s="21">
        <v>10</v>
      </c>
      <c r="J71" s="21">
        <v>9</v>
      </c>
      <c r="K71" s="21">
        <v>2025</v>
      </c>
      <c r="L71" s="23">
        <v>45910</v>
      </c>
    </row>
    <row r="72" spans="1:12">
      <c r="A72" s="20" t="s">
        <v>52</v>
      </c>
      <c r="B72" s="21" t="s">
        <v>14</v>
      </c>
      <c r="C72" s="21" t="s">
        <v>15</v>
      </c>
      <c r="D72" s="21">
        <v>3</v>
      </c>
      <c r="E72" s="22">
        <v>20000</v>
      </c>
      <c r="F72" s="22">
        <v>60000</v>
      </c>
      <c r="G72" s="21" t="s">
        <v>40</v>
      </c>
      <c r="H72" s="21" t="s">
        <v>39</v>
      </c>
      <c r="I72" s="21">
        <v>1</v>
      </c>
      <c r="J72" s="21">
        <v>9</v>
      </c>
      <c r="K72" s="21">
        <v>2025</v>
      </c>
      <c r="L72" s="23">
        <v>45901</v>
      </c>
    </row>
    <row r="73" spans="1:12">
      <c r="A73" s="20" t="s">
        <v>60</v>
      </c>
      <c r="B73" s="21" t="s">
        <v>14</v>
      </c>
      <c r="C73" s="21" t="s">
        <v>13</v>
      </c>
      <c r="D73" s="21">
        <v>1</v>
      </c>
      <c r="E73" s="22">
        <v>30000</v>
      </c>
      <c r="F73" s="22">
        <v>30000</v>
      </c>
      <c r="G73" s="21" t="s">
        <v>41</v>
      </c>
      <c r="H73" s="21" t="s">
        <v>39</v>
      </c>
      <c r="I73" s="21">
        <v>4</v>
      </c>
      <c r="J73" s="21">
        <v>9</v>
      </c>
      <c r="K73" s="21">
        <v>2025</v>
      </c>
      <c r="L73" s="23">
        <v>45904</v>
      </c>
    </row>
    <row r="74" spans="1:12">
      <c r="A74" s="20" t="s">
        <v>22</v>
      </c>
      <c r="B74" s="21" t="s">
        <v>14</v>
      </c>
      <c r="C74" s="21" t="s">
        <v>16</v>
      </c>
      <c r="D74" s="21">
        <v>1</v>
      </c>
      <c r="E74" s="22">
        <v>35000</v>
      </c>
      <c r="F74" s="22">
        <v>35000</v>
      </c>
      <c r="G74" s="21" t="s">
        <v>42</v>
      </c>
      <c r="H74" s="21" t="s">
        <v>39</v>
      </c>
      <c r="I74" s="21">
        <v>16</v>
      </c>
      <c r="J74" s="21">
        <v>9</v>
      </c>
      <c r="K74" s="21">
        <v>2025</v>
      </c>
      <c r="L74" s="23">
        <v>45916</v>
      </c>
    </row>
    <row r="75" spans="1:12">
      <c r="A75" s="20" t="s">
        <v>23</v>
      </c>
      <c r="B75" s="21" t="s">
        <v>14</v>
      </c>
      <c r="C75" s="21" t="s">
        <v>12</v>
      </c>
      <c r="D75" s="21">
        <v>1</v>
      </c>
      <c r="E75" s="22">
        <v>30000</v>
      </c>
      <c r="F75" s="22">
        <v>30000</v>
      </c>
      <c r="G75" s="21" t="s">
        <v>43</v>
      </c>
      <c r="H75" s="21" t="s">
        <v>44</v>
      </c>
      <c r="I75" s="21">
        <v>24</v>
      </c>
      <c r="J75" s="21">
        <v>9</v>
      </c>
      <c r="K75" s="21">
        <v>2025</v>
      </c>
      <c r="L75" s="23">
        <v>45924</v>
      </c>
    </row>
    <row r="76" spans="1:12">
      <c r="A76" s="20" t="s">
        <v>29</v>
      </c>
      <c r="B76" s="21" t="s">
        <v>14</v>
      </c>
      <c r="C76" s="21" t="s">
        <v>8</v>
      </c>
      <c r="D76" s="21">
        <v>1</v>
      </c>
      <c r="E76" s="22">
        <v>28000</v>
      </c>
      <c r="F76" s="22">
        <v>28000</v>
      </c>
      <c r="G76" s="21" t="s">
        <v>38</v>
      </c>
      <c r="H76" s="21" t="s">
        <v>39</v>
      </c>
      <c r="I76" s="21">
        <v>22</v>
      </c>
      <c r="J76" s="21">
        <v>9</v>
      </c>
      <c r="K76" s="21">
        <v>2025</v>
      </c>
      <c r="L76" s="23">
        <v>45922</v>
      </c>
    </row>
    <row r="77" spans="1:12">
      <c r="A77" s="20" t="s">
        <v>17</v>
      </c>
      <c r="B77" s="21" t="s">
        <v>14</v>
      </c>
      <c r="C77" s="21" t="s">
        <v>15</v>
      </c>
      <c r="D77" s="21">
        <v>4</v>
      </c>
      <c r="E77" s="22">
        <v>35000</v>
      </c>
      <c r="F77" s="22">
        <v>140000</v>
      </c>
      <c r="G77" s="21" t="s">
        <v>40</v>
      </c>
      <c r="H77" s="21" t="s">
        <v>39</v>
      </c>
      <c r="I77" s="21">
        <v>14</v>
      </c>
      <c r="J77" s="21">
        <v>9</v>
      </c>
      <c r="K77" s="21">
        <v>2025</v>
      </c>
      <c r="L77" s="23">
        <v>45914</v>
      </c>
    </row>
    <row r="78" spans="1:12">
      <c r="A78" s="20" t="s">
        <v>22</v>
      </c>
      <c r="B78" s="21" t="s">
        <v>14</v>
      </c>
      <c r="C78" s="21" t="s">
        <v>13</v>
      </c>
      <c r="D78" s="21">
        <v>1</v>
      </c>
      <c r="E78" s="22">
        <v>25000</v>
      </c>
      <c r="F78" s="22">
        <v>25000</v>
      </c>
      <c r="G78" s="21" t="s">
        <v>41</v>
      </c>
      <c r="H78" s="21" t="s">
        <v>39</v>
      </c>
      <c r="I78" s="21">
        <v>16</v>
      </c>
      <c r="J78" s="21">
        <v>9</v>
      </c>
      <c r="K78" s="21">
        <v>2025</v>
      </c>
      <c r="L78" s="23">
        <v>45916</v>
      </c>
    </row>
    <row r="79" spans="1:12">
      <c r="A79" s="20" t="s">
        <v>30</v>
      </c>
      <c r="B79" s="21" t="s">
        <v>14</v>
      </c>
      <c r="C79" s="21" t="s">
        <v>16</v>
      </c>
      <c r="D79" s="21">
        <v>1</v>
      </c>
      <c r="E79" s="22">
        <v>35000</v>
      </c>
      <c r="F79" s="22">
        <v>35000</v>
      </c>
      <c r="G79" s="21" t="s">
        <v>42</v>
      </c>
      <c r="H79" s="21" t="s">
        <v>39</v>
      </c>
      <c r="I79" s="21">
        <v>25</v>
      </c>
      <c r="J79" s="21">
        <v>9</v>
      </c>
      <c r="K79" s="21">
        <v>2025</v>
      </c>
      <c r="L79" s="23">
        <v>45925</v>
      </c>
    </row>
    <row r="80" spans="1:12">
      <c r="A80" s="20" t="s">
        <v>23</v>
      </c>
      <c r="B80" s="21" t="s">
        <v>14</v>
      </c>
      <c r="C80" s="21" t="s">
        <v>12</v>
      </c>
      <c r="D80" s="21">
        <v>3</v>
      </c>
      <c r="E80" s="22">
        <v>20000</v>
      </c>
      <c r="F80" s="22">
        <v>60000</v>
      </c>
      <c r="G80" s="21" t="s">
        <v>43</v>
      </c>
      <c r="H80" s="21" t="s">
        <v>44</v>
      </c>
      <c r="I80" s="21">
        <v>24</v>
      </c>
      <c r="J80" s="21">
        <v>9</v>
      </c>
      <c r="K80" s="21">
        <v>2025</v>
      </c>
      <c r="L80" s="23">
        <v>45924</v>
      </c>
    </row>
    <row r="81" spans="1:12">
      <c r="A81" s="20" t="s">
        <v>26</v>
      </c>
      <c r="B81" s="21" t="s">
        <v>14</v>
      </c>
      <c r="C81" s="21" t="s">
        <v>8</v>
      </c>
      <c r="D81" s="21">
        <v>1</v>
      </c>
      <c r="E81" s="22">
        <v>20000</v>
      </c>
      <c r="F81" s="22">
        <v>20000</v>
      </c>
      <c r="G81" s="21" t="s">
        <v>38</v>
      </c>
      <c r="H81" s="21" t="s">
        <v>39</v>
      </c>
      <c r="I81" s="21">
        <v>21</v>
      </c>
      <c r="J81" s="21">
        <v>9</v>
      </c>
      <c r="K81" s="21">
        <v>2025</v>
      </c>
      <c r="L81" s="23">
        <v>45921</v>
      </c>
    </row>
    <row r="82" spans="1:12">
      <c r="A82" s="20" t="s">
        <v>50</v>
      </c>
      <c r="B82" s="21" t="s">
        <v>14</v>
      </c>
      <c r="C82" s="21" t="s">
        <v>15</v>
      </c>
      <c r="D82" s="21">
        <v>3</v>
      </c>
      <c r="E82" s="22">
        <v>35000</v>
      </c>
      <c r="F82" s="22">
        <v>105000</v>
      </c>
      <c r="G82" s="21" t="s">
        <v>40</v>
      </c>
      <c r="H82" s="21" t="s">
        <v>39</v>
      </c>
      <c r="I82" s="21">
        <v>11</v>
      </c>
      <c r="J82" s="21">
        <v>9</v>
      </c>
      <c r="K82" s="21">
        <v>2025</v>
      </c>
      <c r="L82" s="23">
        <v>45911</v>
      </c>
    </row>
    <row r="83" spans="1:12">
      <c r="A83" s="20" t="s">
        <v>60</v>
      </c>
      <c r="B83" s="21" t="s">
        <v>14</v>
      </c>
      <c r="C83" s="21" t="s">
        <v>13</v>
      </c>
      <c r="D83" s="21">
        <v>2</v>
      </c>
      <c r="E83" s="22">
        <v>25000</v>
      </c>
      <c r="F83" s="22">
        <v>50000</v>
      </c>
      <c r="G83" s="21" t="s">
        <v>41</v>
      </c>
      <c r="H83" s="21" t="s">
        <v>39</v>
      </c>
      <c r="I83" s="21">
        <v>4</v>
      </c>
      <c r="J83" s="21">
        <v>9</v>
      </c>
      <c r="K83" s="21">
        <v>2025</v>
      </c>
      <c r="L83" s="23">
        <v>45904</v>
      </c>
    </row>
    <row r="84" spans="1:12">
      <c r="A84" s="20" t="s">
        <v>60</v>
      </c>
      <c r="B84" s="21" t="s">
        <v>14</v>
      </c>
      <c r="C84" s="21" t="s">
        <v>16</v>
      </c>
      <c r="D84" s="21">
        <v>3</v>
      </c>
      <c r="E84" s="22">
        <v>25000</v>
      </c>
      <c r="F84" s="22">
        <v>75000</v>
      </c>
      <c r="G84" s="21" t="s">
        <v>42</v>
      </c>
      <c r="H84" s="21" t="s">
        <v>39</v>
      </c>
      <c r="I84" s="21">
        <v>4</v>
      </c>
      <c r="J84" s="21">
        <v>9</v>
      </c>
      <c r="K84" s="21">
        <v>2025</v>
      </c>
      <c r="L84" s="23">
        <v>45904</v>
      </c>
    </row>
    <row r="85" spans="1:12">
      <c r="A85" s="20" t="s">
        <v>56</v>
      </c>
      <c r="B85" s="21" t="s">
        <v>14</v>
      </c>
      <c r="C85" s="21" t="s">
        <v>12</v>
      </c>
      <c r="D85" s="21">
        <v>2</v>
      </c>
      <c r="E85" s="22">
        <v>30000</v>
      </c>
      <c r="F85" s="22">
        <v>60000</v>
      </c>
      <c r="G85" s="21" t="s">
        <v>43</v>
      </c>
      <c r="H85" s="21" t="s">
        <v>44</v>
      </c>
      <c r="I85" s="21">
        <v>3</v>
      </c>
      <c r="J85" s="21">
        <v>9</v>
      </c>
      <c r="K85" s="21">
        <v>2025</v>
      </c>
      <c r="L85" s="23">
        <v>45903</v>
      </c>
    </row>
    <row r="86" spans="1:12">
      <c r="A86" s="20" t="s">
        <v>50</v>
      </c>
      <c r="B86" s="21" t="s">
        <v>14</v>
      </c>
      <c r="C86" s="21" t="s">
        <v>13</v>
      </c>
      <c r="D86" s="21">
        <v>3</v>
      </c>
      <c r="E86" s="22">
        <v>30000</v>
      </c>
      <c r="F86" s="22">
        <v>90000</v>
      </c>
      <c r="G86" s="21" t="s">
        <v>41</v>
      </c>
      <c r="H86" s="21" t="s">
        <v>39</v>
      </c>
      <c r="I86" s="21">
        <v>11</v>
      </c>
      <c r="J86" s="21">
        <v>9</v>
      </c>
      <c r="K86" s="21">
        <v>2025</v>
      </c>
      <c r="L86" s="23">
        <v>45911</v>
      </c>
    </row>
    <row r="87" spans="1:12">
      <c r="A87" s="20" t="s">
        <v>24</v>
      </c>
      <c r="B87" s="21" t="s">
        <v>14</v>
      </c>
      <c r="C87" s="21" t="s">
        <v>16</v>
      </c>
      <c r="D87" s="21">
        <v>2</v>
      </c>
      <c r="E87" s="22">
        <v>20000</v>
      </c>
      <c r="F87" s="22">
        <v>40000</v>
      </c>
      <c r="G87" s="21" t="s">
        <v>42</v>
      </c>
      <c r="H87" s="21" t="s">
        <v>39</v>
      </c>
      <c r="I87" s="21">
        <v>13</v>
      </c>
      <c r="J87" s="21">
        <v>9</v>
      </c>
      <c r="K87" s="21">
        <v>2025</v>
      </c>
      <c r="L87" s="23">
        <v>45913</v>
      </c>
    </row>
    <row r="88" spans="1:12">
      <c r="A88" s="20" t="s">
        <v>53</v>
      </c>
      <c r="B88" s="21" t="s">
        <v>14</v>
      </c>
      <c r="C88" s="21" t="s">
        <v>12</v>
      </c>
      <c r="D88" s="21">
        <v>1</v>
      </c>
      <c r="E88" s="22">
        <v>20000</v>
      </c>
      <c r="F88" s="22">
        <v>20000</v>
      </c>
      <c r="G88" s="21" t="s">
        <v>43</v>
      </c>
      <c r="H88" s="21" t="s">
        <v>44</v>
      </c>
      <c r="I88" s="21">
        <v>7</v>
      </c>
      <c r="J88" s="21">
        <v>9</v>
      </c>
      <c r="K88" s="21">
        <v>2025</v>
      </c>
      <c r="L88" s="23">
        <v>45907</v>
      </c>
    </row>
    <row r="89" spans="1:12">
      <c r="A89" s="20" t="s">
        <v>30</v>
      </c>
      <c r="B89" s="21" t="s">
        <v>14</v>
      </c>
      <c r="C89" s="21" t="s">
        <v>16</v>
      </c>
      <c r="D89" s="21">
        <v>1</v>
      </c>
      <c r="E89" s="22">
        <v>20000</v>
      </c>
      <c r="F89" s="22">
        <v>20000</v>
      </c>
      <c r="G89" s="21" t="s">
        <v>42</v>
      </c>
      <c r="H89" s="21" t="s">
        <v>39</v>
      </c>
      <c r="I89" s="21">
        <v>25</v>
      </c>
      <c r="J89" s="21">
        <v>9</v>
      </c>
      <c r="K89" s="21">
        <v>2025</v>
      </c>
      <c r="L89" s="23">
        <v>45925</v>
      </c>
    </row>
    <row r="90" spans="1:12">
      <c r="A90" s="20" t="s">
        <v>19</v>
      </c>
      <c r="B90" s="21" t="s">
        <v>14</v>
      </c>
      <c r="C90" s="21" t="s">
        <v>12</v>
      </c>
      <c r="D90" s="21">
        <v>5</v>
      </c>
      <c r="E90" s="22">
        <v>25000</v>
      </c>
      <c r="F90" s="22">
        <v>125000</v>
      </c>
      <c r="G90" s="21" t="s">
        <v>43</v>
      </c>
      <c r="H90" s="21" t="s">
        <v>44</v>
      </c>
      <c r="I90" s="21">
        <v>27</v>
      </c>
      <c r="J90" s="21">
        <v>9</v>
      </c>
      <c r="K90" s="21">
        <v>2025</v>
      </c>
      <c r="L90" s="23">
        <v>45927</v>
      </c>
    </row>
    <row r="91" spans="1:12">
      <c r="A91" s="20" t="s">
        <v>58</v>
      </c>
      <c r="B91" s="21" t="s">
        <v>14</v>
      </c>
      <c r="C91" s="21" t="s">
        <v>13</v>
      </c>
      <c r="D91" s="21">
        <v>4</v>
      </c>
      <c r="E91" s="22">
        <v>28000</v>
      </c>
      <c r="F91" s="22">
        <v>112000</v>
      </c>
      <c r="G91" s="21" t="s">
        <v>41</v>
      </c>
      <c r="H91" s="21" t="s">
        <v>39</v>
      </c>
      <c r="I91" s="21">
        <v>5</v>
      </c>
      <c r="J91" s="21">
        <v>9</v>
      </c>
      <c r="K91" s="21">
        <v>2025</v>
      </c>
      <c r="L91" s="23">
        <v>45905</v>
      </c>
    </row>
    <row r="92" spans="1:12">
      <c r="A92" s="20" t="s">
        <v>24</v>
      </c>
      <c r="B92" s="21" t="s">
        <v>14</v>
      </c>
      <c r="C92" s="21" t="s">
        <v>16</v>
      </c>
      <c r="D92" s="21">
        <v>5</v>
      </c>
      <c r="E92" s="22">
        <v>25000</v>
      </c>
      <c r="F92" s="22">
        <v>125000</v>
      </c>
      <c r="G92" s="21" t="s">
        <v>42</v>
      </c>
      <c r="H92" s="21" t="s">
        <v>39</v>
      </c>
      <c r="I92" s="21">
        <v>13</v>
      </c>
      <c r="J92" s="21">
        <v>9</v>
      </c>
      <c r="K92" s="21">
        <v>2025</v>
      </c>
      <c r="L92" s="23">
        <v>45913</v>
      </c>
    </row>
    <row r="93" spans="1:12">
      <c r="A93" s="20" t="s">
        <v>61</v>
      </c>
      <c r="B93" s="21" t="s">
        <v>14</v>
      </c>
      <c r="C93" s="21" t="s">
        <v>12</v>
      </c>
      <c r="D93" s="21">
        <v>2</v>
      </c>
      <c r="E93" s="22">
        <v>28000</v>
      </c>
      <c r="F93" s="22">
        <v>56000</v>
      </c>
      <c r="G93" s="21" t="s">
        <v>43</v>
      </c>
      <c r="H93" s="21" t="s">
        <v>44</v>
      </c>
      <c r="I93" s="21">
        <v>9</v>
      </c>
      <c r="J93" s="21">
        <v>9</v>
      </c>
      <c r="K93" s="21">
        <v>2025</v>
      </c>
      <c r="L93" s="23">
        <v>45909</v>
      </c>
    </row>
    <row r="94" spans="1:12">
      <c r="A94" s="20" t="s">
        <v>26</v>
      </c>
      <c r="B94" s="21" t="s">
        <v>14</v>
      </c>
      <c r="C94" s="21" t="s">
        <v>8</v>
      </c>
      <c r="D94" s="21">
        <v>1</v>
      </c>
      <c r="E94" s="22">
        <v>25000</v>
      </c>
      <c r="F94" s="22">
        <v>25000</v>
      </c>
      <c r="G94" s="21" t="s">
        <v>38</v>
      </c>
      <c r="H94" s="21" t="s">
        <v>39</v>
      </c>
      <c r="I94" s="21">
        <v>21</v>
      </c>
      <c r="J94" s="21">
        <v>9</v>
      </c>
      <c r="K94" s="21">
        <v>2025</v>
      </c>
      <c r="L94" s="23">
        <v>45921</v>
      </c>
    </row>
    <row r="95" spans="1:12">
      <c r="A95" s="20" t="s">
        <v>58</v>
      </c>
      <c r="B95" s="21" t="s">
        <v>14</v>
      </c>
      <c r="C95" s="21" t="s">
        <v>15</v>
      </c>
      <c r="D95" s="21">
        <v>2</v>
      </c>
      <c r="E95" s="22">
        <v>20000</v>
      </c>
      <c r="F95" s="22">
        <v>40000</v>
      </c>
      <c r="G95" s="21" t="s">
        <v>40</v>
      </c>
      <c r="H95" s="21" t="s">
        <v>39</v>
      </c>
      <c r="I95" s="21">
        <v>5</v>
      </c>
      <c r="J95" s="21">
        <v>9</v>
      </c>
      <c r="K95" s="21">
        <v>2025</v>
      </c>
      <c r="L95" s="23">
        <v>45905</v>
      </c>
    </row>
    <row r="96" spans="1:12">
      <c r="A96" s="20" t="s">
        <v>23</v>
      </c>
      <c r="B96" s="21" t="s">
        <v>14</v>
      </c>
      <c r="C96" s="21" t="s">
        <v>13</v>
      </c>
      <c r="D96" s="21">
        <v>1</v>
      </c>
      <c r="E96" s="22">
        <v>28000</v>
      </c>
      <c r="F96" s="22">
        <v>28000</v>
      </c>
      <c r="G96" s="21" t="s">
        <v>41</v>
      </c>
      <c r="H96" s="21" t="s">
        <v>39</v>
      </c>
      <c r="I96" s="21">
        <v>24</v>
      </c>
      <c r="J96" s="21">
        <v>9</v>
      </c>
      <c r="K96" s="21">
        <v>2025</v>
      </c>
      <c r="L96" s="23">
        <v>45924</v>
      </c>
    </row>
    <row r="97" spans="1:12">
      <c r="A97" s="20" t="s">
        <v>61</v>
      </c>
      <c r="B97" s="21" t="s">
        <v>14</v>
      </c>
      <c r="C97" s="21" t="s">
        <v>16</v>
      </c>
      <c r="D97" s="21">
        <v>3</v>
      </c>
      <c r="E97" s="22">
        <v>28000</v>
      </c>
      <c r="F97" s="22">
        <v>84000</v>
      </c>
      <c r="G97" s="21" t="s">
        <v>42</v>
      </c>
      <c r="H97" s="21" t="s">
        <v>39</v>
      </c>
      <c r="I97" s="21">
        <v>9</v>
      </c>
      <c r="J97" s="21">
        <v>9</v>
      </c>
      <c r="K97" s="21">
        <v>2025</v>
      </c>
      <c r="L97" s="23">
        <v>45909</v>
      </c>
    </row>
    <row r="98" spans="1:12">
      <c r="A98" s="20" t="s">
        <v>23</v>
      </c>
      <c r="B98" s="21" t="s">
        <v>14</v>
      </c>
      <c r="C98" s="21" t="s">
        <v>12</v>
      </c>
      <c r="D98" s="21">
        <v>4</v>
      </c>
      <c r="E98" s="22">
        <v>20000</v>
      </c>
      <c r="F98" s="22">
        <v>80000</v>
      </c>
      <c r="G98" s="21" t="s">
        <v>43</v>
      </c>
      <c r="H98" s="21" t="s">
        <v>44</v>
      </c>
      <c r="I98" s="21">
        <v>24</v>
      </c>
      <c r="J98" s="21">
        <v>9</v>
      </c>
      <c r="K98" s="21">
        <v>2025</v>
      </c>
      <c r="L98" s="23">
        <v>45924</v>
      </c>
    </row>
    <row r="99" spans="1:12">
      <c r="A99" s="20" t="s">
        <v>51</v>
      </c>
      <c r="B99" s="21" t="s">
        <v>14</v>
      </c>
      <c r="C99" s="21" t="s">
        <v>8</v>
      </c>
      <c r="D99" s="21">
        <v>2</v>
      </c>
      <c r="E99" s="22">
        <v>25000</v>
      </c>
      <c r="F99" s="22">
        <v>50000</v>
      </c>
      <c r="G99" s="21" t="s">
        <v>38</v>
      </c>
      <c r="H99" s="21" t="s">
        <v>39</v>
      </c>
      <c r="I99" s="21">
        <v>2</v>
      </c>
      <c r="J99" s="21">
        <v>9</v>
      </c>
      <c r="K99" s="21">
        <v>2025</v>
      </c>
      <c r="L99" s="23">
        <v>45902</v>
      </c>
    </row>
    <row r="100" spans="1:12">
      <c r="A100" s="20" t="s">
        <v>51</v>
      </c>
      <c r="B100" s="21" t="s">
        <v>14</v>
      </c>
      <c r="C100" s="21" t="s">
        <v>15</v>
      </c>
      <c r="D100" s="21">
        <v>1</v>
      </c>
      <c r="E100" s="22">
        <v>28000</v>
      </c>
      <c r="F100" s="22">
        <v>28000</v>
      </c>
      <c r="G100" s="21" t="s">
        <v>40</v>
      </c>
      <c r="H100" s="21" t="s">
        <v>39</v>
      </c>
      <c r="I100" s="21">
        <v>2</v>
      </c>
      <c r="J100" s="21">
        <v>9</v>
      </c>
      <c r="K100" s="21">
        <v>2025</v>
      </c>
      <c r="L100" s="23">
        <v>45902</v>
      </c>
    </row>
    <row r="101" spans="1:12">
      <c r="A101" s="20" t="s">
        <v>32</v>
      </c>
      <c r="B101" s="21" t="s">
        <v>14</v>
      </c>
      <c r="C101" s="21" t="s">
        <v>13</v>
      </c>
      <c r="D101" s="21">
        <v>4</v>
      </c>
      <c r="E101" s="22">
        <v>28000</v>
      </c>
      <c r="F101" s="22">
        <v>112000</v>
      </c>
      <c r="G101" s="21" t="s">
        <v>41</v>
      </c>
      <c r="H101" s="21" t="s">
        <v>39</v>
      </c>
      <c r="I101" s="21">
        <v>28</v>
      </c>
      <c r="J101" s="21">
        <v>9</v>
      </c>
      <c r="K101" s="21">
        <v>2025</v>
      </c>
      <c r="L101" s="23">
        <v>45928</v>
      </c>
    </row>
    <row r="102" spans="1:12">
      <c r="A102" s="20" t="s">
        <v>29</v>
      </c>
      <c r="B102" s="21" t="s">
        <v>14</v>
      </c>
      <c r="C102" s="21" t="s">
        <v>16</v>
      </c>
      <c r="D102" s="21">
        <v>1</v>
      </c>
      <c r="E102" s="22">
        <v>35000</v>
      </c>
      <c r="F102" s="22">
        <v>35000</v>
      </c>
      <c r="G102" s="21" t="s">
        <v>42</v>
      </c>
      <c r="H102" s="21" t="s">
        <v>39</v>
      </c>
      <c r="I102" s="21">
        <v>22</v>
      </c>
      <c r="J102" s="21">
        <v>9</v>
      </c>
      <c r="K102" s="21">
        <v>2025</v>
      </c>
      <c r="L102" s="23">
        <v>45922</v>
      </c>
    </row>
    <row r="103" spans="1:12">
      <c r="A103" s="20" t="s">
        <v>61</v>
      </c>
      <c r="B103" s="21" t="s">
        <v>14</v>
      </c>
      <c r="C103" s="21" t="s">
        <v>12</v>
      </c>
      <c r="D103" s="21">
        <v>1</v>
      </c>
      <c r="E103" s="22">
        <v>25000</v>
      </c>
      <c r="F103" s="22">
        <v>25000</v>
      </c>
      <c r="G103" s="21" t="s">
        <v>43</v>
      </c>
      <c r="H103" s="21" t="s">
        <v>44</v>
      </c>
      <c r="I103" s="21">
        <v>9</v>
      </c>
      <c r="J103" s="21">
        <v>9</v>
      </c>
      <c r="K103" s="21">
        <v>2025</v>
      </c>
      <c r="L103" s="23">
        <v>45909</v>
      </c>
    </row>
    <row r="104" spans="1:12">
      <c r="A104" s="20" t="s">
        <v>30</v>
      </c>
      <c r="B104" s="21" t="s">
        <v>14</v>
      </c>
      <c r="C104" s="21" t="s">
        <v>8</v>
      </c>
      <c r="D104" s="21">
        <v>4</v>
      </c>
      <c r="E104" s="22">
        <v>30000</v>
      </c>
      <c r="F104" s="22">
        <v>120000</v>
      </c>
      <c r="G104" s="21" t="s">
        <v>38</v>
      </c>
      <c r="H104" s="21" t="s">
        <v>39</v>
      </c>
      <c r="I104" s="21">
        <v>25</v>
      </c>
      <c r="J104" s="21">
        <v>9</v>
      </c>
      <c r="K104" s="21">
        <v>2025</v>
      </c>
      <c r="L104" s="23">
        <v>45925</v>
      </c>
    </row>
    <row r="105" spans="1:12">
      <c r="A105" s="20" t="s">
        <v>28</v>
      </c>
      <c r="B105" s="21" t="s">
        <v>14</v>
      </c>
      <c r="C105" s="21" t="s">
        <v>15</v>
      </c>
      <c r="D105" s="21">
        <v>3</v>
      </c>
      <c r="E105" s="22">
        <v>25000</v>
      </c>
      <c r="F105" s="22">
        <v>75000</v>
      </c>
      <c r="G105" s="21" t="s">
        <v>40</v>
      </c>
      <c r="H105" s="21" t="s">
        <v>39</v>
      </c>
      <c r="I105" s="21">
        <v>30</v>
      </c>
      <c r="J105" s="21">
        <v>9</v>
      </c>
      <c r="K105" s="21">
        <v>2025</v>
      </c>
      <c r="L105" s="23">
        <v>45930</v>
      </c>
    </row>
    <row r="106" spans="1:12">
      <c r="A106" s="20" t="s">
        <v>18</v>
      </c>
      <c r="B106" s="21" t="s">
        <v>14</v>
      </c>
      <c r="C106" s="21" t="s">
        <v>13</v>
      </c>
      <c r="D106" s="21">
        <v>1</v>
      </c>
      <c r="E106" s="22">
        <v>25000</v>
      </c>
      <c r="F106" s="22">
        <v>25000</v>
      </c>
      <c r="G106" s="21" t="s">
        <v>41</v>
      </c>
      <c r="H106" s="21" t="s">
        <v>39</v>
      </c>
      <c r="I106" s="21">
        <v>29</v>
      </c>
      <c r="J106" s="21">
        <v>9</v>
      </c>
      <c r="K106" s="21">
        <v>2025</v>
      </c>
      <c r="L106" s="23">
        <v>45929</v>
      </c>
    </row>
    <row r="107" spans="1:12">
      <c r="A107" s="20" t="s">
        <v>20</v>
      </c>
      <c r="B107" s="21" t="s">
        <v>14</v>
      </c>
      <c r="C107" s="21" t="s">
        <v>16</v>
      </c>
      <c r="D107" s="21">
        <v>5</v>
      </c>
      <c r="E107" s="22">
        <v>35000</v>
      </c>
      <c r="F107" s="22">
        <v>175000</v>
      </c>
      <c r="G107" s="21" t="s">
        <v>42</v>
      </c>
      <c r="H107" s="21" t="s">
        <v>39</v>
      </c>
      <c r="I107" s="21">
        <v>26</v>
      </c>
      <c r="J107" s="21">
        <v>9</v>
      </c>
      <c r="K107" s="21">
        <v>2025</v>
      </c>
      <c r="L107" s="23">
        <v>45926</v>
      </c>
    </row>
    <row r="108" spans="1:12">
      <c r="A108" s="20" t="s">
        <v>61</v>
      </c>
      <c r="B108" s="21" t="s">
        <v>14</v>
      </c>
      <c r="C108" s="21" t="s">
        <v>12</v>
      </c>
      <c r="D108" s="21">
        <v>4</v>
      </c>
      <c r="E108" s="22">
        <v>25000</v>
      </c>
      <c r="F108" s="22">
        <v>100000</v>
      </c>
      <c r="G108" s="21" t="s">
        <v>43</v>
      </c>
      <c r="H108" s="21" t="s">
        <v>44</v>
      </c>
      <c r="I108" s="21">
        <v>9</v>
      </c>
      <c r="J108" s="21">
        <v>9</v>
      </c>
      <c r="K108" s="21">
        <v>2025</v>
      </c>
      <c r="L108" s="23">
        <v>45909</v>
      </c>
    </row>
    <row r="109" spans="1:12">
      <c r="A109" s="20" t="s">
        <v>19</v>
      </c>
      <c r="B109" s="21" t="s">
        <v>14</v>
      </c>
      <c r="C109" s="21" t="s">
        <v>8</v>
      </c>
      <c r="D109" s="21">
        <v>3</v>
      </c>
      <c r="E109" s="22">
        <v>30000</v>
      </c>
      <c r="F109" s="22">
        <v>90000</v>
      </c>
      <c r="G109" s="21" t="s">
        <v>38</v>
      </c>
      <c r="H109" s="21" t="s">
        <v>39</v>
      </c>
      <c r="I109" s="21">
        <v>27</v>
      </c>
      <c r="J109" s="21">
        <v>9</v>
      </c>
      <c r="K109" s="21">
        <v>2025</v>
      </c>
      <c r="L109" s="23">
        <v>45927</v>
      </c>
    </row>
    <row r="110" spans="1:12">
      <c r="A110" s="20" t="s">
        <v>60</v>
      </c>
      <c r="B110" s="21" t="s">
        <v>14</v>
      </c>
      <c r="C110" s="21" t="s">
        <v>15</v>
      </c>
      <c r="D110" s="21">
        <v>1</v>
      </c>
      <c r="E110" s="22">
        <v>25000</v>
      </c>
      <c r="F110" s="22">
        <v>25000</v>
      </c>
      <c r="G110" s="21" t="s">
        <v>40</v>
      </c>
      <c r="H110" s="21" t="s">
        <v>39</v>
      </c>
      <c r="I110" s="21">
        <v>4</v>
      </c>
      <c r="J110" s="21">
        <v>9</v>
      </c>
      <c r="K110" s="21">
        <v>2025</v>
      </c>
      <c r="L110" s="23">
        <v>45904</v>
      </c>
    </row>
    <row r="111" spans="1:12">
      <c r="A111" s="20" t="s">
        <v>10</v>
      </c>
      <c r="B111" s="21" t="s">
        <v>14</v>
      </c>
      <c r="C111" s="21" t="s">
        <v>13</v>
      </c>
      <c r="D111" s="21">
        <v>1</v>
      </c>
      <c r="E111" s="22">
        <v>28000</v>
      </c>
      <c r="F111" s="22">
        <v>28000</v>
      </c>
      <c r="G111" s="21" t="s">
        <v>41</v>
      </c>
      <c r="H111" s="21" t="s">
        <v>39</v>
      </c>
      <c r="I111" s="21">
        <v>20</v>
      </c>
      <c r="J111" s="21">
        <v>9</v>
      </c>
      <c r="K111" s="21">
        <v>2025</v>
      </c>
      <c r="L111" s="23">
        <v>45920</v>
      </c>
    </row>
    <row r="112" spans="1:12">
      <c r="A112" s="20" t="s">
        <v>32</v>
      </c>
      <c r="B112" s="21" t="s">
        <v>14</v>
      </c>
      <c r="C112" s="21" t="s">
        <v>16</v>
      </c>
      <c r="D112" s="21">
        <v>2</v>
      </c>
      <c r="E112" s="22">
        <v>25000</v>
      </c>
      <c r="F112" s="22">
        <v>50000</v>
      </c>
      <c r="G112" s="21" t="s">
        <v>42</v>
      </c>
      <c r="H112" s="21" t="s">
        <v>39</v>
      </c>
      <c r="I112" s="21">
        <v>28</v>
      </c>
      <c r="J112" s="21">
        <v>9</v>
      </c>
      <c r="K112" s="21">
        <v>2025</v>
      </c>
      <c r="L112" s="23">
        <v>45928</v>
      </c>
    </row>
    <row r="113" spans="1:12">
      <c r="A113" s="20" t="s">
        <v>29</v>
      </c>
      <c r="B113" s="21" t="s">
        <v>14</v>
      </c>
      <c r="C113" s="21" t="s">
        <v>12</v>
      </c>
      <c r="D113" s="21">
        <v>3</v>
      </c>
      <c r="E113" s="22">
        <v>25000</v>
      </c>
      <c r="F113" s="22">
        <v>75000</v>
      </c>
      <c r="G113" s="21" t="s">
        <v>43</v>
      </c>
      <c r="H113" s="21" t="s">
        <v>44</v>
      </c>
      <c r="I113" s="21">
        <v>22</v>
      </c>
      <c r="J113" s="21">
        <v>9</v>
      </c>
      <c r="K113" s="21">
        <v>2025</v>
      </c>
      <c r="L113" s="23">
        <v>45922</v>
      </c>
    </row>
    <row r="114" spans="1:12">
      <c r="A114" s="20" t="s">
        <v>6</v>
      </c>
      <c r="B114" s="21" t="s">
        <v>14</v>
      </c>
      <c r="C114" s="21" t="s">
        <v>8</v>
      </c>
      <c r="D114" s="21">
        <v>5</v>
      </c>
      <c r="E114" s="22">
        <v>20000</v>
      </c>
      <c r="F114" s="22">
        <v>100000</v>
      </c>
      <c r="G114" s="21" t="s">
        <v>38</v>
      </c>
      <c r="H114" s="21" t="s">
        <v>39</v>
      </c>
      <c r="I114" s="21">
        <v>17</v>
      </c>
      <c r="J114" s="21">
        <v>9</v>
      </c>
      <c r="K114" s="21">
        <v>2025</v>
      </c>
      <c r="L114" s="23">
        <v>45917</v>
      </c>
    </row>
    <row r="115" spans="1:12">
      <c r="A115" s="20" t="s">
        <v>53</v>
      </c>
      <c r="B115" s="21" t="s">
        <v>14</v>
      </c>
      <c r="C115" s="21" t="s">
        <v>15</v>
      </c>
      <c r="D115" s="21">
        <v>4</v>
      </c>
      <c r="E115" s="22">
        <v>30000</v>
      </c>
      <c r="F115" s="22">
        <v>120000</v>
      </c>
      <c r="G115" s="21" t="s">
        <v>40</v>
      </c>
      <c r="H115" s="21" t="s">
        <v>39</v>
      </c>
      <c r="I115" s="21">
        <v>7</v>
      </c>
      <c r="J115" s="21">
        <v>9</v>
      </c>
      <c r="K115" s="21">
        <v>2025</v>
      </c>
      <c r="L115" s="23">
        <v>45907</v>
      </c>
    </row>
    <row r="116" spans="1:12">
      <c r="A116" s="20" t="s">
        <v>50</v>
      </c>
      <c r="B116" s="21" t="s">
        <v>14</v>
      </c>
      <c r="C116" s="21" t="s">
        <v>13</v>
      </c>
      <c r="D116" s="21">
        <v>1</v>
      </c>
      <c r="E116" s="22">
        <v>20000</v>
      </c>
      <c r="F116" s="22">
        <v>20000</v>
      </c>
      <c r="G116" s="21" t="s">
        <v>41</v>
      </c>
      <c r="H116" s="21" t="s">
        <v>39</v>
      </c>
      <c r="I116" s="21">
        <v>11</v>
      </c>
      <c r="J116" s="21">
        <v>9</v>
      </c>
      <c r="K116" s="21">
        <v>2025</v>
      </c>
      <c r="L116" s="23">
        <v>45911</v>
      </c>
    </row>
    <row r="117" spans="1:12">
      <c r="A117" s="20" t="s">
        <v>52</v>
      </c>
      <c r="B117" s="21" t="s">
        <v>14</v>
      </c>
      <c r="C117" s="21" t="s">
        <v>16</v>
      </c>
      <c r="D117" s="21">
        <v>1</v>
      </c>
      <c r="E117" s="22">
        <v>35000</v>
      </c>
      <c r="F117" s="22">
        <v>35000</v>
      </c>
      <c r="G117" s="21" t="s">
        <v>42</v>
      </c>
      <c r="H117" s="21" t="s">
        <v>39</v>
      </c>
      <c r="I117" s="21">
        <v>1</v>
      </c>
      <c r="J117" s="21">
        <v>9</v>
      </c>
      <c r="K117" s="21">
        <v>2025</v>
      </c>
      <c r="L117" s="23">
        <v>45901</v>
      </c>
    </row>
    <row r="118" spans="1:12">
      <c r="A118" s="20" t="s">
        <v>55</v>
      </c>
      <c r="B118" s="21" t="s">
        <v>14</v>
      </c>
      <c r="C118" s="21" t="s">
        <v>12</v>
      </c>
      <c r="D118" s="21">
        <v>3</v>
      </c>
      <c r="E118" s="22">
        <v>25000</v>
      </c>
      <c r="F118" s="22">
        <v>75000</v>
      </c>
      <c r="G118" s="21" t="s">
        <v>43</v>
      </c>
      <c r="H118" s="21" t="s">
        <v>44</v>
      </c>
      <c r="I118" s="21">
        <v>10</v>
      </c>
      <c r="J118" s="21">
        <v>9</v>
      </c>
      <c r="K118" s="21">
        <v>2025</v>
      </c>
      <c r="L118" s="23">
        <v>45910</v>
      </c>
    </row>
    <row r="119" spans="1:12">
      <c r="A119" s="20" t="s">
        <v>27</v>
      </c>
      <c r="B119" s="21" t="s">
        <v>14</v>
      </c>
      <c r="C119" s="21" t="s">
        <v>8</v>
      </c>
      <c r="D119" s="21">
        <v>2</v>
      </c>
      <c r="E119" s="22">
        <v>20000</v>
      </c>
      <c r="F119" s="22">
        <v>40000</v>
      </c>
      <c r="G119" s="21" t="s">
        <v>38</v>
      </c>
      <c r="H119" s="21" t="s">
        <v>39</v>
      </c>
      <c r="I119" s="21">
        <v>15</v>
      </c>
      <c r="J119" s="21">
        <v>9</v>
      </c>
      <c r="K119" s="21">
        <v>2025</v>
      </c>
      <c r="L119" s="23">
        <v>45915</v>
      </c>
    </row>
    <row r="120" spans="1:12">
      <c r="A120" s="20" t="s">
        <v>29</v>
      </c>
      <c r="B120" s="21" t="s">
        <v>14</v>
      </c>
      <c r="C120" s="21" t="s">
        <v>15</v>
      </c>
      <c r="D120" s="21">
        <v>3</v>
      </c>
      <c r="E120" s="22">
        <v>30000</v>
      </c>
      <c r="F120" s="22">
        <v>90000</v>
      </c>
      <c r="G120" s="21" t="s">
        <v>40</v>
      </c>
      <c r="H120" s="21" t="s">
        <v>39</v>
      </c>
      <c r="I120" s="21">
        <v>22</v>
      </c>
      <c r="J120" s="21">
        <v>9</v>
      </c>
      <c r="K120" s="21">
        <v>2025</v>
      </c>
      <c r="L120" s="23">
        <v>45922</v>
      </c>
    </row>
    <row r="121" spans="1:12">
      <c r="A121" s="20" t="s">
        <v>18</v>
      </c>
      <c r="B121" s="21" t="s">
        <v>14</v>
      </c>
      <c r="C121" s="21" t="s">
        <v>13</v>
      </c>
      <c r="D121" s="21">
        <v>1</v>
      </c>
      <c r="E121" s="22">
        <v>30000</v>
      </c>
      <c r="F121" s="22">
        <v>30000</v>
      </c>
      <c r="G121" s="21" t="s">
        <v>41</v>
      </c>
      <c r="H121" s="21" t="s">
        <v>39</v>
      </c>
      <c r="I121" s="21">
        <v>29</v>
      </c>
      <c r="J121" s="21">
        <v>9</v>
      </c>
      <c r="K121" s="21">
        <v>2025</v>
      </c>
      <c r="L121" s="23">
        <v>45929</v>
      </c>
    </row>
    <row r="122" spans="1:12">
      <c r="A122" s="20" t="s">
        <v>50</v>
      </c>
      <c r="B122" s="21" t="s">
        <v>7</v>
      </c>
      <c r="C122" s="21" t="s">
        <v>8</v>
      </c>
      <c r="D122" s="21">
        <v>1</v>
      </c>
      <c r="E122" s="22">
        <v>30000</v>
      </c>
      <c r="F122" s="22">
        <v>30000</v>
      </c>
      <c r="G122" s="21" t="s">
        <v>38</v>
      </c>
      <c r="H122" s="21" t="s">
        <v>39</v>
      </c>
      <c r="I122" s="21">
        <v>11</v>
      </c>
      <c r="J122" s="21">
        <v>9</v>
      </c>
      <c r="K122" s="21">
        <v>2025</v>
      </c>
      <c r="L122" s="23">
        <v>45911</v>
      </c>
    </row>
    <row r="123" spans="1:12">
      <c r="A123" s="20" t="s">
        <v>10</v>
      </c>
      <c r="B123" s="21" t="s">
        <v>7</v>
      </c>
      <c r="C123" s="21" t="s">
        <v>15</v>
      </c>
      <c r="D123" s="21">
        <v>4</v>
      </c>
      <c r="E123" s="22">
        <v>30000</v>
      </c>
      <c r="F123" s="22">
        <v>120000</v>
      </c>
      <c r="G123" s="21" t="s">
        <v>40</v>
      </c>
      <c r="H123" s="21" t="s">
        <v>39</v>
      </c>
      <c r="I123" s="21">
        <v>20</v>
      </c>
      <c r="J123" s="21">
        <v>9</v>
      </c>
      <c r="K123" s="21">
        <v>2025</v>
      </c>
      <c r="L123" s="23">
        <v>45920</v>
      </c>
    </row>
    <row r="124" spans="1:12">
      <c r="A124" s="20" t="s">
        <v>58</v>
      </c>
      <c r="B124" s="21" t="s">
        <v>7</v>
      </c>
      <c r="C124" s="21" t="s">
        <v>13</v>
      </c>
      <c r="D124" s="21">
        <v>1</v>
      </c>
      <c r="E124" s="22">
        <v>20000</v>
      </c>
      <c r="F124" s="22">
        <v>20000</v>
      </c>
      <c r="G124" s="21" t="s">
        <v>41</v>
      </c>
      <c r="H124" s="21" t="s">
        <v>39</v>
      </c>
      <c r="I124" s="21">
        <v>5</v>
      </c>
      <c r="J124" s="21">
        <v>9</v>
      </c>
      <c r="K124" s="21">
        <v>2025</v>
      </c>
      <c r="L124" s="23">
        <v>45905</v>
      </c>
    </row>
    <row r="125" spans="1:12">
      <c r="A125" s="20" t="s">
        <v>17</v>
      </c>
      <c r="B125" s="21" t="s">
        <v>7</v>
      </c>
      <c r="C125" s="21" t="s">
        <v>16</v>
      </c>
      <c r="D125" s="21">
        <v>1</v>
      </c>
      <c r="E125" s="22">
        <v>20000</v>
      </c>
      <c r="F125" s="22">
        <v>20000</v>
      </c>
      <c r="G125" s="21" t="s">
        <v>42</v>
      </c>
      <c r="H125" s="21" t="s">
        <v>39</v>
      </c>
      <c r="I125" s="21">
        <v>14</v>
      </c>
      <c r="J125" s="21">
        <v>9</v>
      </c>
      <c r="K125" s="21">
        <v>2025</v>
      </c>
      <c r="L125" s="23">
        <v>45914</v>
      </c>
    </row>
    <row r="126" spans="1:12">
      <c r="A126" s="20" t="s">
        <v>10</v>
      </c>
      <c r="B126" s="21" t="s">
        <v>7</v>
      </c>
      <c r="C126" s="21" t="s">
        <v>12</v>
      </c>
      <c r="D126" s="21">
        <v>4</v>
      </c>
      <c r="E126" s="22">
        <v>30000</v>
      </c>
      <c r="F126" s="22">
        <v>120000</v>
      </c>
      <c r="G126" s="21" t="s">
        <v>43</v>
      </c>
      <c r="H126" s="21" t="s">
        <v>44</v>
      </c>
      <c r="I126" s="21">
        <v>20</v>
      </c>
      <c r="J126" s="21">
        <v>9</v>
      </c>
      <c r="K126" s="21">
        <v>2025</v>
      </c>
      <c r="L126" s="23">
        <v>45920</v>
      </c>
    </row>
    <row r="127" spans="1:12">
      <c r="A127" s="20" t="s">
        <v>19</v>
      </c>
      <c r="B127" s="21" t="s">
        <v>7</v>
      </c>
      <c r="C127" s="21" t="s">
        <v>12</v>
      </c>
      <c r="D127" s="21">
        <v>1</v>
      </c>
      <c r="E127" s="22">
        <v>25000</v>
      </c>
      <c r="F127" s="22">
        <v>25000</v>
      </c>
      <c r="G127" s="21" t="s">
        <v>43</v>
      </c>
      <c r="H127" s="21" t="s">
        <v>44</v>
      </c>
      <c r="I127" s="21">
        <v>27</v>
      </c>
      <c r="J127" s="21">
        <v>9</v>
      </c>
      <c r="K127" s="21">
        <v>2025</v>
      </c>
      <c r="L127" s="23">
        <v>45927</v>
      </c>
    </row>
    <row r="128" spans="1:12">
      <c r="A128" s="20" t="s">
        <v>19</v>
      </c>
      <c r="B128" s="21" t="s">
        <v>7</v>
      </c>
      <c r="C128" s="21" t="s">
        <v>16</v>
      </c>
      <c r="D128" s="21">
        <v>5</v>
      </c>
      <c r="E128" s="22">
        <v>25000</v>
      </c>
      <c r="F128" s="22">
        <v>125000</v>
      </c>
      <c r="G128" s="21" t="s">
        <v>42</v>
      </c>
      <c r="H128" s="21" t="s">
        <v>39</v>
      </c>
      <c r="I128" s="21">
        <v>27</v>
      </c>
      <c r="J128" s="21">
        <v>9</v>
      </c>
      <c r="K128" s="21">
        <v>2025</v>
      </c>
      <c r="L128" s="23">
        <v>45927</v>
      </c>
    </row>
    <row r="129" spans="1:12">
      <c r="A129" s="20" t="s">
        <v>20</v>
      </c>
      <c r="B129" s="21" t="s">
        <v>7</v>
      </c>
      <c r="C129" s="21" t="s">
        <v>13</v>
      </c>
      <c r="D129" s="21">
        <v>1</v>
      </c>
      <c r="E129" s="22">
        <v>30000</v>
      </c>
      <c r="F129" s="22">
        <v>30000</v>
      </c>
      <c r="G129" s="21" t="s">
        <v>41</v>
      </c>
      <c r="H129" s="21" t="s">
        <v>39</v>
      </c>
      <c r="I129" s="21">
        <v>26</v>
      </c>
      <c r="J129" s="21">
        <v>9</v>
      </c>
      <c r="K129" s="21">
        <v>2025</v>
      </c>
      <c r="L129" s="23">
        <v>45926</v>
      </c>
    </row>
    <row r="130" spans="1:12">
      <c r="A130" s="20" t="s">
        <v>55</v>
      </c>
      <c r="B130" s="21" t="s">
        <v>7</v>
      </c>
      <c r="C130" s="21" t="s">
        <v>15</v>
      </c>
      <c r="D130" s="21">
        <v>2</v>
      </c>
      <c r="E130" s="22">
        <v>30000</v>
      </c>
      <c r="F130" s="22">
        <v>60000</v>
      </c>
      <c r="G130" s="21" t="s">
        <v>40</v>
      </c>
      <c r="H130" s="21" t="s">
        <v>39</v>
      </c>
      <c r="I130" s="21">
        <v>10</v>
      </c>
      <c r="J130" s="21">
        <v>9</v>
      </c>
      <c r="K130" s="21">
        <v>2025</v>
      </c>
      <c r="L130" s="23">
        <v>45910</v>
      </c>
    </row>
    <row r="131" spans="1:12">
      <c r="A131" s="20" t="s">
        <v>6</v>
      </c>
      <c r="B131" s="21" t="s">
        <v>7</v>
      </c>
      <c r="C131" s="21" t="s">
        <v>8</v>
      </c>
      <c r="D131" s="21">
        <v>4</v>
      </c>
      <c r="E131" s="22">
        <v>20000</v>
      </c>
      <c r="F131" s="22">
        <v>80000</v>
      </c>
      <c r="G131" s="21" t="s">
        <v>38</v>
      </c>
      <c r="H131" s="21" t="s">
        <v>39</v>
      </c>
      <c r="I131" s="21">
        <v>17</v>
      </c>
      <c r="J131" s="21">
        <v>9</v>
      </c>
      <c r="K131" s="21">
        <v>2025</v>
      </c>
      <c r="L131" s="23">
        <v>45917</v>
      </c>
    </row>
    <row r="132" spans="1:12">
      <c r="A132" s="20" t="s">
        <v>25</v>
      </c>
      <c r="B132" s="21" t="s">
        <v>7</v>
      </c>
      <c r="C132" s="21" t="s">
        <v>8</v>
      </c>
      <c r="D132" s="21">
        <v>3</v>
      </c>
      <c r="E132" s="22">
        <v>25000</v>
      </c>
      <c r="F132" s="22">
        <v>75000</v>
      </c>
      <c r="G132" s="21" t="s">
        <v>38</v>
      </c>
      <c r="H132" s="21" t="s">
        <v>39</v>
      </c>
      <c r="I132" s="21">
        <v>18</v>
      </c>
      <c r="J132" s="21">
        <v>9</v>
      </c>
      <c r="K132" s="21">
        <v>2025</v>
      </c>
      <c r="L132" s="23">
        <v>45918</v>
      </c>
    </row>
    <row r="133" spans="1:12">
      <c r="A133" s="20" t="s">
        <v>22</v>
      </c>
      <c r="B133" s="21" t="s">
        <v>7</v>
      </c>
      <c r="C133" s="21" t="s">
        <v>15</v>
      </c>
      <c r="D133" s="21">
        <v>1</v>
      </c>
      <c r="E133" s="22">
        <v>25000</v>
      </c>
      <c r="F133" s="22">
        <v>25000</v>
      </c>
      <c r="G133" s="21" t="s">
        <v>40</v>
      </c>
      <c r="H133" s="21" t="s">
        <v>39</v>
      </c>
      <c r="I133" s="21">
        <v>16</v>
      </c>
      <c r="J133" s="21">
        <v>9</v>
      </c>
      <c r="K133" s="21">
        <v>2025</v>
      </c>
      <c r="L133" s="23">
        <v>45916</v>
      </c>
    </row>
    <row r="134" spans="1:12">
      <c r="A134" s="20" t="s">
        <v>52</v>
      </c>
      <c r="B134" s="21" t="s">
        <v>7</v>
      </c>
      <c r="C134" s="21" t="s">
        <v>13</v>
      </c>
      <c r="D134" s="21">
        <v>3</v>
      </c>
      <c r="E134" s="22">
        <v>30000</v>
      </c>
      <c r="F134" s="22">
        <v>90000</v>
      </c>
      <c r="G134" s="21" t="s">
        <v>41</v>
      </c>
      <c r="H134" s="21" t="s">
        <v>39</v>
      </c>
      <c r="I134" s="21">
        <v>1</v>
      </c>
      <c r="J134" s="21">
        <v>9</v>
      </c>
      <c r="K134" s="21">
        <v>2025</v>
      </c>
      <c r="L134" s="23">
        <v>45901</v>
      </c>
    </row>
    <row r="135" spans="1:12">
      <c r="A135" s="20" t="s">
        <v>60</v>
      </c>
      <c r="B135" s="21" t="s">
        <v>7</v>
      </c>
      <c r="C135" s="21" t="s">
        <v>16</v>
      </c>
      <c r="D135" s="21">
        <v>3</v>
      </c>
      <c r="E135" s="22">
        <v>28000</v>
      </c>
      <c r="F135" s="22">
        <v>84000</v>
      </c>
      <c r="G135" s="21" t="s">
        <v>42</v>
      </c>
      <c r="H135" s="21" t="s">
        <v>39</v>
      </c>
      <c r="I135" s="21">
        <v>4</v>
      </c>
      <c r="J135" s="21">
        <v>9</v>
      </c>
      <c r="K135" s="21">
        <v>2025</v>
      </c>
      <c r="L135" s="23">
        <v>45904</v>
      </c>
    </row>
    <row r="136" spans="1:12">
      <c r="A136" s="20" t="s">
        <v>28</v>
      </c>
      <c r="B136" s="21" t="s">
        <v>7</v>
      </c>
      <c r="C136" s="21" t="s">
        <v>12</v>
      </c>
      <c r="D136" s="21">
        <v>1</v>
      </c>
      <c r="E136" s="22">
        <v>35000</v>
      </c>
      <c r="F136" s="22">
        <v>35000</v>
      </c>
      <c r="G136" s="21" t="s">
        <v>43</v>
      </c>
      <c r="H136" s="21" t="s">
        <v>44</v>
      </c>
      <c r="I136" s="21">
        <v>30</v>
      </c>
      <c r="J136" s="21">
        <v>9</v>
      </c>
      <c r="K136" s="21">
        <v>2025</v>
      </c>
      <c r="L136" s="23">
        <v>45930</v>
      </c>
    </row>
    <row r="137" spans="1:12">
      <c r="A137" s="20" t="s">
        <v>22</v>
      </c>
      <c r="B137" s="21" t="s">
        <v>7</v>
      </c>
      <c r="C137" s="21" t="s">
        <v>12</v>
      </c>
      <c r="D137" s="21">
        <v>1</v>
      </c>
      <c r="E137" s="22">
        <v>28000</v>
      </c>
      <c r="F137" s="22">
        <v>28000</v>
      </c>
      <c r="G137" s="21" t="s">
        <v>43</v>
      </c>
      <c r="H137" s="21" t="s">
        <v>44</v>
      </c>
      <c r="I137" s="21">
        <v>16</v>
      </c>
      <c r="J137" s="21">
        <v>9</v>
      </c>
      <c r="K137" s="21">
        <v>2025</v>
      </c>
      <c r="L137" s="23">
        <v>45916</v>
      </c>
    </row>
    <row r="138" spans="1:12">
      <c r="A138" s="20" t="s">
        <v>18</v>
      </c>
      <c r="B138" s="21" t="s">
        <v>7</v>
      </c>
      <c r="C138" s="21" t="s">
        <v>16</v>
      </c>
      <c r="D138" s="21">
        <v>2</v>
      </c>
      <c r="E138" s="22">
        <v>35000</v>
      </c>
      <c r="F138" s="22">
        <v>70000</v>
      </c>
      <c r="G138" s="21" t="s">
        <v>42</v>
      </c>
      <c r="H138" s="21" t="s">
        <v>39</v>
      </c>
      <c r="I138" s="21">
        <v>29</v>
      </c>
      <c r="J138" s="21">
        <v>9</v>
      </c>
      <c r="K138" s="21">
        <v>2025</v>
      </c>
      <c r="L138" s="23">
        <v>45929</v>
      </c>
    </row>
    <row r="139" spans="1:12">
      <c r="A139" s="20" t="s">
        <v>10</v>
      </c>
      <c r="B139" s="21" t="s">
        <v>7</v>
      </c>
      <c r="C139" s="21" t="s">
        <v>13</v>
      </c>
      <c r="D139" s="21">
        <v>1</v>
      </c>
      <c r="E139" s="22">
        <v>35000</v>
      </c>
      <c r="F139" s="22">
        <v>35000</v>
      </c>
      <c r="G139" s="21" t="s">
        <v>41</v>
      </c>
      <c r="H139" s="21" t="s">
        <v>39</v>
      </c>
      <c r="I139" s="21">
        <v>20</v>
      </c>
      <c r="J139" s="21">
        <v>9</v>
      </c>
      <c r="K139" s="21">
        <v>2025</v>
      </c>
      <c r="L139" s="23">
        <v>45920</v>
      </c>
    </row>
    <row r="140" spans="1:12">
      <c r="A140" s="20" t="s">
        <v>60</v>
      </c>
      <c r="B140" s="21" t="s">
        <v>7</v>
      </c>
      <c r="C140" s="21" t="s">
        <v>15</v>
      </c>
      <c r="D140" s="21">
        <v>5</v>
      </c>
      <c r="E140" s="22">
        <v>30000</v>
      </c>
      <c r="F140" s="22">
        <v>150000</v>
      </c>
      <c r="G140" s="21" t="s">
        <v>40</v>
      </c>
      <c r="H140" s="21" t="s">
        <v>39</v>
      </c>
      <c r="I140" s="21">
        <v>4</v>
      </c>
      <c r="J140" s="21">
        <v>9</v>
      </c>
      <c r="K140" s="21">
        <v>2025</v>
      </c>
      <c r="L140" s="23">
        <v>45904</v>
      </c>
    </row>
    <row r="141" spans="1:12">
      <c r="A141" s="20" t="s">
        <v>19</v>
      </c>
      <c r="B141" s="21" t="s">
        <v>7</v>
      </c>
      <c r="C141" s="21" t="s">
        <v>8</v>
      </c>
      <c r="D141" s="21">
        <v>3</v>
      </c>
      <c r="E141" s="22">
        <v>35000</v>
      </c>
      <c r="F141" s="22">
        <v>105000</v>
      </c>
      <c r="G141" s="21" t="s">
        <v>38</v>
      </c>
      <c r="H141" s="21" t="s">
        <v>39</v>
      </c>
      <c r="I141" s="21">
        <v>27</v>
      </c>
      <c r="J141" s="21">
        <v>9</v>
      </c>
      <c r="K141" s="21">
        <v>2025</v>
      </c>
      <c r="L141" s="23">
        <v>45927</v>
      </c>
    </row>
    <row r="142" spans="1:12">
      <c r="A142" s="20" t="s">
        <v>24</v>
      </c>
      <c r="B142" s="21" t="s">
        <v>7</v>
      </c>
      <c r="C142" s="21" t="s">
        <v>8</v>
      </c>
      <c r="D142" s="21">
        <v>5</v>
      </c>
      <c r="E142" s="22">
        <v>30000</v>
      </c>
      <c r="F142" s="22">
        <v>150000</v>
      </c>
      <c r="G142" s="21" t="s">
        <v>38</v>
      </c>
      <c r="H142" s="21" t="s">
        <v>39</v>
      </c>
      <c r="I142" s="21">
        <v>13</v>
      </c>
      <c r="J142" s="21">
        <v>9</v>
      </c>
      <c r="K142" s="21">
        <v>2025</v>
      </c>
      <c r="L142" s="23">
        <v>45913</v>
      </c>
    </row>
    <row r="143" spans="1:12">
      <c r="A143" s="20" t="s">
        <v>24</v>
      </c>
      <c r="B143" s="21" t="s">
        <v>7</v>
      </c>
      <c r="C143" s="21" t="s">
        <v>15</v>
      </c>
      <c r="D143" s="21">
        <v>1</v>
      </c>
      <c r="E143" s="22">
        <v>28000</v>
      </c>
      <c r="F143" s="22">
        <v>28000</v>
      </c>
      <c r="G143" s="21" t="s">
        <v>40</v>
      </c>
      <c r="H143" s="21" t="s">
        <v>39</v>
      </c>
      <c r="I143" s="21">
        <v>13</v>
      </c>
      <c r="J143" s="21">
        <v>9</v>
      </c>
      <c r="K143" s="21">
        <v>2025</v>
      </c>
      <c r="L143" s="23">
        <v>45913</v>
      </c>
    </row>
    <row r="144" spans="1:12">
      <c r="A144" s="20" t="s">
        <v>19</v>
      </c>
      <c r="B144" s="21" t="s">
        <v>7</v>
      </c>
      <c r="C144" s="21" t="s">
        <v>13</v>
      </c>
      <c r="D144" s="21">
        <v>1</v>
      </c>
      <c r="E144" s="22">
        <v>28000</v>
      </c>
      <c r="F144" s="22">
        <v>28000</v>
      </c>
      <c r="G144" s="21" t="s">
        <v>41</v>
      </c>
      <c r="H144" s="21" t="s">
        <v>39</v>
      </c>
      <c r="I144" s="21">
        <v>27</v>
      </c>
      <c r="J144" s="21">
        <v>9</v>
      </c>
      <c r="K144" s="21">
        <v>2025</v>
      </c>
      <c r="L144" s="23">
        <v>45927</v>
      </c>
    </row>
    <row r="145" spans="1:12">
      <c r="A145" s="20" t="s">
        <v>20</v>
      </c>
      <c r="B145" s="21" t="s">
        <v>7</v>
      </c>
      <c r="C145" s="21" t="s">
        <v>16</v>
      </c>
      <c r="D145" s="21">
        <v>1</v>
      </c>
      <c r="E145" s="22">
        <v>25000</v>
      </c>
      <c r="F145" s="22">
        <v>25000</v>
      </c>
      <c r="G145" s="21" t="s">
        <v>42</v>
      </c>
      <c r="H145" s="21" t="s">
        <v>39</v>
      </c>
      <c r="I145" s="21">
        <v>26</v>
      </c>
      <c r="J145" s="21">
        <v>9</v>
      </c>
      <c r="K145" s="21">
        <v>2025</v>
      </c>
      <c r="L145" s="23">
        <v>45926</v>
      </c>
    </row>
    <row r="146" spans="1:12">
      <c r="A146" s="20" t="s">
        <v>21</v>
      </c>
      <c r="B146" s="21" t="s">
        <v>7</v>
      </c>
      <c r="C146" s="21" t="s">
        <v>12</v>
      </c>
      <c r="D146" s="21">
        <v>1</v>
      </c>
      <c r="E146" s="22">
        <v>20000</v>
      </c>
      <c r="F146" s="22">
        <v>20000</v>
      </c>
      <c r="G146" s="21" t="s">
        <v>43</v>
      </c>
      <c r="H146" s="21" t="s">
        <v>44</v>
      </c>
      <c r="I146" s="21">
        <v>19</v>
      </c>
      <c r="J146" s="21">
        <v>9</v>
      </c>
      <c r="K146" s="21">
        <v>2025</v>
      </c>
      <c r="L146" s="23">
        <v>45919</v>
      </c>
    </row>
    <row r="147" spans="1:12">
      <c r="A147" s="20" t="s">
        <v>55</v>
      </c>
      <c r="B147" s="21" t="s">
        <v>7</v>
      </c>
      <c r="C147" s="21" t="s">
        <v>12</v>
      </c>
      <c r="D147" s="21">
        <v>3</v>
      </c>
      <c r="E147" s="22">
        <v>35000</v>
      </c>
      <c r="F147" s="22">
        <v>105000</v>
      </c>
      <c r="G147" s="21" t="s">
        <v>43</v>
      </c>
      <c r="H147" s="21" t="s">
        <v>44</v>
      </c>
      <c r="I147" s="21">
        <v>10</v>
      </c>
      <c r="J147" s="21">
        <v>9</v>
      </c>
      <c r="K147" s="21">
        <v>2025</v>
      </c>
      <c r="L147" s="23">
        <v>45910</v>
      </c>
    </row>
    <row r="148" spans="1:12">
      <c r="A148" s="20" t="s">
        <v>25</v>
      </c>
      <c r="B148" s="21" t="s">
        <v>7</v>
      </c>
      <c r="C148" s="21" t="s">
        <v>16</v>
      </c>
      <c r="D148" s="21">
        <v>2</v>
      </c>
      <c r="E148" s="22">
        <v>28000</v>
      </c>
      <c r="F148" s="22">
        <v>56000</v>
      </c>
      <c r="G148" s="21" t="s">
        <v>42</v>
      </c>
      <c r="H148" s="21" t="s">
        <v>39</v>
      </c>
      <c r="I148" s="21">
        <v>18</v>
      </c>
      <c r="J148" s="21">
        <v>9</v>
      </c>
      <c r="K148" s="21">
        <v>2025</v>
      </c>
      <c r="L148" s="23">
        <v>45918</v>
      </c>
    </row>
    <row r="149" spans="1:12">
      <c r="A149" s="20" t="s">
        <v>21</v>
      </c>
      <c r="B149" s="21" t="s">
        <v>7</v>
      </c>
      <c r="C149" s="21" t="s">
        <v>13</v>
      </c>
      <c r="D149" s="21">
        <v>2</v>
      </c>
      <c r="E149" s="22">
        <v>35000</v>
      </c>
      <c r="F149" s="22">
        <v>70000</v>
      </c>
      <c r="G149" s="21" t="s">
        <v>41</v>
      </c>
      <c r="H149" s="21" t="s">
        <v>39</v>
      </c>
      <c r="I149" s="21">
        <v>19</v>
      </c>
      <c r="J149" s="21">
        <v>9</v>
      </c>
      <c r="K149" s="21">
        <v>2025</v>
      </c>
      <c r="L149" s="23">
        <v>45919</v>
      </c>
    </row>
    <row r="150" spans="1:12">
      <c r="A150" s="20" t="s">
        <v>54</v>
      </c>
      <c r="B150" s="21" t="s">
        <v>7</v>
      </c>
      <c r="C150" s="21" t="s">
        <v>15</v>
      </c>
      <c r="D150" s="21">
        <v>4</v>
      </c>
      <c r="E150" s="22">
        <v>25000</v>
      </c>
      <c r="F150" s="22">
        <v>100000</v>
      </c>
      <c r="G150" s="21" t="s">
        <v>40</v>
      </c>
      <c r="H150" s="21" t="s">
        <v>39</v>
      </c>
      <c r="I150" s="21">
        <v>8</v>
      </c>
      <c r="J150" s="21">
        <v>9</v>
      </c>
      <c r="K150" s="21">
        <v>2025</v>
      </c>
      <c r="L150" s="23">
        <v>45908</v>
      </c>
    </row>
    <row r="151" spans="1:12">
      <c r="A151" s="20" t="s">
        <v>10</v>
      </c>
      <c r="B151" s="21" t="s">
        <v>7</v>
      </c>
      <c r="C151" s="21" t="s">
        <v>8</v>
      </c>
      <c r="D151" s="21">
        <v>1</v>
      </c>
      <c r="E151" s="22">
        <v>30000</v>
      </c>
      <c r="F151" s="22">
        <v>30000</v>
      </c>
      <c r="G151" s="21" t="s">
        <v>38</v>
      </c>
      <c r="H151" s="21" t="s">
        <v>39</v>
      </c>
      <c r="I151" s="21">
        <v>20</v>
      </c>
      <c r="J151" s="21">
        <v>9</v>
      </c>
      <c r="K151" s="21">
        <v>2025</v>
      </c>
      <c r="L151" s="23">
        <v>45920</v>
      </c>
    </row>
    <row r="152" spans="1:12">
      <c r="A152" s="20" t="s">
        <v>23</v>
      </c>
      <c r="B152" s="21" t="s">
        <v>7</v>
      </c>
      <c r="C152" s="21" t="s">
        <v>8</v>
      </c>
      <c r="D152" s="21">
        <v>4</v>
      </c>
      <c r="E152" s="22">
        <v>20000</v>
      </c>
      <c r="F152" s="22">
        <v>80000</v>
      </c>
      <c r="G152" s="21" t="s">
        <v>38</v>
      </c>
      <c r="H152" s="21" t="s">
        <v>39</v>
      </c>
      <c r="I152" s="21">
        <v>24</v>
      </c>
      <c r="J152" s="21">
        <v>9</v>
      </c>
      <c r="K152" s="21">
        <v>2025</v>
      </c>
      <c r="L152" s="23">
        <v>45924</v>
      </c>
    </row>
    <row r="153" spans="1:12">
      <c r="A153" s="20" t="s">
        <v>10</v>
      </c>
      <c r="B153" s="21" t="s">
        <v>7</v>
      </c>
      <c r="C153" s="21" t="s">
        <v>15</v>
      </c>
      <c r="D153" s="21">
        <v>3</v>
      </c>
      <c r="E153" s="22">
        <v>30000</v>
      </c>
      <c r="F153" s="22">
        <v>90000</v>
      </c>
      <c r="G153" s="21" t="s">
        <v>40</v>
      </c>
      <c r="H153" s="21" t="s">
        <v>39</v>
      </c>
      <c r="I153" s="21">
        <v>20</v>
      </c>
      <c r="J153" s="21">
        <v>9</v>
      </c>
      <c r="K153" s="21">
        <v>2025</v>
      </c>
      <c r="L153" s="23">
        <v>45920</v>
      </c>
    </row>
    <row r="154" spans="1:12">
      <c r="A154" s="20" t="s">
        <v>31</v>
      </c>
      <c r="B154" s="21" t="s">
        <v>7</v>
      </c>
      <c r="C154" s="21" t="s">
        <v>13</v>
      </c>
      <c r="D154" s="21">
        <v>3</v>
      </c>
      <c r="E154" s="22">
        <v>30000</v>
      </c>
      <c r="F154" s="22">
        <v>90000</v>
      </c>
      <c r="G154" s="21" t="s">
        <v>41</v>
      </c>
      <c r="H154" s="21" t="s">
        <v>39</v>
      </c>
      <c r="I154" s="21">
        <v>23</v>
      </c>
      <c r="J154" s="21">
        <v>9</v>
      </c>
      <c r="K154" s="21">
        <v>2025</v>
      </c>
      <c r="L154" s="23">
        <v>45923</v>
      </c>
    </row>
    <row r="155" spans="1:12">
      <c r="A155" s="20" t="s">
        <v>21</v>
      </c>
      <c r="B155" s="21" t="s">
        <v>7</v>
      </c>
      <c r="C155" s="21" t="s">
        <v>16</v>
      </c>
      <c r="D155" s="21">
        <v>1</v>
      </c>
      <c r="E155" s="22">
        <v>20000</v>
      </c>
      <c r="F155" s="22">
        <v>20000</v>
      </c>
      <c r="G155" s="21" t="s">
        <v>42</v>
      </c>
      <c r="H155" s="21" t="s">
        <v>39</v>
      </c>
      <c r="I155" s="21">
        <v>19</v>
      </c>
      <c r="J155" s="21">
        <v>9</v>
      </c>
      <c r="K155" s="21">
        <v>2025</v>
      </c>
      <c r="L155" s="23">
        <v>45919</v>
      </c>
    </row>
    <row r="156" spans="1:12">
      <c r="A156" s="20" t="s">
        <v>22</v>
      </c>
      <c r="B156" s="21" t="s">
        <v>7</v>
      </c>
      <c r="C156" s="21" t="s">
        <v>12</v>
      </c>
      <c r="D156" s="21">
        <v>1</v>
      </c>
      <c r="E156" s="22">
        <v>35000</v>
      </c>
      <c r="F156" s="22">
        <v>35000</v>
      </c>
      <c r="G156" s="21" t="s">
        <v>43</v>
      </c>
      <c r="H156" s="21" t="s">
        <v>44</v>
      </c>
      <c r="I156" s="21">
        <v>16</v>
      </c>
      <c r="J156" s="21">
        <v>9</v>
      </c>
      <c r="K156" s="21">
        <v>2025</v>
      </c>
      <c r="L156" s="23">
        <v>45916</v>
      </c>
    </row>
    <row r="157" spans="1:12">
      <c r="A157" s="20" t="s">
        <v>58</v>
      </c>
      <c r="B157" s="21" t="s">
        <v>7</v>
      </c>
      <c r="C157" s="21" t="s">
        <v>12</v>
      </c>
      <c r="D157" s="21">
        <v>5</v>
      </c>
      <c r="E157" s="22">
        <v>20000</v>
      </c>
      <c r="F157" s="22">
        <v>100000</v>
      </c>
      <c r="G157" s="21" t="s">
        <v>43</v>
      </c>
      <c r="H157" s="21" t="s">
        <v>44</v>
      </c>
      <c r="I157" s="21">
        <v>5</v>
      </c>
      <c r="J157" s="21">
        <v>9</v>
      </c>
      <c r="K157" s="21">
        <v>2025</v>
      </c>
      <c r="L157" s="23">
        <v>45905</v>
      </c>
    </row>
    <row r="158" spans="1:12">
      <c r="A158" s="20" t="s">
        <v>28</v>
      </c>
      <c r="B158" s="21" t="s">
        <v>7</v>
      </c>
      <c r="C158" s="21" t="s">
        <v>16</v>
      </c>
      <c r="D158" s="21">
        <v>2</v>
      </c>
      <c r="E158" s="22">
        <v>35000</v>
      </c>
      <c r="F158" s="22">
        <v>70000</v>
      </c>
      <c r="G158" s="21" t="s">
        <v>42</v>
      </c>
      <c r="H158" s="21" t="s">
        <v>39</v>
      </c>
      <c r="I158" s="21">
        <v>30</v>
      </c>
      <c r="J158" s="21">
        <v>9</v>
      </c>
      <c r="K158" s="21">
        <v>2025</v>
      </c>
      <c r="L158" s="23">
        <v>45930</v>
      </c>
    </row>
    <row r="159" spans="1:12">
      <c r="A159" s="20" t="s">
        <v>56</v>
      </c>
      <c r="B159" s="21" t="s">
        <v>7</v>
      </c>
      <c r="C159" s="21" t="s">
        <v>13</v>
      </c>
      <c r="D159" s="21">
        <v>3</v>
      </c>
      <c r="E159" s="22">
        <v>30000</v>
      </c>
      <c r="F159" s="22">
        <v>90000</v>
      </c>
      <c r="G159" s="21" t="s">
        <v>41</v>
      </c>
      <c r="H159" s="21" t="s">
        <v>39</v>
      </c>
      <c r="I159" s="21">
        <v>3</v>
      </c>
      <c r="J159" s="21">
        <v>9</v>
      </c>
      <c r="K159" s="21">
        <v>2025</v>
      </c>
      <c r="L159" s="23">
        <v>45903</v>
      </c>
    </row>
    <row r="160" spans="1:12">
      <c r="A160" s="20" t="s">
        <v>51</v>
      </c>
      <c r="B160" s="21" t="s">
        <v>7</v>
      </c>
      <c r="C160" s="21" t="s">
        <v>15</v>
      </c>
      <c r="D160" s="21">
        <v>4</v>
      </c>
      <c r="E160" s="22">
        <v>25000</v>
      </c>
      <c r="F160" s="22">
        <v>100000</v>
      </c>
      <c r="G160" s="21" t="s">
        <v>40</v>
      </c>
      <c r="H160" s="21" t="s">
        <v>39</v>
      </c>
      <c r="I160" s="21">
        <v>2</v>
      </c>
      <c r="J160" s="21">
        <v>9</v>
      </c>
      <c r="K160" s="21">
        <v>2025</v>
      </c>
      <c r="L160" s="23">
        <v>45902</v>
      </c>
    </row>
    <row r="161" spans="1:12">
      <c r="A161" s="20" t="s">
        <v>31</v>
      </c>
      <c r="B161" s="21" t="s">
        <v>7</v>
      </c>
      <c r="C161" s="21" t="s">
        <v>8</v>
      </c>
      <c r="D161" s="21">
        <v>1</v>
      </c>
      <c r="E161" s="22">
        <v>35000</v>
      </c>
      <c r="F161" s="22">
        <v>35000</v>
      </c>
      <c r="G161" s="21" t="s">
        <v>38</v>
      </c>
      <c r="H161" s="21" t="s">
        <v>39</v>
      </c>
      <c r="I161" s="21">
        <v>23</v>
      </c>
      <c r="J161" s="21">
        <v>9</v>
      </c>
      <c r="K161" s="21">
        <v>2025</v>
      </c>
      <c r="L161" s="23">
        <v>45923</v>
      </c>
    </row>
    <row r="162" spans="1:12">
      <c r="A162" s="20" t="s">
        <v>57</v>
      </c>
      <c r="B162" s="21" t="s">
        <v>7</v>
      </c>
      <c r="C162" s="21" t="s">
        <v>8</v>
      </c>
      <c r="D162" s="21">
        <v>2</v>
      </c>
      <c r="E162" s="22">
        <v>25000</v>
      </c>
      <c r="F162" s="22">
        <v>50000</v>
      </c>
      <c r="G162" s="21" t="s">
        <v>38</v>
      </c>
      <c r="H162" s="21" t="s">
        <v>39</v>
      </c>
      <c r="I162" s="21">
        <v>6</v>
      </c>
      <c r="J162" s="21">
        <v>9</v>
      </c>
      <c r="K162" s="21">
        <v>2025</v>
      </c>
      <c r="L162" s="23">
        <v>45906</v>
      </c>
    </row>
    <row r="163" spans="1:12">
      <c r="A163" s="20" t="s">
        <v>57</v>
      </c>
      <c r="B163" s="21" t="s">
        <v>7</v>
      </c>
      <c r="C163" s="21" t="s">
        <v>15</v>
      </c>
      <c r="D163" s="21">
        <v>1</v>
      </c>
      <c r="E163" s="22">
        <v>25000</v>
      </c>
      <c r="F163" s="22">
        <v>25000</v>
      </c>
      <c r="G163" s="21" t="s">
        <v>40</v>
      </c>
      <c r="H163" s="21" t="s">
        <v>39</v>
      </c>
      <c r="I163" s="21">
        <v>6</v>
      </c>
      <c r="J163" s="21">
        <v>9</v>
      </c>
      <c r="K163" s="21">
        <v>2025</v>
      </c>
      <c r="L163" s="23">
        <v>45906</v>
      </c>
    </row>
    <row r="164" spans="1:12">
      <c r="A164" s="20" t="s">
        <v>19</v>
      </c>
      <c r="B164" s="21" t="s">
        <v>7</v>
      </c>
      <c r="C164" s="21" t="s">
        <v>13</v>
      </c>
      <c r="D164" s="21">
        <v>1</v>
      </c>
      <c r="E164" s="22">
        <v>25000</v>
      </c>
      <c r="F164" s="22">
        <v>25000</v>
      </c>
      <c r="G164" s="21" t="s">
        <v>41</v>
      </c>
      <c r="H164" s="21" t="s">
        <v>39</v>
      </c>
      <c r="I164" s="21">
        <v>27</v>
      </c>
      <c r="J164" s="21">
        <v>9</v>
      </c>
      <c r="K164" s="21">
        <v>2025</v>
      </c>
      <c r="L164" s="23">
        <v>45927</v>
      </c>
    </row>
    <row r="165" spans="1:12">
      <c r="A165" s="20" t="s">
        <v>57</v>
      </c>
      <c r="B165" s="21" t="s">
        <v>7</v>
      </c>
      <c r="C165" s="21" t="s">
        <v>16</v>
      </c>
      <c r="D165" s="21">
        <v>3</v>
      </c>
      <c r="E165" s="22">
        <v>25000</v>
      </c>
      <c r="F165" s="22">
        <v>75000</v>
      </c>
      <c r="G165" s="21" t="s">
        <v>42</v>
      </c>
      <c r="H165" s="21" t="s">
        <v>39</v>
      </c>
      <c r="I165" s="21">
        <v>6</v>
      </c>
      <c r="J165" s="21">
        <v>9</v>
      </c>
      <c r="K165" s="21">
        <v>2025</v>
      </c>
      <c r="L165" s="23">
        <v>45906</v>
      </c>
    </row>
    <row r="166" spans="1:12">
      <c r="A166" s="20" t="s">
        <v>29</v>
      </c>
      <c r="B166" s="21" t="s">
        <v>7</v>
      </c>
      <c r="C166" s="21" t="s">
        <v>12</v>
      </c>
      <c r="D166" s="21">
        <v>4</v>
      </c>
      <c r="E166" s="22">
        <v>28000</v>
      </c>
      <c r="F166" s="22">
        <v>112000</v>
      </c>
      <c r="G166" s="21" t="s">
        <v>43</v>
      </c>
      <c r="H166" s="21" t="s">
        <v>44</v>
      </c>
      <c r="I166" s="21">
        <v>22</v>
      </c>
      <c r="J166" s="21">
        <v>9</v>
      </c>
      <c r="K166" s="21">
        <v>2025</v>
      </c>
      <c r="L166" s="23">
        <v>45922</v>
      </c>
    </row>
    <row r="167" spans="1:12">
      <c r="A167" s="20" t="s">
        <v>29</v>
      </c>
      <c r="B167" s="21" t="s">
        <v>7</v>
      </c>
      <c r="C167" s="21" t="s">
        <v>12</v>
      </c>
      <c r="D167" s="21">
        <v>5</v>
      </c>
      <c r="E167" s="22">
        <v>30000</v>
      </c>
      <c r="F167" s="22">
        <v>150000</v>
      </c>
      <c r="G167" s="21" t="s">
        <v>43</v>
      </c>
      <c r="H167" s="21" t="s">
        <v>44</v>
      </c>
      <c r="I167" s="21">
        <v>22</v>
      </c>
      <c r="J167" s="21">
        <v>9</v>
      </c>
      <c r="K167" s="21">
        <v>2025</v>
      </c>
      <c r="L167" s="23">
        <v>45922</v>
      </c>
    </row>
    <row r="168" spans="1:12">
      <c r="A168" s="20" t="s">
        <v>58</v>
      </c>
      <c r="B168" s="21" t="s">
        <v>7</v>
      </c>
      <c r="C168" s="21" t="s">
        <v>16</v>
      </c>
      <c r="D168" s="21">
        <v>5</v>
      </c>
      <c r="E168" s="22">
        <v>28000</v>
      </c>
      <c r="F168" s="22">
        <v>140000</v>
      </c>
      <c r="G168" s="21" t="s">
        <v>42</v>
      </c>
      <c r="H168" s="21" t="s">
        <v>39</v>
      </c>
      <c r="I168" s="21">
        <v>5</v>
      </c>
      <c r="J168" s="21">
        <v>9</v>
      </c>
      <c r="K168" s="21">
        <v>2025</v>
      </c>
      <c r="L168" s="23">
        <v>45905</v>
      </c>
    </row>
    <row r="169" spans="1:12">
      <c r="A169" s="20" t="s">
        <v>18</v>
      </c>
      <c r="B169" s="21" t="s">
        <v>7</v>
      </c>
      <c r="C169" s="21" t="s">
        <v>13</v>
      </c>
      <c r="D169" s="21">
        <v>1</v>
      </c>
      <c r="E169" s="22">
        <v>30000</v>
      </c>
      <c r="F169" s="22">
        <v>30000</v>
      </c>
      <c r="G169" s="21" t="s">
        <v>41</v>
      </c>
      <c r="H169" s="21" t="s">
        <v>39</v>
      </c>
      <c r="I169" s="21">
        <v>29</v>
      </c>
      <c r="J169" s="21">
        <v>9</v>
      </c>
      <c r="K169" s="21">
        <v>2025</v>
      </c>
      <c r="L169" s="23">
        <v>45929</v>
      </c>
    </row>
    <row r="170" spans="1:12">
      <c r="A170" s="20" t="s">
        <v>60</v>
      </c>
      <c r="B170" s="21" t="s">
        <v>7</v>
      </c>
      <c r="C170" s="21" t="s">
        <v>15</v>
      </c>
      <c r="D170" s="21">
        <v>1</v>
      </c>
      <c r="E170" s="22">
        <v>25000</v>
      </c>
      <c r="F170" s="22">
        <v>25000</v>
      </c>
      <c r="G170" s="21" t="s">
        <v>40</v>
      </c>
      <c r="H170" s="21" t="s">
        <v>39</v>
      </c>
      <c r="I170" s="21">
        <v>4</v>
      </c>
      <c r="J170" s="21">
        <v>9</v>
      </c>
      <c r="K170" s="21">
        <v>2025</v>
      </c>
      <c r="L170" s="23">
        <v>45904</v>
      </c>
    </row>
    <row r="171" spans="1:12">
      <c r="A171" s="20" t="s">
        <v>32</v>
      </c>
      <c r="B171" s="21" t="s">
        <v>7</v>
      </c>
      <c r="C171" s="21" t="s">
        <v>8</v>
      </c>
      <c r="D171" s="21">
        <v>5</v>
      </c>
      <c r="E171" s="22">
        <v>35000</v>
      </c>
      <c r="F171" s="22">
        <v>175000</v>
      </c>
      <c r="G171" s="21" t="s">
        <v>38</v>
      </c>
      <c r="H171" s="21" t="s">
        <v>39</v>
      </c>
      <c r="I171" s="21">
        <v>28</v>
      </c>
      <c r="J171" s="21">
        <v>9</v>
      </c>
      <c r="K171" s="21">
        <v>2025</v>
      </c>
      <c r="L171" s="23">
        <v>45928</v>
      </c>
    </row>
    <row r="172" spans="1:12">
      <c r="A172" s="20" t="s">
        <v>10</v>
      </c>
      <c r="B172" s="21" t="s">
        <v>7</v>
      </c>
      <c r="C172" s="21" t="s">
        <v>8</v>
      </c>
      <c r="D172" s="21">
        <v>5</v>
      </c>
      <c r="E172" s="22">
        <v>35000</v>
      </c>
      <c r="F172" s="22">
        <v>175000</v>
      </c>
      <c r="G172" s="21" t="s">
        <v>38</v>
      </c>
      <c r="H172" s="21" t="s">
        <v>39</v>
      </c>
      <c r="I172" s="21">
        <v>20</v>
      </c>
      <c r="J172" s="21">
        <v>9</v>
      </c>
      <c r="K172" s="21">
        <v>2025</v>
      </c>
      <c r="L172" s="23">
        <v>45920</v>
      </c>
    </row>
    <row r="173" spans="1:12">
      <c r="A173" s="20" t="s">
        <v>54</v>
      </c>
      <c r="B173" s="21" t="s">
        <v>7</v>
      </c>
      <c r="C173" s="21" t="s">
        <v>15</v>
      </c>
      <c r="D173" s="21">
        <v>1</v>
      </c>
      <c r="E173" s="22">
        <v>25000</v>
      </c>
      <c r="F173" s="22">
        <v>25000</v>
      </c>
      <c r="G173" s="21" t="s">
        <v>40</v>
      </c>
      <c r="H173" s="21" t="s">
        <v>39</v>
      </c>
      <c r="I173" s="21">
        <v>8</v>
      </c>
      <c r="J173" s="21">
        <v>9</v>
      </c>
      <c r="K173" s="21">
        <v>2025</v>
      </c>
      <c r="L173" s="23">
        <v>45908</v>
      </c>
    </row>
    <row r="174" spans="1:12">
      <c r="A174" s="20" t="s">
        <v>50</v>
      </c>
      <c r="B174" s="21" t="s">
        <v>7</v>
      </c>
      <c r="C174" s="21" t="s">
        <v>13</v>
      </c>
      <c r="D174" s="21">
        <v>3</v>
      </c>
      <c r="E174" s="22">
        <v>25000</v>
      </c>
      <c r="F174" s="22">
        <v>75000</v>
      </c>
      <c r="G174" s="21" t="s">
        <v>41</v>
      </c>
      <c r="H174" s="21" t="s">
        <v>39</v>
      </c>
      <c r="I174" s="21">
        <v>11</v>
      </c>
      <c r="J174" s="21">
        <v>9</v>
      </c>
      <c r="K174" s="21">
        <v>2025</v>
      </c>
      <c r="L174" s="23">
        <v>45911</v>
      </c>
    </row>
    <row r="175" spans="1:12">
      <c r="A175" s="20" t="s">
        <v>51</v>
      </c>
      <c r="B175" s="21" t="s">
        <v>7</v>
      </c>
      <c r="C175" s="21" t="s">
        <v>16</v>
      </c>
      <c r="D175" s="21">
        <v>1</v>
      </c>
      <c r="E175" s="22">
        <v>35000</v>
      </c>
      <c r="F175" s="22">
        <v>35000</v>
      </c>
      <c r="G175" s="21" t="s">
        <v>42</v>
      </c>
      <c r="H175" s="21" t="s">
        <v>39</v>
      </c>
      <c r="I175" s="21">
        <v>2</v>
      </c>
      <c r="J175" s="21">
        <v>9</v>
      </c>
      <c r="K175" s="21">
        <v>2025</v>
      </c>
      <c r="L175" s="23">
        <v>45902</v>
      </c>
    </row>
    <row r="176" spans="1:12">
      <c r="A176" s="20" t="s">
        <v>32</v>
      </c>
      <c r="B176" s="21" t="s">
        <v>7</v>
      </c>
      <c r="C176" s="21" t="s">
        <v>12</v>
      </c>
      <c r="D176" s="21">
        <v>1</v>
      </c>
      <c r="E176" s="22">
        <v>28000</v>
      </c>
      <c r="F176" s="22">
        <v>28000</v>
      </c>
      <c r="G176" s="21" t="s">
        <v>43</v>
      </c>
      <c r="H176" s="21" t="s">
        <v>44</v>
      </c>
      <c r="I176" s="21">
        <v>28</v>
      </c>
      <c r="J176" s="21">
        <v>9</v>
      </c>
      <c r="K176" s="21">
        <v>2025</v>
      </c>
      <c r="L176" s="23">
        <v>45928</v>
      </c>
    </row>
    <row r="177" spans="1:12">
      <c r="A177" s="20" t="s">
        <v>59</v>
      </c>
      <c r="B177" s="21" t="s">
        <v>7</v>
      </c>
      <c r="C177" s="21" t="s">
        <v>12</v>
      </c>
      <c r="D177" s="21">
        <v>1</v>
      </c>
      <c r="E177" s="22">
        <v>35000</v>
      </c>
      <c r="F177" s="22">
        <v>35000</v>
      </c>
      <c r="G177" s="21" t="s">
        <v>43</v>
      </c>
      <c r="H177" s="21" t="s">
        <v>44</v>
      </c>
      <c r="I177" s="21">
        <v>12</v>
      </c>
      <c r="J177" s="21">
        <v>9</v>
      </c>
      <c r="K177" s="21">
        <v>2025</v>
      </c>
      <c r="L177" s="23">
        <v>45912</v>
      </c>
    </row>
    <row r="178" spans="1:12">
      <c r="A178" s="20" t="s">
        <v>51</v>
      </c>
      <c r="B178" s="21" t="s">
        <v>7</v>
      </c>
      <c r="C178" s="21" t="s">
        <v>16</v>
      </c>
      <c r="D178" s="21">
        <v>5</v>
      </c>
      <c r="E178" s="22">
        <v>30000</v>
      </c>
      <c r="F178" s="22">
        <v>150000</v>
      </c>
      <c r="G178" s="21" t="s">
        <v>42</v>
      </c>
      <c r="H178" s="21" t="s">
        <v>39</v>
      </c>
      <c r="I178" s="21">
        <v>2</v>
      </c>
      <c r="J178" s="21">
        <v>9</v>
      </c>
      <c r="K178" s="21">
        <v>2025</v>
      </c>
      <c r="L178" s="23">
        <v>45902</v>
      </c>
    </row>
    <row r="179" spans="1:12">
      <c r="A179" s="20" t="s">
        <v>31</v>
      </c>
      <c r="B179" s="21" t="s">
        <v>7</v>
      </c>
      <c r="C179" s="21" t="s">
        <v>13</v>
      </c>
      <c r="D179" s="21">
        <v>4</v>
      </c>
      <c r="E179" s="22">
        <v>28000</v>
      </c>
      <c r="F179" s="22">
        <v>112000</v>
      </c>
      <c r="G179" s="21" t="s">
        <v>41</v>
      </c>
      <c r="H179" s="21" t="s">
        <v>39</v>
      </c>
      <c r="I179" s="21">
        <v>23</v>
      </c>
      <c r="J179" s="21">
        <v>9</v>
      </c>
      <c r="K179" s="21">
        <v>2025</v>
      </c>
      <c r="L179" s="23">
        <v>45923</v>
      </c>
    </row>
    <row r="180" spans="1:12">
      <c r="A180" s="20" t="s">
        <v>6</v>
      </c>
      <c r="B180" s="21" t="s">
        <v>7</v>
      </c>
      <c r="C180" s="21" t="s">
        <v>15</v>
      </c>
      <c r="D180" s="21">
        <v>1</v>
      </c>
      <c r="E180" s="22">
        <v>28000</v>
      </c>
      <c r="F180" s="22">
        <v>28000</v>
      </c>
      <c r="G180" s="21" t="s">
        <v>40</v>
      </c>
      <c r="H180" s="21" t="s">
        <v>39</v>
      </c>
      <c r="I180" s="21">
        <v>17</v>
      </c>
      <c r="J180" s="21">
        <v>9</v>
      </c>
      <c r="K180" s="21">
        <v>2025</v>
      </c>
      <c r="L180" s="23">
        <v>45917</v>
      </c>
    </row>
    <row r="181" spans="1:12">
      <c r="A181" s="20" t="s">
        <v>59</v>
      </c>
      <c r="B181" s="21" t="s">
        <v>7</v>
      </c>
      <c r="C181" s="21" t="s">
        <v>8</v>
      </c>
      <c r="D181" s="21">
        <v>3</v>
      </c>
      <c r="E181" s="22">
        <v>30000</v>
      </c>
      <c r="F181" s="22">
        <v>90000</v>
      </c>
      <c r="G181" s="21" t="s">
        <v>38</v>
      </c>
      <c r="H181" s="21" t="s">
        <v>39</v>
      </c>
      <c r="I181" s="21">
        <v>12</v>
      </c>
      <c r="J181" s="21">
        <v>9</v>
      </c>
      <c r="K181" s="21">
        <v>2025</v>
      </c>
      <c r="L181" s="23">
        <v>45912</v>
      </c>
    </row>
    <row r="182" spans="1:12">
      <c r="A182" s="20" t="s">
        <v>22</v>
      </c>
      <c r="B182" s="21" t="s">
        <v>7</v>
      </c>
      <c r="C182" s="21" t="s">
        <v>8</v>
      </c>
      <c r="D182" s="21">
        <v>5</v>
      </c>
      <c r="E182" s="22">
        <v>20000</v>
      </c>
      <c r="F182" s="22">
        <v>100000</v>
      </c>
      <c r="G182" s="21" t="s">
        <v>38</v>
      </c>
      <c r="H182" s="21" t="s">
        <v>39</v>
      </c>
      <c r="I182" s="21">
        <v>16</v>
      </c>
      <c r="J182" s="21">
        <v>9</v>
      </c>
      <c r="K182" s="21">
        <v>2025</v>
      </c>
      <c r="L182" s="23">
        <v>45916</v>
      </c>
    </row>
    <row r="183" spans="1:12">
      <c r="A183" s="20" t="s">
        <v>25</v>
      </c>
      <c r="B183" s="21" t="s">
        <v>7</v>
      </c>
      <c r="C183" s="21" t="s">
        <v>15</v>
      </c>
      <c r="D183" s="21">
        <v>2</v>
      </c>
      <c r="E183" s="22">
        <v>28000</v>
      </c>
      <c r="F183" s="22">
        <v>56000</v>
      </c>
      <c r="G183" s="21" t="s">
        <v>40</v>
      </c>
      <c r="H183" s="21" t="s">
        <v>39</v>
      </c>
      <c r="I183" s="21">
        <v>18</v>
      </c>
      <c r="J183" s="21">
        <v>9</v>
      </c>
      <c r="K183" s="21">
        <v>2025</v>
      </c>
      <c r="L183" s="23">
        <v>45918</v>
      </c>
    </row>
    <row r="184" spans="1:12">
      <c r="A184" s="20" t="s">
        <v>32</v>
      </c>
      <c r="B184" s="21" t="s">
        <v>7</v>
      </c>
      <c r="C184" s="21" t="s">
        <v>13</v>
      </c>
      <c r="D184" s="21">
        <v>4</v>
      </c>
      <c r="E184" s="22">
        <v>28000</v>
      </c>
      <c r="F184" s="22">
        <v>112000</v>
      </c>
      <c r="G184" s="21" t="s">
        <v>41</v>
      </c>
      <c r="H184" s="21" t="s">
        <v>39</v>
      </c>
      <c r="I184" s="21">
        <v>28</v>
      </c>
      <c r="J184" s="21">
        <v>9</v>
      </c>
      <c r="K184" s="21">
        <v>2025</v>
      </c>
      <c r="L184" s="23">
        <v>45928</v>
      </c>
    </row>
    <row r="185" spans="1:12">
      <c r="A185" s="20" t="s">
        <v>31</v>
      </c>
      <c r="B185" s="21" t="s">
        <v>7</v>
      </c>
      <c r="C185" s="21" t="s">
        <v>16</v>
      </c>
      <c r="D185" s="21">
        <v>4</v>
      </c>
      <c r="E185" s="22">
        <v>25000</v>
      </c>
      <c r="F185" s="22">
        <v>100000</v>
      </c>
      <c r="G185" s="21" t="s">
        <v>42</v>
      </c>
      <c r="H185" s="21" t="s">
        <v>39</v>
      </c>
      <c r="I185" s="21">
        <v>23</v>
      </c>
      <c r="J185" s="21">
        <v>9</v>
      </c>
      <c r="K185" s="21">
        <v>2025</v>
      </c>
      <c r="L185" s="23">
        <v>45923</v>
      </c>
    </row>
    <row r="186" spans="1:12">
      <c r="A186" s="20" t="s">
        <v>58</v>
      </c>
      <c r="B186" s="21" t="s">
        <v>7</v>
      </c>
      <c r="C186" s="21" t="s">
        <v>12</v>
      </c>
      <c r="D186" s="21">
        <v>4</v>
      </c>
      <c r="E186" s="22">
        <v>28000</v>
      </c>
      <c r="F186" s="22">
        <v>112000</v>
      </c>
      <c r="G186" s="21" t="s">
        <v>43</v>
      </c>
      <c r="H186" s="21" t="s">
        <v>44</v>
      </c>
      <c r="I186" s="21">
        <v>5</v>
      </c>
      <c r="J186" s="21">
        <v>9</v>
      </c>
      <c r="K186" s="21">
        <v>2025</v>
      </c>
      <c r="L186" s="23">
        <v>45905</v>
      </c>
    </row>
    <row r="187" spans="1:12">
      <c r="A187" s="20" t="s">
        <v>31</v>
      </c>
      <c r="B187" s="21" t="s">
        <v>7</v>
      </c>
      <c r="C187" s="21" t="s">
        <v>8</v>
      </c>
      <c r="D187" s="21">
        <v>4</v>
      </c>
      <c r="E187" s="22">
        <v>28000</v>
      </c>
      <c r="F187" s="22">
        <v>112000</v>
      </c>
      <c r="G187" s="21" t="s">
        <v>38</v>
      </c>
      <c r="H187" s="21" t="s">
        <v>39</v>
      </c>
      <c r="I187" s="21">
        <v>23</v>
      </c>
      <c r="J187" s="21">
        <v>9</v>
      </c>
      <c r="K187" s="21">
        <v>2025</v>
      </c>
      <c r="L187" s="23">
        <v>45923</v>
      </c>
    </row>
    <row r="188" spans="1:12">
      <c r="A188" s="20" t="s">
        <v>29</v>
      </c>
      <c r="B188" s="21" t="s">
        <v>7</v>
      </c>
      <c r="C188" s="21" t="s">
        <v>15</v>
      </c>
      <c r="D188" s="21">
        <v>1</v>
      </c>
      <c r="E188" s="22">
        <v>25000</v>
      </c>
      <c r="F188" s="22">
        <v>25000</v>
      </c>
      <c r="G188" s="21" t="s">
        <v>40</v>
      </c>
      <c r="H188" s="21" t="s">
        <v>39</v>
      </c>
      <c r="I188" s="21">
        <v>22</v>
      </c>
      <c r="J188" s="21">
        <v>9</v>
      </c>
      <c r="K188" s="21">
        <v>2025</v>
      </c>
      <c r="L188" s="23">
        <v>45922</v>
      </c>
    </row>
    <row r="189" spans="1:12">
      <c r="A189" s="20" t="s">
        <v>17</v>
      </c>
      <c r="B189" s="21" t="s">
        <v>7</v>
      </c>
      <c r="C189" s="21" t="s">
        <v>13</v>
      </c>
      <c r="D189" s="21">
        <v>1</v>
      </c>
      <c r="E189" s="22">
        <v>35000</v>
      </c>
      <c r="F189" s="22">
        <v>35000</v>
      </c>
      <c r="G189" s="21" t="s">
        <v>41</v>
      </c>
      <c r="H189" s="21" t="s">
        <v>39</v>
      </c>
      <c r="I189" s="21">
        <v>14</v>
      </c>
      <c r="J189" s="21">
        <v>9</v>
      </c>
      <c r="K189" s="21">
        <v>2025</v>
      </c>
      <c r="L189" s="23">
        <v>45914</v>
      </c>
    </row>
    <row r="190" spans="1:12">
      <c r="A190" s="20" t="s">
        <v>61</v>
      </c>
      <c r="B190" s="21" t="s">
        <v>7</v>
      </c>
      <c r="C190" s="21" t="s">
        <v>16</v>
      </c>
      <c r="D190" s="21">
        <v>3</v>
      </c>
      <c r="E190" s="22">
        <v>25000</v>
      </c>
      <c r="F190" s="22">
        <v>75000</v>
      </c>
      <c r="G190" s="21" t="s">
        <v>42</v>
      </c>
      <c r="H190" s="21" t="s">
        <v>39</v>
      </c>
      <c r="I190" s="21">
        <v>9</v>
      </c>
      <c r="J190" s="21">
        <v>9</v>
      </c>
      <c r="K190" s="21">
        <v>2025</v>
      </c>
      <c r="L190" s="23">
        <v>45909</v>
      </c>
    </row>
    <row r="191" spans="1:12">
      <c r="A191" s="20" t="s">
        <v>20</v>
      </c>
      <c r="B191" s="21" t="s">
        <v>7</v>
      </c>
      <c r="C191" s="21" t="s">
        <v>12</v>
      </c>
      <c r="D191" s="21">
        <v>1</v>
      </c>
      <c r="E191" s="22">
        <v>28000</v>
      </c>
      <c r="F191" s="22">
        <v>28000</v>
      </c>
      <c r="G191" s="21" t="s">
        <v>43</v>
      </c>
      <c r="H191" s="21" t="s">
        <v>44</v>
      </c>
      <c r="I191" s="21">
        <v>26</v>
      </c>
      <c r="J191" s="21">
        <v>9</v>
      </c>
      <c r="K191" s="21">
        <v>2025</v>
      </c>
      <c r="L191" s="23">
        <v>45926</v>
      </c>
    </row>
    <row r="192" spans="1:12">
      <c r="A192" s="20" t="s">
        <v>20</v>
      </c>
      <c r="B192" s="21" t="s">
        <v>7</v>
      </c>
      <c r="C192" s="21" t="s">
        <v>8</v>
      </c>
      <c r="D192" s="21">
        <v>3</v>
      </c>
      <c r="E192" s="22">
        <v>30000</v>
      </c>
      <c r="F192" s="22">
        <v>90000</v>
      </c>
      <c r="G192" s="21" t="s">
        <v>38</v>
      </c>
      <c r="H192" s="21" t="s">
        <v>39</v>
      </c>
      <c r="I192" s="21">
        <v>26</v>
      </c>
      <c r="J192" s="21">
        <v>9</v>
      </c>
      <c r="K192" s="21">
        <v>2025</v>
      </c>
      <c r="L192" s="23">
        <v>45926</v>
      </c>
    </row>
    <row r="193" spans="1:12">
      <c r="A193" s="20" t="s">
        <v>20</v>
      </c>
      <c r="B193" s="21" t="s">
        <v>7</v>
      </c>
      <c r="C193" s="21" t="s">
        <v>15</v>
      </c>
      <c r="D193" s="21">
        <v>1</v>
      </c>
      <c r="E193" s="22">
        <v>20000</v>
      </c>
      <c r="F193" s="22">
        <v>20000</v>
      </c>
      <c r="G193" s="21" t="s">
        <v>40</v>
      </c>
      <c r="H193" s="21" t="s">
        <v>39</v>
      </c>
      <c r="I193" s="21">
        <v>26</v>
      </c>
      <c r="J193" s="21">
        <v>9</v>
      </c>
      <c r="K193" s="21">
        <v>2025</v>
      </c>
      <c r="L193" s="23">
        <v>45926</v>
      </c>
    </row>
    <row r="194" spans="1:12">
      <c r="A194" s="20" t="s">
        <v>53</v>
      </c>
      <c r="B194" s="21" t="s">
        <v>7</v>
      </c>
      <c r="C194" s="21" t="s">
        <v>13</v>
      </c>
      <c r="D194" s="21">
        <v>5</v>
      </c>
      <c r="E194" s="22">
        <v>20000</v>
      </c>
      <c r="F194" s="22">
        <v>100000</v>
      </c>
      <c r="G194" s="21" t="s">
        <v>41</v>
      </c>
      <c r="H194" s="21" t="s">
        <v>39</v>
      </c>
      <c r="I194" s="21">
        <v>7</v>
      </c>
      <c r="J194" s="21">
        <v>9</v>
      </c>
      <c r="K194" s="21">
        <v>2025</v>
      </c>
      <c r="L194" s="23">
        <v>45907</v>
      </c>
    </row>
    <row r="195" spans="1:12">
      <c r="A195" s="20" t="s">
        <v>32</v>
      </c>
      <c r="B195" s="21" t="s">
        <v>7</v>
      </c>
      <c r="C195" s="21" t="s">
        <v>16</v>
      </c>
      <c r="D195" s="21">
        <v>4</v>
      </c>
      <c r="E195" s="22">
        <v>25000</v>
      </c>
      <c r="F195" s="22">
        <v>100000</v>
      </c>
      <c r="G195" s="21" t="s">
        <v>42</v>
      </c>
      <c r="H195" s="21" t="s">
        <v>39</v>
      </c>
      <c r="I195" s="21">
        <v>28</v>
      </c>
      <c r="J195" s="21">
        <v>9</v>
      </c>
      <c r="K195" s="21">
        <v>2025</v>
      </c>
      <c r="L195" s="23">
        <v>45928</v>
      </c>
    </row>
    <row r="196" spans="1:12">
      <c r="A196" s="20" t="s">
        <v>57</v>
      </c>
      <c r="B196" s="21" t="s">
        <v>7</v>
      </c>
      <c r="C196" s="21" t="s">
        <v>12</v>
      </c>
      <c r="D196" s="21">
        <v>1</v>
      </c>
      <c r="E196" s="22">
        <v>20000</v>
      </c>
      <c r="F196" s="22">
        <v>20000</v>
      </c>
      <c r="G196" s="21" t="s">
        <v>43</v>
      </c>
      <c r="H196" s="21" t="s">
        <v>44</v>
      </c>
      <c r="I196" s="21">
        <v>6</v>
      </c>
      <c r="J196" s="21">
        <v>9</v>
      </c>
      <c r="K196" s="21">
        <v>2025</v>
      </c>
      <c r="L196" s="23">
        <v>45906</v>
      </c>
    </row>
    <row r="197" spans="1:12">
      <c r="A197" s="20" t="s">
        <v>56</v>
      </c>
      <c r="B197" s="21" t="s">
        <v>7</v>
      </c>
      <c r="C197" s="21" t="s">
        <v>8</v>
      </c>
      <c r="D197" s="21">
        <v>4</v>
      </c>
      <c r="E197" s="22">
        <v>25000</v>
      </c>
      <c r="F197" s="22">
        <v>100000</v>
      </c>
      <c r="G197" s="21" t="s">
        <v>38</v>
      </c>
      <c r="H197" s="21" t="s">
        <v>39</v>
      </c>
      <c r="I197" s="21">
        <v>3</v>
      </c>
      <c r="J197" s="21">
        <v>9</v>
      </c>
      <c r="K197" s="21">
        <v>2025</v>
      </c>
      <c r="L197" s="23">
        <v>45903</v>
      </c>
    </row>
    <row r="198" spans="1:12">
      <c r="A198" s="20" t="s">
        <v>23</v>
      </c>
      <c r="B198" s="21" t="s">
        <v>7</v>
      </c>
      <c r="C198" s="21" t="s">
        <v>15</v>
      </c>
      <c r="D198" s="21">
        <v>1</v>
      </c>
      <c r="E198" s="22">
        <v>30000</v>
      </c>
      <c r="F198" s="22">
        <v>30000</v>
      </c>
      <c r="G198" s="21" t="s">
        <v>40</v>
      </c>
      <c r="H198" s="21" t="s">
        <v>39</v>
      </c>
      <c r="I198" s="21">
        <v>24</v>
      </c>
      <c r="J198" s="21">
        <v>9</v>
      </c>
      <c r="K198" s="21">
        <v>2025</v>
      </c>
      <c r="L198" s="23">
        <v>45924</v>
      </c>
    </row>
    <row r="199" spans="1:12">
      <c r="A199" s="20" t="s">
        <v>20</v>
      </c>
      <c r="B199" s="21" t="s">
        <v>7</v>
      </c>
      <c r="C199" s="21" t="s">
        <v>13</v>
      </c>
      <c r="D199" s="21">
        <v>1</v>
      </c>
      <c r="E199" s="22">
        <v>35000</v>
      </c>
      <c r="F199" s="22">
        <v>35000</v>
      </c>
      <c r="G199" s="21" t="s">
        <v>41</v>
      </c>
      <c r="H199" s="21" t="s">
        <v>39</v>
      </c>
      <c r="I199" s="21">
        <v>26</v>
      </c>
      <c r="J199" s="21">
        <v>9</v>
      </c>
      <c r="K199" s="21">
        <v>2025</v>
      </c>
      <c r="L199" s="23">
        <v>45926</v>
      </c>
    </row>
    <row r="200" spans="1:12">
      <c r="A200" s="20" t="s">
        <v>52</v>
      </c>
      <c r="B200" s="21" t="s">
        <v>7</v>
      </c>
      <c r="C200" s="21" t="s">
        <v>16</v>
      </c>
      <c r="D200" s="21">
        <v>5</v>
      </c>
      <c r="E200" s="22">
        <v>20000</v>
      </c>
      <c r="F200" s="22">
        <v>100000</v>
      </c>
      <c r="G200" s="21" t="s">
        <v>42</v>
      </c>
      <c r="H200" s="21" t="s">
        <v>39</v>
      </c>
      <c r="I200" s="21">
        <v>1</v>
      </c>
      <c r="J200" s="21">
        <v>9</v>
      </c>
      <c r="K200" s="21">
        <v>2025</v>
      </c>
      <c r="L200" s="23">
        <v>45901</v>
      </c>
    </row>
    <row r="201" spans="1:12">
      <c r="A201" s="20" t="s">
        <v>58</v>
      </c>
      <c r="B201" s="21" t="s">
        <v>7</v>
      </c>
      <c r="C201" s="21" t="s">
        <v>12</v>
      </c>
      <c r="D201" s="21">
        <v>5</v>
      </c>
      <c r="E201" s="22">
        <v>30000</v>
      </c>
      <c r="F201" s="22">
        <v>150000</v>
      </c>
      <c r="G201" s="21" t="s">
        <v>43</v>
      </c>
      <c r="H201" s="21" t="s">
        <v>44</v>
      </c>
      <c r="I201" s="21">
        <v>5</v>
      </c>
      <c r="J201" s="21">
        <v>9</v>
      </c>
      <c r="K201" s="21">
        <v>2025</v>
      </c>
      <c r="L201" s="23">
        <v>45905</v>
      </c>
    </row>
    <row r="202" spans="1:12">
      <c r="A202" s="20" t="s">
        <v>31</v>
      </c>
      <c r="B202" s="21" t="s">
        <v>7</v>
      </c>
      <c r="C202" s="21" t="s">
        <v>13</v>
      </c>
      <c r="D202" s="21">
        <v>2</v>
      </c>
      <c r="E202" s="22">
        <v>35000</v>
      </c>
      <c r="F202" s="22">
        <v>70000</v>
      </c>
      <c r="G202" s="21" t="s">
        <v>41</v>
      </c>
      <c r="H202" s="21" t="s">
        <v>39</v>
      </c>
      <c r="I202" s="21">
        <v>23</v>
      </c>
      <c r="J202" s="21">
        <v>9</v>
      </c>
      <c r="K202" s="21">
        <v>2025</v>
      </c>
      <c r="L202" s="23">
        <v>45923</v>
      </c>
    </row>
    <row r="203" spans="1:12">
      <c r="A203" s="20" t="s">
        <v>53</v>
      </c>
      <c r="B203" s="21" t="s">
        <v>7</v>
      </c>
      <c r="C203" s="21" t="s">
        <v>16</v>
      </c>
      <c r="D203" s="21">
        <v>2</v>
      </c>
      <c r="E203" s="22">
        <v>28000</v>
      </c>
      <c r="F203" s="22">
        <v>56000</v>
      </c>
      <c r="G203" s="21" t="s">
        <v>42</v>
      </c>
      <c r="H203" s="21" t="s">
        <v>39</v>
      </c>
      <c r="I203" s="21">
        <v>7</v>
      </c>
      <c r="J203" s="21">
        <v>9</v>
      </c>
      <c r="K203" s="21">
        <v>2025</v>
      </c>
      <c r="L203" s="23">
        <v>45907</v>
      </c>
    </row>
    <row r="204" spans="1:12">
      <c r="A204" s="20" t="s">
        <v>28</v>
      </c>
      <c r="B204" s="21" t="s">
        <v>7</v>
      </c>
      <c r="C204" s="21" t="s">
        <v>12</v>
      </c>
      <c r="D204" s="21">
        <v>3</v>
      </c>
      <c r="E204" s="22">
        <v>28000</v>
      </c>
      <c r="F204" s="22">
        <v>84000</v>
      </c>
      <c r="G204" s="21" t="s">
        <v>43</v>
      </c>
      <c r="H204" s="21" t="s">
        <v>44</v>
      </c>
      <c r="I204" s="21">
        <v>30</v>
      </c>
      <c r="J204" s="21">
        <v>9</v>
      </c>
      <c r="K204" s="21">
        <v>2025</v>
      </c>
      <c r="L204" s="23">
        <v>45930</v>
      </c>
    </row>
    <row r="205" spans="1:12">
      <c r="A205" s="20" t="s">
        <v>28</v>
      </c>
      <c r="B205" s="21" t="s">
        <v>7</v>
      </c>
      <c r="C205" s="21" t="s">
        <v>8</v>
      </c>
      <c r="D205" s="21">
        <v>2</v>
      </c>
      <c r="E205" s="22">
        <v>30000</v>
      </c>
      <c r="F205" s="22">
        <v>60000</v>
      </c>
      <c r="G205" s="21" t="s">
        <v>38</v>
      </c>
      <c r="H205" s="21" t="s">
        <v>39</v>
      </c>
      <c r="I205" s="21">
        <v>30</v>
      </c>
      <c r="J205" s="21">
        <v>9</v>
      </c>
      <c r="K205" s="21">
        <v>2025</v>
      </c>
      <c r="L205" s="23">
        <v>45930</v>
      </c>
    </row>
    <row r="206" spans="1:12">
      <c r="A206" s="20" t="s">
        <v>28</v>
      </c>
      <c r="B206" s="21" t="s">
        <v>7</v>
      </c>
      <c r="C206" s="21" t="s">
        <v>15</v>
      </c>
      <c r="D206" s="21">
        <v>4</v>
      </c>
      <c r="E206" s="22">
        <v>28000</v>
      </c>
      <c r="F206" s="22">
        <v>112000</v>
      </c>
      <c r="G206" s="21" t="s">
        <v>40</v>
      </c>
      <c r="H206" s="21" t="s">
        <v>39</v>
      </c>
      <c r="I206" s="21">
        <v>30</v>
      </c>
      <c r="J206" s="21">
        <v>9</v>
      </c>
      <c r="K206" s="21">
        <v>2025</v>
      </c>
      <c r="L206" s="23">
        <v>45930</v>
      </c>
    </row>
    <row r="207" spans="1:12">
      <c r="A207" s="20" t="s">
        <v>60</v>
      </c>
      <c r="B207" s="21" t="s">
        <v>7</v>
      </c>
      <c r="C207" s="21" t="s">
        <v>13</v>
      </c>
      <c r="D207" s="21">
        <v>1</v>
      </c>
      <c r="E207" s="22">
        <v>25000</v>
      </c>
      <c r="F207" s="22">
        <v>25000</v>
      </c>
      <c r="G207" s="21" t="s">
        <v>41</v>
      </c>
      <c r="H207" s="21" t="s">
        <v>39</v>
      </c>
      <c r="I207" s="21">
        <v>4</v>
      </c>
      <c r="J207" s="21">
        <v>9</v>
      </c>
      <c r="K207" s="21">
        <v>2025</v>
      </c>
      <c r="L207" s="23">
        <v>45904</v>
      </c>
    </row>
    <row r="208" spans="1:12">
      <c r="A208" s="20" t="s">
        <v>22</v>
      </c>
      <c r="B208" s="21" t="s">
        <v>7</v>
      </c>
      <c r="C208" s="21" t="s">
        <v>16</v>
      </c>
      <c r="D208" s="21">
        <v>3</v>
      </c>
      <c r="E208" s="22">
        <v>20000</v>
      </c>
      <c r="F208" s="22">
        <v>60000</v>
      </c>
      <c r="G208" s="21" t="s">
        <v>42</v>
      </c>
      <c r="H208" s="21" t="s">
        <v>39</v>
      </c>
      <c r="I208" s="21">
        <v>16</v>
      </c>
      <c r="J208" s="21">
        <v>9</v>
      </c>
      <c r="K208" s="21">
        <v>2025</v>
      </c>
      <c r="L208" s="23">
        <v>45916</v>
      </c>
    </row>
    <row r="209" spans="1:12">
      <c r="A209" s="20" t="s">
        <v>20</v>
      </c>
      <c r="B209" s="21" t="s">
        <v>7</v>
      </c>
      <c r="C209" s="21" t="s">
        <v>12</v>
      </c>
      <c r="D209" s="21">
        <v>2</v>
      </c>
      <c r="E209" s="22">
        <v>20000</v>
      </c>
      <c r="F209" s="22">
        <v>40000</v>
      </c>
      <c r="G209" s="21" t="s">
        <v>43</v>
      </c>
      <c r="H209" s="21" t="s">
        <v>44</v>
      </c>
      <c r="I209" s="21">
        <v>26</v>
      </c>
      <c r="J209" s="21">
        <v>9</v>
      </c>
      <c r="K209" s="21">
        <v>2025</v>
      </c>
      <c r="L209" s="23">
        <v>45926</v>
      </c>
    </row>
    <row r="210" spans="1:12">
      <c r="A210" s="20" t="s">
        <v>21</v>
      </c>
      <c r="B210" s="21" t="s">
        <v>7</v>
      </c>
      <c r="C210" s="21" t="s">
        <v>8</v>
      </c>
      <c r="D210" s="21">
        <v>4</v>
      </c>
      <c r="E210" s="22">
        <v>35000</v>
      </c>
      <c r="F210" s="22">
        <v>140000</v>
      </c>
      <c r="G210" s="21" t="s">
        <v>38</v>
      </c>
      <c r="H210" s="21" t="s">
        <v>39</v>
      </c>
      <c r="I210" s="21">
        <v>19</v>
      </c>
      <c r="J210" s="21">
        <v>9</v>
      </c>
      <c r="K210" s="21">
        <v>2025</v>
      </c>
      <c r="L210" s="23">
        <v>45919</v>
      </c>
    </row>
    <row r="211" spans="1:12">
      <c r="A211" s="20" t="s">
        <v>53</v>
      </c>
      <c r="B211" s="21" t="s">
        <v>7</v>
      </c>
      <c r="C211" s="21" t="s">
        <v>15</v>
      </c>
      <c r="D211" s="21">
        <v>1</v>
      </c>
      <c r="E211" s="22">
        <v>35000</v>
      </c>
      <c r="F211" s="22">
        <v>35000</v>
      </c>
      <c r="G211" s="21" t="s">
        <v>40</v>
      </c>
      <c r="H211" s="21" t="s">
        <v>39</v>
      </c>
      <c r="I211" s="21">
        <v>7</v>
      </c>
      <c r="J211" s="21">
        <v>9</v>
      </c>
      <c r="K211" s="21">
        <v>2025</v>
      </c>
      <c r="L211" s="23">
        <v>45907</v>
      </c>
    </row>
    <row r="212" spans="1:12">
      <c r="A212" s="20" t="s">
        <v>18</v>
      </c>
      <c r="B212" s="21" t="s">
        <v>7</v>
      </c>
      <c r="C212" s="21" t="s">
        <v>13</v>
      </c>
      <c r="D212" s="21">
        <v>5</v>
      </c>
      <c r="E212" s="22">
        <v>20000</v>
      </c>
      <c r="F212" s="22">
        <v>100000</v>
      </c>
      <c r="G212" s="21" t="s">
        <v>41</v>
      </c>
      <c r="H212" s="21" t="s">
        <v>39</v>
      </c>
      <c r="I212" s="21">
        <v>29</v>
      </c>
      <c r="J212" s="21">
        <v>9</v>
      </c>
      <c r="K212" s="21">
        <v>2025</v>
      </c>
      <c r="L212" s="23">
        <v>45929</v>
      </c>
    </row>
    <row r="213" spans="1:12">
      <c r="A213" s="20" t="s">
        <v>51</v>
      </c>
      <c r="B213" s="21" t="s">
        <v>7</v>
      </c>
      <c r="C213" s="21" t="s">
        <v>16</v>
      </c>
      <c r="D213" s="21">
        <v>1</v>
      </c>
      <c r="E213" s="22">
        <v>28000</v>
      </c>
      <c r="F213" s="22">
        <v>28000</v>
      </c>
      <c r="G213" s="21" t="s">
        <v>42</v>
      </c>
      <c r="H213" s="21" t="s">
        <v>39</v>
      </c>
      <c r="I213" s="21">
        <v>2</v>
      </c>
      <c r="J213" s="21">
        <v>9</v>
      </c>
      <c r="K213" s="21">
        <v>2025</v>
      </c>
      <c r="L213" s="23">
        <v>45902</v>
      </c>
    </row>
    <row r="214" spans="1:12">
      <c r="A214" s="20" t="s">
        <v>50</v>
      </c>
      <c r="B214" s="21" t="s">
        <v>7</v>
      </c>
      <c r="C214" s="21" t="s">
        <v>12</v>
      </c>
      <c r="D214" s="21">
        <v>3</v>
      </c>
      <c r="E214" s="22">
        <v>30000</v>
      </c>
      <c r="F214" s="22">
        <v>90000</v>
      </c>
      <c r="G214" s="21" t="s">
        <v>43</v>
      </c>
      <c r="H214" s="21" t="s">
        <v>44</v>
      </c>
      <c r="I214" s="21">
        <v>11</v>
      </c>
      <c r="J214" s="21">
        <v>9</v>
      </c>
      <c r="K214" s="21">
        <v>2025</v>
      </c>
      <c r="L214" s="23">
        <v>45911</v>
      </c>
    </row>
    <row r="215" spans="1:12">
      <c r="A215" s="20" t="s">
        <v>53</v>
      </c>
      <c r="B215" s="21" t="s">
        <v>7</v>
      </c>
      <c r="C215" s="21" t="s">
        <v>16</v>
      </c>
      <c r="D215" s="21">
        <v>3</v>
      </c>
      <c r="E215" s="22">
        <v>28000</v>
      </c>
      <c r="F215" s="22">
        <v>84000</v>
      </c>
      <c r="G215" s="21" t="s">
        <v>42</v>
      </c>
      <c r="H215" s="21" t="s">
        <v>39</v>
      </c>
      <c r="I215" s="21">
        <v>7</v>
      </c>
      <c r="J215" s="21">
        <v>9</v>
      </c>
      <c r="K215" s="21">
        <v>2025</v>
      </c>
      <c r="L215" s="23">
        <v>45907</v>
      </c>
    </row>
    <row r="216" spans="1:12">
      <c r="A216" s="20" t="s">
        <v>54</v>
      </c>
      <c r="B216" s="21" t="s">
        <v>7</v>
      </c>
      <c r="C216" s="21" t="s">
        <v>12</v>
      </c>
      <c r="D216" s="21">
        <v>4</v>
      </c>
      <c r="E216" s="22">
        <v>28000</v>
      </c>
      <c r="F216" s="22">
        <v>112000</v>
      </c>
      <c r="G216" s="21" t="s">
        <v>43</v>
      </c>
      <c r="H216" s="21" t="s">
        <v>44</v>
      </c>
      <c r="I216" s="21">
        <v>8</v>
      </c>
      <c r="J216" s="21">
        <v>9</v>
      </c>
      <c r="K216" s="21">
        <v>2025</v>
      </c>
      <c r="L216" s="23">
        <v>45908</v>
      </c>
    </row>
    <row r="217" spans="1:12">
      <c r="A217" s="20" t="s">
        <v>30</v>
      </c>
      <c r="B217" s="21" t="s">
        <v>7</v>
      </c>
      <c r="C217" s="21" t="s">
        <v>8</v>
      </c>
      <c r="D217" s="21">
        <v>1</v>
      </c>
      <c r="E217" s="22">
        <v>35000</v>
      </c>
      <c r="F217" s="22">
        <v>35000</v>
      </c>
      <c r="G217" s="21" t="s">
        <v>38</v>
      </c>
      <c r="H217" s="21" t="s">
        <v>39</v>
      </c>
      <c r="I217" s="21">
        <v>25</v>
      </c>
      <c r="J217" s="21">
        <v>9</v>
      </c>
      <c r="K217" s="21">
        <v>2025</v>
      </c>
      <c r="L217" s="23">
        <v>45925</v>
      </c>
    </row>
    <row r="218" spans="1:12">
      <c r="A218" s="20" t="s">
        <v>50</v>
      </c>
      <c r="B218" s="21" t="s">
        <v>7</v>
      </c>
      <c r="C218" s="21" t="s">
        <v>15</v>
      </c>
      <c r="D218" s="21">
        <v>1</v>
      </c>
      <c r="E218" s="22">
        <v>20000</v>
      </c>
      <c r="F218" s="22">
        <v>20000</v>
      </c>
      <c r="G218" s="21" t="s">
        <v>40</v>
      </c>
      <c r="H218" s="21" t="s">
        <v>39</v>
      </c>
      <c r="I218" s="21">
        <v>11</v>
      </c>
      <c r="J218" s="21">
        <v>9</v>
      </c>
      <c r="K218" s="21">
        <v>2025</v>
      </c>
      <c r="L218" s="23">
        <v>45911</v>
      </c>
    </row>
    <row r="219" spans="1:12">
      <c r="A219" s="20" t="s">
        <v>30</v>
      </c>
      <c r="B219" s="21" t="s">
        <v>7</v>
      </c>
      <c r="C219" s="21" t="s">
        <v>13</v>
      </c>
      <c r="D219" s="21">
        <v>4</v>
      </c>
      <c r="E219" s="22">
        <v>30000</v>
      </c>
      <c r="F219" s="22">
        <v>120000</v>
      </c>
      <c r="G219" s="21" t="s">
        <v>41</v>
      </c>
      <c r="H219" s="21" t="s">
        <v>39</v>
      </c>
      <c r="I219" s="21">
        <v>25</v>
      </c>
      <c r="J219" s="21">
        <v>9</v>
      </c>
      <c r="K219" s="21">
        <v>2025</v>
      </c>
      <c r="L219" s="23">
        <v>45925</v>
      </c>
    </row>
    <row r="220" spans="1:12">
      <c r="A220" s="20" t="s">
        <v>18</v>
      </c>
      <c r="B220" s="21" t="s">
        <v>7</v>
      </c>
      <c r="C220" s="21" t="s">
        <v>16</v>
      </c>
      <c r="D220" s="21">
        <v>2</v>
      </c>
      <c r="E220" s="22">
        <v>20000</v>
      </c>
      <c r="F220" s="22">
        <v>40000</v>
      </c>
      <c r="G220" s="21" t="s">
        <v>42</v>
      </c>
      <c r="H220" s="21" t="s">
        <v>39</v>
      </c>
      <c r="I220" s="21">
        <v>29</v>
      </c>
      <c r="J220" s="21">
        <v>9</v>
      </c>
      <c r="K220" s="21">
        <v>2025</v>
      </c>
      <c r="L220" s="23">
        <v>45929</v>
      </c>
    </row>
    <row r="221" spans="1:12">
      <c r="A221" s="20" t="s">
        <v>29</v>
      </c>
      <c r="B221" s="21" t="s">
        <v>7</v>
      </c>
      <c r="C221" s="21" t="s">
        <v>12</v>
      </c>
      <c r="D221" s="21">
        <v>1</v>
      </c>
      <c r="E221" s="22">
        <v>30000</v>
      </c>
      <c r="F221" s="22">
        <v>30000</v>
      </c>
      <c r="G221" s="21" t="s">
        <v>43</v>
      </c>
      <c r="H221" s="21" t="s">
        <v>44</v>
      </c>
      <c r="I221" s="21">
        <v>22</v>
      </c>
      <c r="J221" s="21">
        <v>9</v>
      </c>
      <c r="K221" s="21">
        <v>2025</v>
      </c>
      <c r="L221" s="23">
        <v>45922</v>
      </c>
    </row>
    <row r="222" spans="1:12">
      <c r="A222" s="20" t="s">
        <v>22</v>
      </c>
      <c r="B222" s="21" t="s">
        <v>7</v>
      </c>
      <c r="C222" s="21" t="s">
        <v>13</v>
      </c>
      <c r="D222" s="21">
        <v>1</v>
      </c>
      <c r="E222" s="22">
        <v>30000</v>
      </c>
      <c r="F222" s="22">
        <v>30000</v>
      </c>
      <c r="G222" s="21" t="s">
        <v>41</v>
      </c>
      <c r="H222" s="21" t="s">
        <v>39</v>
      </c>
      <c r="I222" s="21">
        <v>16</v>
      </c>
      <c r="J222" s="21">
        <v>9</v>
      </c>
      <c r="K222" s="21">
        <v>2025</v>
      </c>
      <c r="L222" s="23">
        <v>45916</v>
      </c>
    </row>
    <row r="223" spans="1:12">
      <c r="A223" s="20" t="s">
        <v>21</v>
      </c>
      <c r="B223" s="21" t="s">
        <v>7</v>
      </c>
      <c r="C223" s="21" t="s">
        <v>16</v>
      </c>
      <c r="D223" s="21">
        <v>3</v>
      </c>
      <c r="E223" s="22">
        <v>35000</v>
      </c>
      <c r="F223" s="22">
        <v>105000</v>
      </c>
      <c r="G223" s="21" t="s">
        <v>42</v>
      </c>
      <c r="H223" s="21" t="s">
        <v>39</v>
      </c>
      <c r="I223" s="21">
        <v>19</v>
      </c>
      <c r="J223" s="21">
        <v>9</v>
      </c>
      <c r="K223" s="21">
        <v>2025</v>
      </c>
      <c r="L223" s="23">
        <v>45919</v>
      </c>
    </row>
    <row r="224" spans="1:12">
      <c r="A224" s="20" t="s">
        <v>60</v>
      </c>
      <c r="B224" s="21" t="s">
        <v>7</v>
      </c>
      <c r="C224" s="21" t="s">
        <v>12</v>
      </c>
      <c r="D224" s="21">
        <v>5</v>
      </c>
      <c r="E224" s="22">
        <v>35000</v>
      </c>
      <c r="F224" s="22">
        <v>175000</v>
      </c>
      <c r="G224" s="21" t="s">
        <v>43</v>
      </c>
      <c r="H224" s="21" t="s">
        <v>44</v>
      </c>
      <c r="I224" s="21">
        <v>4</v>
      </c>
      <c r="J224" s="21">
        <v>9</v>
      </c>
      <c r="K224" s="21">
        <v>2025</v>
      </c>
      <c r="L224" s="23">
        <v>45904</v>
      </c>
    </row>
    <row r="225" spans="1:12">
      <c r="A225" s="20" t="s">
        <v>31</v>
      </c>
      <c r="B225" s="21" t="s">
        <v>7</v>
      </c>
      <c r="C225" s="21" t="s">
        <v>8</v>
      </c>
      <c r="D225" s="21">
        <v>5</v>
      </c>
      <c r="E225" s="22">
        <v>35000</v>
      </c>
      <c r="F225" s="22">
        <v>175000</v>
      </c>
      <c r="G225" s="21" t="s">
        <v>38</v>
      </c>
      <c r="H225" s="21" t="s">
        <v>39</v>
      </c>
      <c r="I225" s="21">
        <v>23</v>
      </c>
      <c r="J225" s="21">
        <v>9</v>
      </c>
      <c r="K225" s="21">
        <v>2025</v>
      </c>
      <c r="L225" s="23">
        <v>45923</v>
      </c>
    </row>
    <row r="226" spans="1:12">
      <c r="A226" s="20" t="s">
        <v>54</v>
      </c>
      <c r="B226" s="21" t="s">
        <v>7</v>
      </c>
      <c r="C226" s="21" t="s">
        <v>15</v>
      </c>
      <c r="D226" s="21">
        <v>3</v>
      </c>
      <c r="E226" s="22">
        <v>35000</v>
      </c>
      <c r="F226" s="22">
        <v>105000</v>
      </c>
      <c r="G226" s="21" t="s">
        <v>40</v>
      </c>
      <c r="H226" s="21" t="s">
        <v>39</v>
      </c>
      <c r="I226" s="21">
        <v>8</v>
      </c>
      <c r="J226" s="21">
        <v>9</v>
      </c>
      <c r="K226" s="21">
        <v>2025</v>
      </c>
      <c r="L226" s="23">
        <v>45908</v>
      </c>
    </row>
    <row r="227" spans="1:12">
      <c r="A227" s="20" t="s">
        <v>19</v>
      </c>
      <c r="B227" s="21" t="s">
        <v>7</v>
      </c>
      <c r="C227" s="21" t="s">
        <v>13</v>
      </c>
      <c r="D227" s="21">
        <v>5</v>
      </c>
      <c r="E227" s="22">
        <v>35000</v>
      </c>
      <c r="F227" s="22">
        <v>175000</v>
      </c>
      <c r="G227" s="21" t="s">
        <v>41</v>
      </c>
      <c r="H227" s="21" t="s">
        <v>39</v>
      </c>
      <c r="I227" s="21">
        <v>27</v>
      </c>
      <c r="J227" s="21">
        <v>9</v>
      </c>
      <c r="K227" s="21">
        <v>2025</v>
      </c>
      <c r="L227" s="23">
        <v>45927</v>
      </c>
    </row>
    <row r="228" spans="1:12">
      <c r="A228" s="20" t="s">
        <v>55</v>
      </c>
      <c r="B228" s="21" t="s">
        <v>7</v>
      </c>
      <c r="C228" s="21" t="s">
        <v>16</v>
      </c>
      <c r="D228" s="21">
        <v>1</v>
      </c>
      <c r="E228" s="22">
        <v>30000</v>
      </c>
      <c r="F228" s="22">
        <v>30000</v>
      </c>
      <c r="G228" s="21" t="s">
        <v>42</v>
      </c>
      <c r="H228" s="21" t="s">
        <v>39</v>
      </c>
      <c r="I228" s="21">
        <v>10</v>
      </c>
      <c r="J228" s="21">
        <v>9</v>
      </c>
      <c r="K228" s="21">
        <v>2025</v>
      </c>
      <c r="L228" s="23">
        <v>45910</v>
      </c>
    </row>
    <row r="229" spans="1:12">
      <c r="A229" s="20" t="s">
        <v>18</v>
      </c>
      <c r="B229" s="21" t="s">
        <v>7</v>
      </c>
      <c r="C229" s="21" t="s">
        <v>12</v>
      </c>
      <c r="D229" s="21">
        <v>1</v>
      </c>
      <c r="E229" s="22">
        <v>35000</v>
      </c>
      <c r="F229" s="22">
        <v>35000</v>
      </c>
      <c r="G229" s="21" t="s">
        <v>43</v>
      </c>
      <c r="H229" s="21" t="s">
        <v>44</v>
      </c>
      <c r="I229" s="21">
        <v>29</v>
      </c>
      <c r="J229" s="21">
        <v>9</v>
      </c>
      <c r="K229" s="21">
        <v>2025</v>
      </c>
      <c r="L229" s="23">
        <v>45929</v>
      </c>
    </row>
    <row r="230" spans="1:12">
      <c r="A230" s="20" t="s">
        <v>54</v>
      </c>
      <c r="B230" s="21" t="s">
        <v>7</v>
      </c>
      <c r="C230" s="21" t="s">
        <v>8</v>
      </c>
      <c r="D230" s="21">
        <v>4</v>
      </c>
      <c r="E230" s="22">
        <v>30000</v>
      </c>
      <c r="F230" s="22">
        <v>120000</v>
      </c>
      <c r="G230" s="21" t="s">
        <v>38</v>
      </c>
      <c r="H230" s="21" t="s">
        <v>39</v>
      </c>
      <c r="I230" s="21">
        <v>8</v>
      </c>
      <c r="J230" s="21">
        <v>9</v>
      </c>
      <c r="K230" s="21">
        <v>2025</v>
      </c>
      <c r="L230" s="23">
        <v>45908</v>
      </c>
    </row>
    <row r="231" spans="1:12">
      <c r="A231" s="20" t="s">
        <v>50</v>
      </c>
      <c r="B231" s="21" t="s">
        <v>7</v>
      </c>
      <c r="C231" s="21" t="s">
        <v>15</v>
      </c>
      <c r="D231" s="21">
        <v>3</v>
      </c>
      <c r="E231" s="22">
        <v>25000</v>
      </c>
      <c r="F231" s="22">
        <v>75000</v>
      </c>
      <c r="G231" s="21" t="s">
        <v>40</v>
      </c>
      <c r="H231" s="21" t="s">
        <v>39</v>
      </c>
      <c r="I231" s="21">
        <v>11</v>
      </c>
      <c r="J231" s="21">
        <v>9</v>
      </c>
      <c r="K231" s="21">
        <v>2025</v>
      </c>
      <c r="L231" s="23">
        <v>45911</v>
      </c>
    </row>
    <row r="232" spans="1:12">
      <c r="A232" s="20" t="s">
        <v>57</v>
      </c>
      <c r="B232" s="21" t="s">
        <v>7</v>
      </c>
      <c r="C232" s="21" t="s">
        <v>13</v>
      </c>
      <c r="D232" s="21">
        <v>4</v>
      </c>
      <c r="E232" s="22">
        <v>20000</v>
      </c>
      <c r="F232" s="22">
        <v>80000</v>
      </c>
      <c r="G232" s="21" t="s">
        <v>41</v>
      </c>
      <c r="H232" s="21" t="s">
        <v>39</v>
      </c>
      <c r="I232" s="21">
        <v>6</v>
      </c>
      <c r="J232" s="21">
        <v>9</v>
      </c>
      <c r="K232" s="21">
        <v>2025</v>
      </c>
      <c r="L232" s="23">
        <v>45906</v>
      </c>
    </row>
    <row r="233" spans="1:12">
      <c r="A233" s="20" t="s">
        <v>6</v>
      </c>
      <c r="B233" s="21" t="s">
        <v>7</v>
      </c>
      <c r="C233" s="21" t="s">
        <v>16</v>
      </c>
      <c r="D233" s="21">
        <v>1</v>
      </c>
      <c r="E233" s="22">
        <v>28000</v>
      </c>
      <c r="F233" s="22">
        <v>28000</v>
      </c>
      <c r="G233" s="21" t="s">
        <v>42</v>
      </c>
      <c r="H233" s="21" t="s">
        <v>39</v>
      </c>
      <c r="I233" s="21">
        <v>17</v>
      </c>
      <c r="J233" s="21">
        <v>9</v>
      </c>
      <c r="K233" s="21">
        <v>2025</v>
      </c>
      <c r="L233" s="23">
        <v>45917</v>
      </c>
    </row>
    <row r="234" spans="1:12">
      <c r="A234" s="20" t="s">
        <v>58</v>
      </c>
      <c r="B234" s="21" t="s">
        <v>7</v>
      </c>
      <c r="C234" s="21" t="s">
        <v>12</v>
      </c>
      <c r="D234" s="21">
        <v>4</v>
      </c>
      <c r="E234" s="22">
        <v>30000</v>
      </c>
      <c r="F234" s="22">
        <v>120000</v>
      </c>
      <c r="G234" s="21" t="s">
        <v>43</v>
      </c>
      <c r="H234" s="21" t="s">
        <v>44</v>
      </c>
      <c r="I234" s="21">
        <v>5</v>
      </c>
      <c r="J234" s="21">
        <v>9</v>
      </c>
      <c r="K234" s="21">
        <v>2025</v>
      </c>
      <c r="L234" s="23">
        <v>45905</v>
      </c>
    </row>
    <row r="235" spans="1:12">
      <c r="A235" s="20" t="s">
        <v>29</v>
      </c>
      <c r="B235" s="21" t="s">
        <v>7</v>
      </c>
      <c r="C235" s="21" t="s">
        <v>8</v>
      </c>
      <c r="D235" s="21">
        <v>3</v>
      </c>
      <c r="E235" s="22">
        <v>28000</v>
      </c>
      <c r="F235" s="22">
        <v>84000</v>
      </c>
      <c r="G235" s="21" t="s">
        <v>38</v>
      </c>
      <c r="H235" s="21" t="s">
        <v>39</v>
      </c>
      <c r="I235" s="21">
        <v>22</v>
      </c>
      <c r="J235" s="21">
        <v>9</v>
      </c>
      <c r="K235" s="21">
        <v>2025</v>
      </c>
      <c r="L235" s="23">
        <v>45922</v>
      </c>
    </row>
    <row r="236" spans="1:12">
      <c r="A236" s="20" t="s">
        <v>25</v>
      </c>
      <c r="B236" s="21" t="s">
        <v>7</v>
      </c>
      <c r="C236" s="21" t="s">
        <v>15</v>
      </c>
      <c r="D236" s="21">
        <v>1</v>
      </c>
      <c r="E236" s="22">
        <v>25000</v>
      </c>
      <c r="F236" s="22">
        <v>25000</v>
      </c>
      <c r="G236" s="21" t="s">
        <v>40</v>
      </c>
      <c r="H236" s="21" t="s">
        <v>39</v>
      </c>
      <c r="I236" s="21">
        <v>18</v>
      </c>
      <c r="J236" s="21">
        <v>9</v>
      </c>
      <c r="K236" s="21">
        <v>2025</v>
      </c>
      <c r="L236" s="23">
        <v>45918</v>
      </c>
    </row>
    <row r="237" spans="1:12">
      <c r="A237" s="20" t="s">
        <v>25</v>
      </c>
      <c r="B237" s="21" t="s">
        <v>7</v>
      </c>
      <c r="C237" s="21" t="s">
        <v>13</v>
      </c>
      <c r="D237" s="21">
        <v>4</v>
      </c>
      <c r="E237" s="22">
        <v>25000</v>
      </c>
      <c r="F237" s="22">
        <v>100000</v>
      </c>
      <c r="G237" s="21" t="s">
        <v>41</v>
      </c>
      <c r="H237" s="21" t="s">
        <v>39</v>
      </c>
      <c r="I237" s="21">
        <v>18</v>
      </c>
      <c r="J237" s="21">
        <v>9</v>
      </c>
      <c r="K237" s="21">
        <v>2025</v>
      </c>
      <c r="L237" s="23">
        <v>45918</v>
      </c>
    </row>
    <row r="238" spans="1:12">
      <c r="A238" s="20" t="s">
        <v>30</v>
      </c>
      <c r="B238" s="21" t="s">
        <v>7</v>
      </c>
      <c r="C238" s="21" t="s">
        <v>16</v>
      </c>
      <c r="D238" s="21">
        <v>3</v>
      </c>
      <c r="E238" s="22">
        <v>35000</v>
      </c>
      <c r="F238" s="22">
        <v>105000</v>
      </c>
      <c r="G238" s="21" t="s">
        <v>42</v>
      </c>
      <c r="H238" s="21" t="s">
        <v>39</v>
      </c>
      <c r="I238" s="21">
        <v>25</v>
      </c>
      <c r="J238" s="21">
        <v>9</v>
      </c>
      <c r="K238" s="21">
        <v>2025</v>
      </c>
      <c r="L238" s="23">
        <v>45925</v>
      </c>
    </row>
    <row r="239" spans="1:12">
      <c r="A239" s="20" t="s">
        <v>21</v>
      </c>
      <c r="B239" s="21" t="s">
        <v>7</v>
      </c>
      <c r="C239" s="21" t="s">
        <v>12</v>
      </c>
      <c r="D239" s="21">
        <v>1</v>
      </c>
      <c r="E239" s="22">
        <v>20000</v>
      </c>
      <c r="F239" s="22">
        <v>20000</v>
      </c>
      <c r="G239" s="21" t="s">
        <v>43</v>
      </c>
      <c r="H239" s="21" t="s">
        <v>44</v>
      </c>
      <c r="I239" s="21">
        <v>19</v>
      </c>
      <c r="J239" s="21">
        <v>9</v>
      </c>
      <c r="K239" s="21">
        <v>2025</v>
      </c>
      <c r="L239" s="23">
        <v>45919</v>
      </c>
    </row>
    <row r="240" spans="1:12">
      <c r="A240" s="20" t="s">
        <v>26</v>
      </c>
      <c r="B240" s="21" t="s">
        <v>7</v>
      </c>
      <c r="C240" s="21" t="s">
        <v>8</v>
      </c>
      <c r="D240" s="21">
        <v>1</v>
      </c>
      <c r="E240" s="22">
        <v>30000</v>
      </c>
      <c r="F240" s="22">
        <v>30000</v>
      </c>
      <c r="G240" s="21" t="s">
        <v>38</v>
      </c>
      <c r="H240" s="21" t="s">
        <v>39</v>
      </c>
      <c r="I240" s="21">
        <v>21</v>
      </c>
      <c r="J240" s="21">
        <v>9</v>
      </c>
      <c r="K240" s="21">
        <v>2025</v>
      </c>
      <c r="L240" s="23">
        <v>45921</v>
      </c>
    </row>
    <row r="241" spans="1:12">
      <c r="A241" s="20" t="s">
        <v>20</v>
      </c>
      <c r="B241" s="21" t="s">
        <v>7</v>
      </c>
      <c r="C241" s="21" t="s">
        <v>15</v>
      </c>
      <c r="D241" s="21">
        <v>1</v>
      </c>
      <c r="E241" s="22">
        <v>25000</v>
      </c>
      <c r="F241" s="22">
        <v>25000</v>
      </c>
      <c r="G241" s="21" t="s">
        <v>40</v>
      </c>
      <c r="H241" s="21" t="s">
        <v>39</v>
      </c>
      <c r="I241" s="21">
        <v>26</v>
      </c>
      <c r="J241" s="21">
        <v>9</v>
      </c>
      <c r="K241" s="21">
        <v>2025</v>
      </c>
      <c r="L241" s="23">
        <v>45926</v>
      </c>
    </row>
    <row r="242" spans="1:12">
      <c r="A242" s="20" t="s">
        <v>56</v>
      </c>
      <c r="B242" s="21" t="s">
        <v>9</v>
      </c>
      <c r="C242" s="21" t="s">
        <v>12</v>
      </c>
      <c r="D242" s="21">
        <v>5</v>
      </c>
      <c r="E242" s="22">
        <v>28000</v>
      </c>
      <c r="F242" s="22">
        <v>140000</v>
      </c>
      <c r="G242" s="21" t="s">
        <v>43</v>
      </c>
      <c r="H242" s="21" t="s">
        <v>44</v>
      </c>
      <c r="I242" s="21">
        <v>3</v>
      </c>
      <c r="J242" s="21">
        <v>9</v>
      </c>
      <c r="K242" s="21">
        <v>2025</v>
      </c>
      <c r="L242" s="23">
        <v>45903</v>
      </c>
    </row>
    <row r="243" spans="1:12">
      <c r="A243" s="20" t="s">
        <v>17</v>
      </c>
      <c r="B243" s="21" t="s">
        <v>9</v>
      </c>
      <c r="C243" s="21" t="s">
        <v>12</v>
      </c>
      <c r="D243" s="21">
        <v>3</v>
      </c>
      <c r="E243" s="22">
        <v>20000</v>
      </c>
      <c r="F243" s="22">
        <v>60000</v>
      </c>
      <c r="G243" s="21" t="s">
        <v>43</v>
      </c>
      <c r="H243" s="21" t="s">
        <v>44</v>
      </c>
      <c r="I243" s="21">
        <v>14</v>
      </c>
      <c r="J243" s="21">
        <v>9</v>
      </c>
      <c r="K243" s="21">
        <v>2025</v>
      </c>
      <c r="L243" s="23">
        <v>45914</v>
      </c>
    </row>
    <row r="244" spans="1:12">
      <c r="A244" s="20" t="s">
        <v>59</v>
      </c>
      <c r="B244" s="21" t="s">
        <v>9</v>
      </c>
      <c r="C244" s="21" t="s">
        <v>8</v>
      </c>
      <c r="D244" s="21">
        <v>2</v>
      </c>
      <c r="E244" s="22">
        <v>35000</v>
      </c>
      <c r="F244" s="22">
        <v>70000</v>
      </c>
      <c r="G244" s="21" t="s">
        <v>38</v>
      </c>
      <c r="H244" s="21" t="s">
        <v>39</v>
      </c>
      <c r="I244" s="21">
        <v>12</v>
      </c>
      <c r="J244" s="21">
        <v>9</v>
      </c>
      <c r="K244" s="21">
        <v>2025</v>
      </c>
      <c r="L244" s="23">
        <v>45912</v>
      </c>
    </row>
    <row r="245" spans="1:12">
      <c r="A245" s="20" t="s">
        <v>60</v>
      </c>
      <c r="B245" s="21" t="s">
        <v>9</v>
      </c>
      <c r="C245" s="21" t="s">
        <v>15</v>
      </c>
      <c r="D245" s="21">
        <v>1</v>
      </c>
      <c r="E245" s="22">
        <v>25000</v>
      </c>
      <c r="F245" s="22">
        <v>25000</v>
      </c>
      <c r="G245" s="21" t="s">
        <v>40</v>
      </c>
      <c r="H245" s="21" t="s">
        <v>39</v>
      </c>
      <c r="I245" s="21">
        <v>4</v>
      </c>
      <c r="J245" s="21">
        <v>9</v>
      </c>
      <c r="K245" s="21">
        <v>2025</v>
      </c>
      <c r="L245" s="23">
        <v>45904</v>
      </c>
    </row>
    <row r="246" spans="1:12">
      <c r="A246" s="20" t="s">
        <v>10</v>
      </c>
      <c r="B246" s="21" t="s">
        <v>9</v>
      </c>
      <c r="C246" s="21" t="s">
        <v>13</v>
      </c>
      <c r="D246" s="21">
        <v>1</v>
      </c>
      <c r="E246" s="22">
        <v>28000</v>
      </c>
      <c r="F246" s="22">
        <v>28000</v>
      </c>
      <c r="G246" s="21" t="s">
        <v>41</v>
      </c>
      <c r="H246" s="21" t="s">
        <v>39</v>
      </c>
      <c r="I246" s="21">
        <v>20</v>
      </c>
      <c r="J246" s="21">
        <v>9</v>
      </c>
      <c r="K246" s="21">
        <v>2025</v>
      </c>
      <c r="L246" s="23">
        <v>45920</v>
      </c>
    </row>
    <row r="247" spans="1:12">
      <c r="A247" s="20" t="s">
        <v>54</v>
      </c>
      <c r="B247" s="21" t="s">
        <v>9</v>
      </c>
      <c r="C247" s="21" t="s">
        <v>16</v>
      </c>
      <c r="D247" s="21">
        <v>2</v>
      </c>
      <c r="E247" s="22">
        <v>28000</v>
      </c>
      <c r="F247" s="22">
        <v>56000</v>
      </c>
      <c r="G247" s="21" t="s">
        <v>42</v>
      </c>
      <c r="H247" s="21" t="s">
        <v>39</v>
      </c>
      <c r="I247" s="21">
        <v>8</v>
      </c>
      <c r="J247" s="21">
        <v>9</v>
      </c>
      <c r="K247" s="21">
        <v>2025</v>
      </c>
      <c r="L247" s="23">
        <v>45908</v>
      </c>
    </row>
    <row r="248" spans="1:12">
      <c r="A248" s="20" t="s">
        <v>19</v>
      </c>
      <c r="B248" s="21" t="s">
        <v>9</v>
      </c>
      <c r="C248" s="21" t="s">
        <v>12</v>
      </c>
      <c r="D248" s="21">
        <v>2</v>
      </c>
      <c r="E248" s="22">
        <v>28000</v>
      </c>
      <c r="F248" s="22">
        <v>56000</v>
      </c>
      <c r="G248" s="21" t="s">
        <v>43</v>
      </c>
      <c r="H248" s="21" t="s">
        <v>44</v>
      </c>
      <c r="I248" s="21">
        <v>27</v>
      </c>
      <c r="J248" s="21">
        <v>9</v>
      </c>
      <c r="K248" s="21">
        <v>2025</v>
      </c>
      <c r="L248" s="23">
        <v>45927</v>
      </c>
    </row>
    <row r="249" spans="1:12">
      <c r="A249" s="20" t="s">
        <v>23</v>
      </c>
      <c r="B249" s="21" t="s">
        <v>9</v>
      </c>
      <c r="C249" s="21" t="s">
        <v>12</v>
      </c>
      <c r="D249" s="21">
        <v>2</v>
      </c>
      <c r="E249" s="22">
        <v>28000</v>
      </c>
      <c r="F249" s="22">
        <v>56000</v>
      </c>
      <c r="G249" s="21" t="s">
        <v>43</v>
      </c>
      <c r="H249" s="21" t="s">
        <v>44</v>
      </c>
      <c r="I249" s="21">
        <v>24</v>
      </c>
      <c r="J249" s="21">
        <v>9</v>
      </c>
      <c r="K249" s="21">
        <v>2025</v>
      </c>
      <c r="L249" s="23">
        <v>45924</v>
      </c>
    </row>
    <row r="250" spans="1:12">
      <c r="A250" s="20" t="s">
        <v>18</v>
      </c>
      <c r="B250" s="21" t="s">
        <v>9</v>
      </c>
      <c r="C250" s="21" t="s">
        <v>12</v>
      </c>
      <c r="D250" s="21">
        <v>5</v>
      </c>
      <c r="E250" s="22">
        <v>28000</v>
      </c>
      <c r="F250" s="22">
        <v>140000</v>
      </c>
      <c r="G250" s="21" t="s">
        <v>43</v>
      </c>
      <c r="H250" s="21" t="s">
        <v>44</v>
      </c>
      <c r="I250" s="21">
        <v>29</v>
      </c>
      <c r="J250" s="21">
        <v>9</v>
      </c>
      <c r="K250" s="21">
        <v>2025</v>
      </c>
      <c r="L250" s="23">
        <v>45929</v>
      </c>
    </row>
    <row r="251" spans="1:12">
      <c r="A251" s="20" t="s">
        <v>27</v>
      </c>
      <c r="B251" s="21" t="s">
        <v>9</v>
      </c>
      <c r="C251" s="21" t="s">
        <v>12</v>
      </c>
      <c r="D251" s="21">
        <v>2</v>
      </c>
      <c r="E251" s="22">
        <v>20000</v>
      </c>
      <c r="F251" s="22">
        <v>40000</v>
      </c>
      <c r="G251" s="21" t="s">
        <v>43</v>
      </c>
      <c r="H251" s="21" t="s">
        <v>44</v>
      </c>
      <c r="I251" s="21">
        <v>15</v>
      </c>
      <c r="J251" s="21">
        <v>9</v>
      </c>
      <c r="K251" s="21">
        <v>2025</v>
      </c>
      <c r="L251" s="23">
        <v>45915</v>
      </c>
    </row>
    <row r="252" spans="1:12">
      <c r="A252" s="20" t="s">
        <v>53</v>
      </c>
      <c r="B252" s="21" t="s">
        <v>9</v>
      </c>
      <c r="C252" s="21" t="s">
        <v>12</v>
      </c>
      <c r="D252" s="21">
        <v>1</v>
      </c>
      <c r="E252" s="22">
        <v>30000</v>
      </c>
      <c r="F252" s="22">
        <v>30000</v>
      </c>
      <c r="G252" s="21" t="s">
        <v>43</v>
      </c>
      <c r="H252" s="21" t="s">
        <v>44</v>
      </c>
      <c r="I252" s="21">
        <v>7</v>
      </c>
      <c r="J252" s="21">
        <v>9</v>
      </c>
      <c r="K252" s="21">
        <v>2025</v>
      </c>
      <c r="L252" s="23">
        <v>45907</v>
      </c>
    </row>
    <row r="253" spans="1:12">
      <c r="A253" s="20" t="s">
        <v>51</v>
      </c>
      <c r="B253" s="21" t="s">
        <v>9</v>
      </c>
      <c r="C253" s="21" t="s">
        <v>12</v>
      </c>
      <c r="D253" s="21">
        <v>2</v>
      </c>
      <c r="E253" s="22">
        <v>28000</v>
      </c>
      <c r="F253" s="22">
        <v>56000</v>
      </c>
      <c r="G253" s="21" t="s">
        <v>43</v>
      </c>
      <c r="H253" s="21" t="s">
        <v>44</v>
      </c>
      <c r="I253" s="21">
        <v>2</v>
      </c>
      <c r="J253" s="21">
        <v>9</v>
      </c>
      <c r="K253" s="21">
        <v>2025</v>
      </c>
      <c r="L253" s="23">
        <v>45902</v>
      </c>
    </row>
    <row r="254" spans="1:12">
      <c r="A254" s="20" t="s">
        <v>53</v>
      </c>
      <c r="B254" s="21" t="s">
        <v>9</v>
      </c>
      <c r="C254" s="21" t="s">
        <v>12</v>
      </c>
      <c r="D254" s="21">
        <v>2</v>
      </c>
      <c r="E254" s="22">
        <v>35000</v>
      </c>
      <c r="F254" s="22">
        <v>70000</v>
      </c>
      <c r="G254" s="21" t="s">
        <v>43</v>
      </c>
      <c r="H254" s="21" t="s">
        <v>44</v>
      </c>
      <c r="I254" s="21">
        <v>7</v>
      </c>
      <c r="J254" s="21">
        <v>9</v>
      </c>
      <c r="K254" s="21">
        <v>2025</v>
      </c>
      <c r="L254" s="23">
        <v>45907</v>
      </c>
    </row>
    <row r="255" spans="1:12">
      <c r="A255" s="20" t="s">
        <v>58</v>
      </c>
      <c r="B255" s="21" t="s">
        <v>9</v>
      </c>
      <c r="C255" s="21" t="s">
        <v>12</v>
      </c>
      <c r="D255" s="21">
        <v>3</v>
      </c>
      <c r="E255" s="22">
        <v>28000</v>
      </c>
      <c r="F255" s="22">
        <v>84000</v>
      </c>
      <c r="G255" s="21" t="s">
        <v>43</v>
      </c>
      <c r="H255" s="21" t="s">
        <v>44</v>
      </c>
      <c r="I255" s="21">
        <v>5</v>
      </c>
      <c r="J255" s="21">
        <v>9</v>
      </c>
      <c r="K255" s="21">
        <v>2025</v>
      </c>
      <c r="L255" s="23">
        <v>45905</v>
      </c>
    </row>
    <row r="256" spans="1:12">
      <c r="A256" s="20" t="s">
        <v>54</v>
      </c>
      <c r="B256" s="21" t="s">
        <v>9</v>
      </c>
      <c r="C256" s="21" t="s">
        <v>12</v>
      </c>
      <c r="D256" s="21">
        <v>4</v>
      </c>
      <c r="E256" s="22">
        <v>25000</v>
      </c>
      <c r="F256" s="22">
        <v>100000</v>
      </c>
      <c r="G256" s="21" t="s">
        <v>43</v>
      </c>
      <c r="H256" s="21" t="s">
        <v>44</v>
      </c>
      <c r="I256" s="21">
        <v>8</v>
      </c>
      <c r="J256" s="21">
        <v>9</v>
      </c>
      <c r="K256" s="21">
        <v>2025</v>
      </c>
      <c r="L256" s="23">
        <v>45908</v>
      </c>
    </row>
    <row r="257" spans="1:12">
      <c r="A257" s="20" t="s">
        <v>6</v>
      </c>
      <c r="B257" s="21" t="s">
        <v>9</v>
      </c>
      <c r="C257" s="21" t="s">
        <v>12</v>
      </c>
      <c r="D257" s="21">
        <v>4</v>
      </c>
      <c r="E257" s="22">
        <v>25000</v>
      </c>
      <c r="F257" s="22">
        <v>100000</v>
      </c>
      <c r="G257" s="21" t="s">
        <v>43</v>
      </c>
      <c r="H257" s="21" t="s">
        <v>44</v>
      </c>
      <c r="I257" s="21">
        <v>17</v>
      </c>
      <c r="J257" s="21">
        <v>9</v>
      </c>
      <c r="K257" s="21">
        <v>2025</v>
      </c>
      <c r="L257" s="23">
        <v>45917</v>
      </c>
    </row>
    <row r="258" spans="1:12">
      <c r="A258" s="20" t="s">
        <v>56</v>
      </c>
      <c r="B258" s="21" t="s">
        <v>9</v>
      </c>
      <c r="C258" s="21" t="s">
        <v>12</v>
      </c>
      <c r="D258" s="21">
        <v>5</v>
      </c>
      <c r="E258" s="22">
        <v>20000</v>
      </c>
      <c r="F258" s="22">
        <v>100000</v>
      </c>
      <c r="G258" s="21" t="s">
        <v>43</v>
      </c>
      <c r="H258" s="21" t="s">
        <v>44</v>
      </c>
      <c r="I258" s="21">
        <v>3</v>
      </c>
      <c r="J258" s="21">
        <v>9</v>
      </c>
      <c r="K258" s="21">
        <v>2025</v>
      </c>
      <c r="L258" s="23">
        <v>45903</v>
      </c>
    </row>
    <row r="259" spans="1:12">
      <c r="A259" s="20" t="s">
        <v>10</v>
      </c>
      <c r="B259" s="21" t="s">
        <v>9</v>
      </c>
      <c r="C259" s="21" t="s">
        <v>12</v>
      </c>
      <c r="D259" s="21">
        <v>1</v>
      </c>
      <c r="E259" s="22">
        <v>30000</v>
      </c>
      <c r="F259" s="22">
        <v>30000</v>
      </c>
      <c r="G259" s="21" t="s">
        <v>43</v>
      </c>
      <c r="H259" s="21" t="s">
        <v>44</v>
      </c>
      <c r="I259" s="21">
        <v>20</v>
      </c>
      <c r="J259" s="21">
        <v>9</v>
      </c>
      <c r="K259" s="21">
        <v>2025</v>
      </c>
      <c r="L259" s="23">
        <v>45920</v>
      </c>
    </row>
    <row r="260" spans="1:12">
      <c r="A260" s="20" t="s">
        <v>29</v>
      </c>
      <c r="B260" s="21" t="s">
        <v>9</v>
      </c>
      <c r="C260" s="21" t="s">
        <v>12</v>
      </c>
      <c r="D260" s="21">
        <v>4</v>
      </c>
      <c r="E260" s="22">
        <v>28000</v>
      </c>
      <c r="F260" s="22">
        <v>112000</v>
      </c>
      <c r="G260" s="21" t="s">
        <v>43</v>
      </c>
      <c r="H260" s="21" t="s">
        <v>44</v>
      </c>
      <c r="I260" s="21">
        <v>22</v>
      </c>
      <c r="J260" s="21">
        <v>9</v>
      </c>
      <c r="K260" s="21">
        <v>2025</v>
      </c>
      <c r="L260" s="23">
        <v>45922</v>
      </c>
    </row>
    <row r="261" spans="1:12">
      <c r="A261" s="20" t="s">
        <v>26</v>
      </c>
      <c r="B261" s="21" t="s">
        <v>9</v>
      </c>
      <c r="C261" s="21" t="s">
        <v>12</v>
      </c>
      <c r="D261" s="21">
        <v>1</v>
      </c>
      <c r="E261" s="22">
        <v>30000</v>
      </c>
      <c r="F261" s="22">
        <v>30000</v>
      </c>
      <c r="G261" s="21" t="s">
        <v>43</v>
      </c>
      <c r="H261" s="21" t="s">
        <v>44</v>
      </c>
      <c r="I261" s="21">
        <v>21</v>
      </c>
      <c r="J261" s="21">
        <v>9</v>
      </c>
      <c r="K261" s="21">
        <v>2025</v>
      </c>
      <c r="L261" s="23">
        <v>45921</v>
      </c>
    </row>
    <row r="262" spans="1:12">
      <c r="A262" s="20" t="s">
        <v>27</v>
      </c>
      <c r="B262" s="21" t="s">
        <v>9</v>
      </c>
      <c r="C262" s="21" t="s">
        <v>16</v>
      </c>
      <c r="D262" s="21">
        <v>5</v>
      </c>
      <c r="E262" s="22">
        <v>30000</v>
      </c>
      <c r="F262" s="22">
        <v>150000</v>
      </c>
      <c r="G262" s="21" t="s">
        <v>42</v>
      </c>
      <c r="H262" s="21" t="s">
        <v>39</v>
      </c>
      <c r="I262" s="21">
        <v>15</v>
      </c>
      <c r="J262" s="21">
        <v>9</v>
      </c>
      <c r="K262" s="21">
        <v>2025</v>
      </c>
      <c r="L262" s="23">
        <v>45915</v>
      </c>
    </row>
    <row r="263" spans="1:12">
      <c r="A263" s="20" t="s">
        <v>61</v>
      </c>
      <c r="B263" s="21" t="s">
        <v>9</v>
      </c>
      <c r="C263" s="21" t="s">
        <v>12</v>
      </c>
      <c r="D263" s="21">
        <v>5</v>
      </c>
      <c r="E263" s="22">
        <v>35000</v>
      </c>
      <c r="F263" s="22">
        <v>175000</v>
      </c>
      <c r="G263" s="21" t="s">
        <v>43</v>
      </c>
      <c r="H263" s="21" t="s">
        <v>44</v>
      </c>
      <c r="I263" s="21">
        <v>9</v>
      </c>
      <c r="J263" s="21">
        <v>9</v>
      </c>
      <c r="K263" s="21">
        <v>2025</v>
      </c>
      <c r="L263" s="23">
        <v>45909</v>
      </c>
    </row>
    <row r="264" spans="1:12">
      <c r="A264" s="20" t="s">
        <v>19</v>
      </c>
      <c r="B264" s="21" t="s">
        <v>9</v>
      </c>
      <c r="C264" s="21" t="s">
        <v>13</v>
      </c>
      <c r="D264" s="21">
        <v>5</v>
      </c>
      <c r="E264" s="22">
        <v>20000</v>
      </c>
      <c r="F264" s="22">
        <v>100000</v>
      </c>
      <c r="G264" s="21" t="s">
        <v>41</v>
      </c>
      <c r="H264" s="21" t="s">
        <v>39</v>
      </c>
      <c r="I264" s="21">
        <v>27</v>
      </c>
      <c r="J264" s="21">
        <v>9</v>
      </c>
      <c r="K264" s="21">
        <v>2025</v>
      </c>
      <c r="L264" s="23">
        <v>45927</v>
      </c>
    </row>
    <row r="265" spans="1:12">
      <c r="A265" s="20" t="s">
        <v>51</v>
      </c>
      <c r="B265" s="21" t="s">
        <v>9</v>
      </c>
      <c r="C265" s="21" t="s">
        <v>16</v>
      </c>
      <c r="D265" s="21">
        <v>2</v>
      </c>
      <c r="E265" s="22">
        <v>30000</v>
      </c>
      <c r="F265" s="22">
        <v>60000</v>
      </c>
      <c r="G265" s="21" t="s">
        <v>42</v>
      </c>
      <c r="H265" s="21" t="s">
        <v>39</v>
      </c>
      <c r="I265" s="21">
        <v>2</v>
      </c>
      <c r="J265" s="21">
        <v>9</v>
      </c>
      <c r="K265" s="21">
        <v>2025</v>
      </c>
      <c r="L265" s="23">
        <v>45902</v>
      </c>
    </row>
    <row r="266" spans="1:12">
      <c r="A266" s="20" t="s">
        <v>18</v>
      </c>
      <c r="B266" s="21" t="s">
        <v>9</v>
      </c>
      <c r="C266" s="21" t="s">
        <v>12</v>
      </c>
      <c r="D266" s="21">
        <v>2</v>
      </c>
      <c r="E266" s="22">
        <v>30000</v>
      </c>
      <c r="F266" s="22">
        <v>60000</v>
      </c>
      <c r="G266" s="21" t="s">
        <v>43</v>
      </c>
      <c r="H266" s="21" t="s">
        <v>44</v>
      </c>
      <c r="I266" s="21">
        <v>29</v>
      </c>
      <c r="J266" s="21">
        <v>9</v>
      </c>
      <c r="K266" s="21">
        <v>2025</v>
      </c>
      <c r="L266" s="23">
        <v>45929</v>
      </c>
    </row>
    <row r="267" spans="1:12">
      <c r="A267" s="20" t="s">
        <v>10</v>
      </c>
      <c r="B267" s="21" t="s">
        <v>9</v>
      </c>
      <c r="C267" s="21" t="s">
        <v>8</v>
      </c>
      <c r="D267" s="21">
        <v>1</v>
      </c>
      <c r="E267" s="22">
        <v>20000</v>
      </c>
      <c r="F267" s="22">
        <v>20000</v>
      </c>
      <c r="G267" s="21" t="s">
        <v>38</v>
      </c>
      <c r="H267" s="21" t="s">
        <v>39</v>
      </c>
      <c r="I267" s="21">
        <v>20</v>
      </c>
      <c r="J267" s="21">
        <v>9</v>
      </c>
      <c r="K267" s="21">
        <v>2025</v>
      </c>
      <c r="L267" s="23">
        <v>45920</v>
      </c>
    </row>
    <row r="268" spans="1:12">
      <c r="A268" s="20" t="s">
        <v>53</v>
      </c>
      <c r="B268" s="21" t="s">
        <v>9</v>
      </c>
      <c r="C268" s="21" t="s">
        <v>15</v>
      </c>
      <c r="D268" s="21">
        <v>4</v>
      </c>
      <c r="E268" s="22">
        <v>30000</v>
      </c>
      <c r="F268" s="22">
        <v>120000</v>
      </c>
      <c r="G268" s="21" t="s">
        <v>40</v>
      </c>
      <c r="H268" s="21" t="s">
        <v>39</v>
      </c>
      <c r="I268" s="21">
        <v>7</v>
      </c>
      <c r="J268" s="21">
        <v>9</v>
      </c>
      <c r="K268" s="21">
        <v>2025</v>
      </c>
      <c r="L268" s="23">
        <v>45907</v>
      </c>
    </row>
    <row r="269" spans="1:12">
      <c r="A269" s="20" t="s">
        <v>29</v>
      </c>
      <c r="B269" s="21" t="s">
        <v>9</v>
      </c>
      <c r="C269" s="21" t="s">
        <v>13</v>
      </c>
      <c r="D269" s="21">
        <v>1</v>
      </c>
      <c r="E269" s="22">
        <v>28000</v>
      </c>
      <c r="F269" s="22">
        <v>28000</v>
      </c>
      <c r="G269" s="21" t="s">
        <v>41</v>
      </c>
      <c r="H269" s="21" t="s">
        <v>39</v>
      </c>
      <c r="I269" s="21">
        <v>22</v>
      </c>
      <c r="J269" s="21">
        <v>9</v>
      </c>
      <c r="K269" s="21">
        <v>2025</v>
      </c>
      <c r="L269" s="23">
        <v>45922</v>
      </c>
    </row>
    <row r="270" spans="1:12">
      <c r="A270" s="20" t="s">
        <v>19</v>
      </c>
      <c r="B270" s="21" t="s">
        <v>9</v>
      </c>
      <c r="C270" s="21" t="s">
        <v>16</v>
      </c>
      <c r="D270" s="21">
        <v>5</v>
      </c>
      <c r="E270" s="22">
        <v>35000</v>
      </c>
      <c r="F270" s="22">
        <v>175000</v>
      </c>
      <c r="G270" s="21" t="s">
        <v>42</v>
      </c>
      <c r="H270" s="21" t="s">
        <v>39</v>
      </c>
      <c r="I270" s="21">
        <v>27</v>
      </c>
      <c r="J270" s="21">
        <v>9</v>
      </c>
      <c r="K270" s="21">
        <v>2025</v>
      </c>
      <c r="L270" s="23">
        <v>45927</v>
      </c>
    </row>
    <row r="271" spans="1:12">
      <c r="A271" s="20" t="s">
        <v>32</v>
      </c>
      <c r="B271" s="21" t="s">
        <v>9</v>
      </c>
      <c r="C271" s="21" t="s">
        <v>12</v>
      </c>
      <c r="D271" s="21">
        <v>5</v>
      </c>
      <c r="E271" s="22">
        <v>28000</v>
      </c>
      <c r="F271" s="22">
        <v>140000</v>
      </c>
      <c r="G271" s="21" t="s">
        <v>43</v>
      </c>
      <c r="H271" s="21" t="s">
        <v>44</v>
      </c>
      <c r="I271" s="21">
        <v>28</v>
      </c>
      <c r="J271" s="21">
        <v>9</v>
      </c>
      <c r="K271" s="21">
        <v>2025</v>
      </c>
      <c r="L271" s="23">
        <v>45928</v>
      </c>
    </row>
    <row r="272" spans="1:12">
      <c r="A272" s="20" t="s">
        <v>21</v>
      </c>
      <c r="B272" s="21" t="s">
        <v>9</v>
      </c>
      <c r="C272" s="21" t="s">
        <v>8</v>
      </c>
      <c r="D272" s="21">
        <v>3</v>
      </c>
      <c r="E272" s="22">
        <v>25000</v>
      </c>
      <c r="F272" s="22">
        <v>75000</v>
      </c>
      <c r="G272" s="21" t="s">
        <v>38</v>
      </c>
      <c r="H272" s="21" t="s">
        <v>39</v>
      </c>
      <c r="I272" s="21">
        <v>19</v>
      </c>
      <c r="J272" s="21">
        <v>9</v>
      </c>
      <c r="K272" s="21">
        <v>2025</v>
      </c>
      <c r="L272" s="23">
        <v>45919</v>
      </c>
    </row>
    <row r="273" spans="1:12">
      <c r="A273" s="20" t="s">
        <v>25</v>
      </c>
      <c r="B273" s="21" t="s">
        <v>9</v>
      </c>
      <c r="C273" s="21" t="s">
        <v>15</v>
      </c>
      <c r="D273" s="21">
        <v>2</v>
      </c>
      <c r="E273" s="22">
        <v>28000</v>
      </c>
      <c r="F273" s="22">
        <v>56000</v>
      </c>
      <c r="G273" s="21" t="s">
        <v>40</v>
      </c>
      <c r="H273" s="21" t="s">
        <v>39</v>
      </c>
      <c r="I273" s="21">
        <v>18</v>
      </c>
      <c r="J273" s="21">
        <v>9</v>
      </c>
      <c r="K273" s="21">
        <v>2025</v>
      </c>
      <c r="L273" s="23">
        <v>45918</v>
      </c>
    </row>
    <row r="274" spans="1:12">
      <c r="A274" s="20" t="s">
        <v>27</v>
      </c>
      <c r="B274" s="21" t="s">
        <v>9</v>
      </c>
      <c r="C274" s="21" t="s">
        <v>13</v>
      </c>
      <c r="D274" s="21">
        <v>4</v>
      </c>
      <c r="E274" s="22">
        <v>25000</v>
      </c>
      <c r="F274" s="22">
        <v>100000</v>
      </c>
      <c r="G274" s="21" t="s">
        <v>41</v>
      </c>
      <c r="H274" s="21" t="s">
        <v>39</v>
      </c>
      <c r="I274" s="21">
        <v>15</v>
      </c>
      <c r="J274" s="21">
        <v>9</v>
      </c>
      <c r="K274" s="21">
        <v>2025</v>
      </c>
      <c r="L274" s="23">
        <v>45915</v>
      </c>
    </row>
    <row r="275" spans="1:12">
      <c r="A275" s="20" t="s">
        <v>27</v>
      </c>
      <c r="B275" s="21" t="s">
        <v>9</v>
      </c>
      <c r="C275" s="21" t="s">
        <v>16</v>
      </c>
      <c r="D275" s="21">
        <v>3</v>
      </c>
      <c r="E275" s="22">
        <v>28000</v>
      </c>
      <c r="F275" s="22">
        <v>84000</v>
      </c>
      <c r="G275" s="21" t="s">
        <v>42</v>
      </c>
      <c r="H275" s="21" t="s">
        <v>39</v>
      </c>
      <c r="I275" s="21">
        <v>15</v>
      </c>
      <c r="J275" s="21">
        <v>9</v>
      </c>
      <c r="K275" s="21">
        <v>2025</v>
      </c>
      <c r="L275" s="23">
        <v>45915</v>
      </c>
    </row>
    <row r="276" spans="1:12">
      <c r="A276" s="20" t="s">
        <v>29</v>
      </c>
      <c r="B276" s="21" t="s">
        <v>9</v>
      </c>
      <c r="C276" s="21" t="s">
        <v>12</v>
      </c>
      <c r="D276" s="21">
        <v>1</v>
      </c>
      <c r="E276" s="22">
        <v>30000</v>
      </c>
      <c r="F276" s="22">
        <v>30000</v>
      </c>
      <c r="G276" s="21" t="s">
        <v>43</v>
      </c>
      <c r="H276" s="21" t="s">
        <v>44</v>
      </c>
      <c r="I276" s="21">
        <v>22</v>
      </c>
      <c r="J276" s="21">
        <v>9</v>
      </c>
      <c r="K276" s="21">
        <v>2025</v>
      </c>
      <c r="L276" s="23">
        <v>45922</v>
      </c>
    </row>
    <row r="277" spans="1:12">
      <c r="A277" s="20" t="s">
        <v>50</v>
      </c>
      <c r="B277" s="21" t="s">
        <v>9</v>
      </c>
      <c r="C277" s="21" t="s">
        <v>8</v>
      </c>
      <c r="D277" s="21">
        <v>1</v>
      </c>
      <c r="E277" s="22">
        <v>25000</v>
      </c>
      <c r="F277" s="22">
        <v>25000</v>
      </c>
      <c r="G277" s="21" t="s">
        <v>38</v>
      </c>
      <c r="H277" s="21" t="s">
        <v>39</v>
      </c>
      <c r="I277" s="21">
        <v>11</v>
      </c>
      <c r="J277" s="21">
        <v>9</v>
      </c>
      <c r="K277" s="21">
        <v>2025</v>
      </c>
      <c r="L277" s="23">
        <v>45911</v>
      </c>
    </row>
    <row r="278" spans="1:12">
      <c r="A278" s="20" t="s">
        <v>30</v>
      </c>
      <c r="B278" s="21" t="s">
        <v>9</v>
      </c>
      <c r="C278" s="21" t="s">
        <v>15</v>
      </c>
      <c r="D278" s="21">
        <v>5</v>
      </c>
      <c r="E278" s="22">
        <v>20000</v>
      </c>
      <c r="F278" s="22">
        <v>100000</v>
      </c>
      <c r="G278" s="21" t="s">
        <v>40</v>
      </c>
      <c r="H278" s="21" t="s">
        <v>39</v>
      </c>
      <c r="I278" s="21">
        <v>25</v>
      </c>
      <c r="J278" s="21">
        <v>9</v>
      </c>
      <c r="K278" s="21">
        <v>2025</v>
      </c>
      <c r="L278" s="23">
        <v>45925</v>
      </c>
    </row>
    <row r="279" spans="1:12">
      <c r="A279" s="20" t="s">
        <v>61</v>
      </c>
      <c r="B279" s="21" t="s">
        <v>9</v>
      </c>
      <c r="C279" s="21" t="s">
        <v>13</v>
      </c>
      <c r="D279" s="21">
        <v>3</v>
      </c>
      <c r="E279" s="22">
        <v>35000</v>
      </c>
      <c r="F279" s="22">
        <v>105000</v>
      </c>
      <c r="G279" s="21" t="s">
        <v>41</v>
      </c>
      <c r="H279" s="21" t="s">
        <v>39</v>
      </c>
      <c r="I279" s="21">
        <v>9</v>
      </c>
      <c r="J279" s="21">
        <v>9</v>
      </c>
      <c r="K279" s="21">
        <v>2025</v>
      </c>
      <c r="L279" s="23">
        <v>45909</v>
      </c>
    </row>
    <row r="280" spans="1:12">
      <c r="A280" s="20" t="s">
        <v>25</v>
      </c>
      <c r="B280" s="21" t="s">
        <v>9</v>
      </c>
      <c r="C280" s="21" t="s">
        <v>16</v>
      </c>
      <c r="D280" s="21">
        <v>2</v>
      </c>
      <c r="E280" s="22">
        <v>30000</v>
      </c>
      <c r="F280" s="22">
        <v>60000</v>
      </c>
      <c r="G280" s="21" t="s">
        <v>42</v>
      </c>
      <c r="H280" s="21" t="s">
        <v>39</v>
      </c>
      <c r="I280" s="21">
        <v>18</v>
      </c>
      <c r="J280" s="21">
        <v>9</v>
      </c>
      <c r="K280" s="21">
        <v>2025</v>
      </c>
      <c r="L280" s="23">
        <v>45918</v>
      </c>
    </row>
    <row r="281" spans="1:12">
      <c r="A281" s="20" t="s">
        <v>21</v>
      </c>
      <c r="B281" s="21" t="s">
        <v>9</v>
      </c>
      <c r="C281" s="21" t="s">
        <v>12</v>
      </c>
      <c r="D281" s="21">
        <v>1</v>
      </c>
      <c r="E281" s="22">
        <v>30000</v>
      </c>
      <c r="F281" s="22">
        <v>30000</v>
      </c>
      <c r="G281" s="21" t="s">
        <v>43</v>
      </c>
      <c r="H281" s="21" t="s">
        <v>44</v>
      </c>
      <c r="I281" s="21">
        <v>19</v>
      </c>
      <c r="J281" s="21">
        <v>9</v>
      </c>
      <c r="K281" s="21">
        <v>2025</v>
      </c>
      <c r="L281" s="23">
        <v>45919</v>
      </c>
    </row>
    <row r="282" spans="1:12">
      <c r="A282" s="20" t="s">
        <v>59</v>
      </c>
      <c r="B282" s="21" t="s">
        <v>9</v>
      </c>
      <c r="C282" s="21" t="s">
        <v>8</v>
      </c>
      <c r="D282" s="21">
        <v>5</v>
      </c>
      <c r="E282" s="22">
        <v>35000</v>
      </c>
      <c r="F282" s="22">
        <v>175000</v>
      </c>
      <c r="G282" s="21" t="s">
        <v>38</v>
      </c>
      <c r="H282" s="21" t="s">
        <v>39</v>
      </c>
      <c r="I282" s="21">
        <v>12</v>
      </c>
      <c r="J282" s="21">
        <v>9</v>
      </c>
      <c r="K282" s="21">
        <v>2025</v>
      </c>
      <c r="L282" s="23">
        <v>45912</v>
      </c>
    </row>
    <row r="283" spans="1:12">
      <c r="A283" s="20" t="s">
        <v>21</v>
      </c>
      <c r="B283" s="21" t="s">
        <v>9</v>
      </c>
      <c r="C283" s="21" t="s">
        <v>15</v>
      </c>
      <c r="D283" s="21">
        <v>5</v>
      </c>
      <c r="E283" s="22">
        <v>28000</v>
      </c>
      <c r="F283" s="22">
        <v>140000</v>
      </c>
      <c r="G283" s="21" t="s">
        <v>40</v>
      </c>
      <c r="H283" s="21" t="s">
        <v>39</v>
      </c>
      <c r="I283" s="21">
        <v>19</v>
      </c>
      <c r="J283" s="21">
        <v>9</v>
      </c>
      <c r="K283" s="21">
        <v>2025</v>
      </c>
      <c r="L283" s="23">
        <v>45919</v>
      </c>
    </row>
    <row r="284" spans="1:12">
      <c r="A284" s="20" t="s">
        <v>24</v>
      </c>
      <c r="B284" s="21" t="s">
        <v>9</v>
      </c>
      <c r="C284" s="21" t="s">
        <v>13</v>
      </c>
      <c r="D284" s="21">
        <v>1</v>
      </c>
      <c r="E284" s="22">
        <v>25000</v>
      </c>
      <c r="F284" s="22">
        <v>25000</v>
      </c>
      <c r="G284" s="21" t="s">
        <v>41</v>
      </c>
      <c r="H284" s="21" t="s">
        <v>39</v>
      </c>
      <c r="I284" s="21">
        <v>13</v>
      </c>
      <c r="J284" s="21">
        <v>9</v>
      </c>
      <c r="K284" s="21">
        <v>2025</v>
      </c>
      <c r="L284" s="23">
        <v>45913</v>
      </c>
    </row>
    <row r="285" spans="1:12">
      <c r="A285" s="20" t="s">
        <v>56</v>
      </c>
      <c r="B285" s="21" t="s">
        <v>9</v>
      </c>
      <c r="C285" s="21" t="s">
        <v>16</v>
      </c>
      <c r="D285" s="21">
        <v>2</v>
      </c>
      <c r="E285" s="22">
        <v>25000</v>
      </c>
      <c r="F285" s="22">
        <v>50000</v>
      </c>
      <c r="G285" s="21" t="s">
        <v>42</v>
      </c>
      <c r="H285" s="21" t="s">
        <v>39</v>
      </c>
      <c r="I285" s="21">
        <v>3</v>
      </c>
      <c r="J285" s="21">
        <v>9</v>
      </c>
      <c r="K285" s="21">
        <v>2025</v>
      </c>
      <c r="L285" s="23">
        <v>45903</v>
      </c>
    </row>
    <row r="286" spans="1:12">
      <c r="A286" s="20" t="s">
        <v>26</v>
      </c>
      <c r="B286" s="21" t="s">
        <v>9</v>
      </c>
      <c r="C286" s="21" t="s">
        <v>12</v>
      </c>
      <c r="D286" s="21">
        <v>4</v>
      </c>
      <c r="E286" s="22">
        <v>28000</v>
      </c>
      <c r="F286" s="22">
        <v>112000</v>
      </c>
      <c r="G286" s="21" t="s">
        <v>43</v>
      </c>
      <c r="H286" s="21" t="s">
        <v>44</v>
      </c>
      <c r="I286" s="21">
        <v>21</v>
      </c>
      <c r="J286" s="21">
        <v>9</v>
      </c>
      <c r="K286" s="21">
        <v>2025</v>
      </c>
      <c r="L286" s="23">
        <v>45921</v>
      </c>
    </row>
    <row r="287" spans="1:12">
      <c r="A287" s="20" t="s">
        <v>61</v>
      </c>
      <c r="B287" s="21" t="s">
        <v>9</v>
      </c>
      <c r="C287" s="21" t="s">
        <v>8</v>
      </c>
      <c r="D287" s="21">
        <v>4</v>
      </c>
      <c r="E287" s="22">
        <v>25000</v>
      </c>
      <c r="F287" s="22">
        <v>100000</v>
      </c>
      <c r="G287" s="21" t="s">
        <v>38</v>
      </c>
      <c r="H287" s="21" t="s">
        <v>39</v>
      </c>
      <c r="I287" s="21">
        <v>9</v>
      </c>
      <c r="J287" s="21">
        <v>9</v>
      </c>
      <c r="K287" s="21">
        <v>2025</v>
      </c>
      <c r="L287" s="23">
        <v>45909</v>
      </c>
    </row>
    <row r="288" spans="1:12">
      <c r="A288" s="20" t="s">
        <v>23</v>
      </c>
      <c r="B288" s="21" t="s">
        <v>9</v>
      </c>
      <c r="C288" s="21" t="s">
        <v>15</v>
      </c>
      <c r="D288" s="21">
        <v>5</v>
      </c>
      <c r="E288" s="22">
        <v>30000</v>
      </c>
      <c r="F288" s="22">
        <v>150000</v>
      </c>
      <c r="G288" s="21" t="s">
        <v>40</v>
      </c>
      <c r="H288" s="21" t="s">
        <v>39</v>
      </c>
      <c r="I288" s="21">
        <v>24</v>
      </c>
      <c r="J288" s="21">
        <v>9</v>
      </c>
      <c r="K288" s="21">
        <v>2025</v>
      </c>
      <c r="L288" s="23">
        <v>45924</v>
      </c>
    </row>
    <row r="289" spans="1:12">
      <c r="A289" s="20" t="s">
        <v>58</v>
      </c>
      <c r="B289" s="21" t="s">
        <v>9</v>
      </c>
      <c r="C289" s="21" t="s">
        <v>13</v>
      </c>
      <c r="D289" s="21">
        <v>2</v>
      </c>
      <c r="E289" s="22">
        <v>20000</v>
      </c>
      <c r="F289" s="22">
        <v>40000</v>
      </c>
      <c r="G289" s="21" t="s">
        <v>41</v>
      </c>
      <c r="H289" s="21" t="s">
        <v>39</v>
      </c>
      <c r="I289" s="21">
        <v>5</v>
      </c>
      <c r="J289" s="21">
        <v>9</v>
      </c>
      <c r="K289" s="21">
        <v>2025</v>
      </c>
      <c r="L289" s="23">
        <v>45905</v>
      </c>
    </row>
    <row r="290" spans="1:12">
      <c r="A290" s="20" t="s">
        <v>57</v>
      </c>
      <c r="B290" s="21" t="s">
        <v>9</v>
      </c>
      <c r="C290" s="21" t="s">
        <v>16</v>
      </c>
      <c r="D290" s="21">
        <v>1</v>
      </c>
      <c r="E290" s="22">
        <v>20000</v>
      </c>
      <c r="F290" s="22">
        <v>20000</v>
      </c>
      <c r="G290" s="21" t="s">
        <v>42</v>
      </c>
      <c r="H290" s="21" t="s">
        <v>39</v>
      </c>
      <c r="I290" s="21">
        <v>6</v>
      </c>
      <c r="J290" s="21">
        <v>9</v>
      </c>
      <c r="K290" s="21">
        <v>2025</v>
      </c>
      <c r="L290" s="23">
        <v>45906</v>
      </c>
    </row>
    <row r="291" spans="1:12">
      <c r="A291" s="20" t="s">
        <v>57</v>
      </c>
      <c r="B291" s="21" t="s">
        <v>9</v>
      </c>
      <c r="C291" s="21" t="s">
        <v>12</v>
      </c>
      <c r="D291" s="21">
        <v>3</v>
      </c>
      <c r="E291" s="22">
        <v>20000</v>
      </c>
      <c r="F291" s="22">
        <v>60000</v>
      </c>
      <c r="G291" s="21" t="s">
        <v>43</v>
      </c>
      <c r="H291" s="21" t="s">
        <v>44</v>
      </c>
      <c r="I291" s="21">
        <v>6</v>
      </c>
      <c r="J291" s="21">
        <v>9</v>
      </c>
      <c r="K291" s="21">
        <v>2025</v>
      </c>
      <c r="L291" s="23">
        <v>45906</v>
      </c>
    </row>
    <row r="292" spans="1:12">
      <c r="A292" s="20" t="s">
        <v>6</v>
      </c>
      <c r="B292" s="21" t="s">
        <v>9</v>
      </c>
      <c r="C292" s="21" t="s">
        <v>8</v>
      </c>
      <c r="D292" s="21">
        <v>3</v>
      </c>
      <c r="E292" s="22">
        <v>25000</v>
      </c>
      <c r="F292" s="22">
        <v>75000</v>
      </c>
      <c r="G292" s="21" t="s">
        <v>38</v>
      </c>
      <c r="H292" s="21" t="s">
        <v>39</v>
      </c>
      <c r="I292" s="21">
        <v>17</v>
      </c>
      <c r="J292" s="21">
        <v>9</v>
      </c>
      <c r="K292" s="21">
        <v>2025</v>
      </c>
      <c r="L292" s="23">
        <v>45917</v>
      </c>
    </row>
    <row r="293" spans="1:12">
      <c r="A293" s="20" t="s">
        <v>58</v>
      </c>
      <c r="B293" s="21" t="s">
        <v>9</v>
      </c>
      <c r="C293" s="21" t="s">
        <v>15</v>
      </c>
      <c r="D293" s="21">
        <v>2</v>
      </c>
      <c r="E293" s="22">
        <v>25000</v>
      </c>
      <c r="F293" s="22">
        <v>50000</v>
      </c>
      <c r="G293" s="21" t="s">
        <v>40</v>
      </c>
      <c r="H293" s="21" t="s">
        <v>39</v>
      </c>
      <c r="I293" s="21">
        <v>5</v>
      </c>
      <c r="J293" s="21">
        <v>9</v>
      </c>
      <c r="K293" s="21">
        <v>2025</v>
      </c>
      <c r="L293" s="23">
        <v>45905</v>
      </c>
    </row>
    <row r="294" spans="1:12">
      <c r="A294" s="20" t="s">
        <v>51</v>
      </c>
      <c r="B294" s="21" t="s">
        <v>9</v>
      </c>
      <c r="C294" s="21" t="s">
        <v>13</v>
      </c>
      <c r="D294" s="21">
        <v>2</v>
      </c>
      <c r="E294" s="22">
        <v>28000</v>
      </c>
      <c r="F294" s="22">
        <v>56000</v>
      </c>
      <c r="G294" s="21" t="s">
        <v>41</v>
      </c>
      <c r="H294" s="21" t="s">
        <v>39</v>
      </c>
      <c r="I294" s="21">
        <v>2</v>
      </c>
      <c r="J294" s="21">
        <v>9</v>
      </c>
      <c r="K294" s="21">
        <v>2025</v>
      </c>
      <c r="L294" s="23">
        <v>45902</v>
      </c>
    </row>
    <row r="295" spans="1:12">
      <c r="A295" s="20" t="s">
        <v>20</v>
      </c>
      <c r="B295" s="21" t="s">
        <v>9</v>
      </c>
      <c r="C295" s="21" t="s">
        <v>16</v>
      </c>
      <c r="D295" s="21">
        <v>2</v>
      </c>
      <c r="E295" s="22">
        <v>35000</v>
      </c>
      <c r="F295" s="22">
        <v>70000</v>
      </c>
      <c r="G295" s="21" t="s">
        <v>42</v>
      </c>
      <c r="H295" s="21" t="s">
        <v>39</v>
      </c>
      <c r="I295" s="21">
        <v>26</v>
      </c>
      <c r="J295" s="21">
        <v>9</v>
      </c>
      <c r="K295" s="21">
        <v>2025</v>
      </c>
      <c r="L295" s="23">
        <v>45926</v>
      </c>
    </row>
    <row r="296" spans="1:12">
      <c r="A296" s="20" t="s">
        <v>32</v>
      </c>
      <c r="B296" s="21" t="s">
        <v>9</v>
      </c>
      <c r="C296" s="21" t="s">
        <v>12</v>
      </c>
      <c r="D296" s="21">
        <v>3</v>
      </c>
      <c r="E296" s="22">
        <v>25000</v>
      </c>
      <c r="F296" s="22">
        <v>75000</v>
      </c>
      <c r="G296" s="21" t="s">
        <v>43</v>
      </c>
      <c r="H296" s="21" t="s">
        <v>44</v>
      </c>
      <c r="I296" s="21">
        <v>28</v>
      </c>
      <c r="J296" s="21">
        <v>9</v>
      </c>
      <c r="K296" s="21">
        <v>2025</v>
      </c>
      <c r="L296" s="23">
        <v>45928</v>
      </c>
    </row>
    <row r="297" spans="1:12">
      <c r="A297" s="20" t="s">
        <v>57</v>
      </c>
      <c r="B297" s="21" t="s">
        <v>9</v>
      </c>
      <c r="C297" s="21" t="s">
        <v>13</v>
      </c>
      <c r="D297" s="21">
        <v>5</v>
      </c>
      <c r="E297" s="22">
        <v>20000</v>
      </c>
      <c r="F297" s="22">
        <v>100000</v>
      </c>
      <c r="G297" s="21" t="s">
        <v>41</v>
      </c>
      <c r="H297" s="21" t="s">
        <v>39</v>
      </c>
      <c r="I297" s="21">
        <v>6</v>
      </c>
      <c r="J297" s="21">
        <v>9</v>
      </c>
      <c r="K297" s="21">
        <v>2025</v>
      </c>
      <c r="L297" s="23">
        <v>45906</v>
      </c>
    </row>
    <row r="298" spans="1:12">
      <c r="A298" s="20" t="s">
        <v>29</v>
      </c>
      <c r="B298" s="21" t="s">
        <v>9</v>
      </c>
      <c r="C298" s="21" t="s">
        <v>16</v>
      </c>
      <c r="D298" s="21">
        <v>5</v>
      </c>
      <c r="E298" s="22">
        <v>20000</v>
      </c>
      <c r="F298" s="22">
        <v>100000</v>
      </c>
      <c r="G298" s="21" t="s">
        <v>42</v>
      </c>
      <c r="H298" s="21" t="s">
        <v>39</v>
      </c>
      <c r="I298" s="21">
        <v>22</v>
      </c>
      <c r="J298" s="21">
        <v>9</v>
      </c>
      <c r="K298" s="21">
        <v>2025</v>
      </c>
      <c r="L298" s="23">
        <v>45922</v>
      </c>
    </row>
    <row r="299" spans="1:12">
      <c r="A299" s="20" t="s">
        <v>22</v>
      </c>
      <c r="B299" s="21" t="s">
        <v>9</v>
      </c>
      <c r="C299" s="21" t="s">
        <v>12</v>
      </c>
      <c r="D299" s="21">
        <v>3</v>
      </c>
      <c r="E299" s="22">
        <v>20000</v>
      </c>
      <c r="F299" s="22">
        <v>60000</v>
      </c>
      <c r="G299" s="21" t="s">
        <v>43</v>
      </c>
      <c r="H299" s="21" t="s">
        <v>44</v>
      </c>
      <c r="I299" s="21">
        <v>16</v>
      </c>
      <c r="J299" s="21">
        <v>9</v>
      </c>
      <c r="K299" s="21">
        <v>2025</v>
      </c>
      <c r="L299" s="23">
        <v>45916</v>
      </c>
    </row>
    <row r="300" spans="1:12">
      <c r="A300" s="20" t="s">
        <v>60</v>
      </c>
      <c r="B300" s="21" t="s">
        <v>9</v>
      </c>
      <c r="C300" s="21" t="s">
        <v>16</v>
      </c>
      <c r="D300" s="21">
        <v>1</v>
      </c>
      <c r="E300" s="22">
        <v>20000</v>
      </c>
      <c r="F300" s="22">
        <v>20000</v>
      </c>
      <c r="G300" s="21" t="s">
        <v>42</v>
      </c>
      <c r="H300" s="21" t="s">
        <v>39</v>
      </c>
      <c r="I300" s="21">
        <v>4</v>
      </c>
      <c r="J300" s="21">
        <v>9</v>
      </c>
      <c r="K300" s="21">
        <v>2025</v>
      </c>
      <c r="L300" s="23">
        <v>45904</v>
      </c>
    </row>
    <row r="301" spans="1:12">
      <c r="A301" s="20" t="s">
        <v>55</v>
      </c>
      <c r="B301" s="21" t="s">
        <v>9</v>
      </c>
      <c r="C301" s="21" t="s">
        <v>12</v>
      </c>
      <c r="D301" s="21">
        <v>4</v>
      </c>
      <c r="E301" s="22">
        <v>25000</v>
      </c>
      <c r="F301" s="22">
        <v>100000</v>
      </c>
      <c r="G301" s="21" t="s">
        <v>43</v>
      </c>
      <c r="H301" s="21" t="s">
        <v>44</v>
      </c>
      <c r="I301" s="21">
        <v>10</v>
      </c>
      <c r="J301" s="21">
        <v>9</v>
      </c>
      <c r="K301" s="21">
        <v>2025</v>
      </c>
      <c r="L301" s="23">
        <v>45910</v>
      </c>
    </row>
    <row r="302" spans="1:12">
      <c r="A302" s="20" t="s">
        <v>6</v>
      </c>
      <c r="B302" s="21" t="s">
        <v>9</v>
      </c>
      <c r="C302" s="21" t="s">
        <v>8</v>
      </c>
      <c r="D302" s="21">
        <v>3</v>
      </c>
      <c r="E302" s="22">
        <v>25000</v>
      </c>
      <c r="F302" s="22">
        <v>75000</v>
      </c>
      <c r="G302" s="21" t="s">
        <v>38</v>
      </c>
      <c r="H302" s="21" t="s">
        <v>39</v>
      </c>
      <c r="I302" s="21">
        <v>17</v>
      </c>
      <c r="J302" s="21">
        <v>9</v>
      </c>
      <c r="K302" s="21">
        <v>2025</v>
      </c>
      <c r="L302" s="23">
        <v>45917</v>
      </c>
    </row>
    <row r="303" spans="1:12">
      <c r="A303" s="20" t="s">
        <v>25</v>
      </c>
      <c r="B303" s="21" t="s">
        <v>9</v>
      </c>
      <c r="C303" s="21" t="s">
        <v>15</v>
      </c>
      <c r="D303" s="21">
        <v>1</v>
      </c>
      <c r="E303" s="22">
        <v>28000</v>
      </c>
      <c r="F303" s="22">
        <v>28000</v>
      </c>
      <c r="G303" s="21" t="s">
        <v>40</v>
      </c>
      <c r="H303" s="21" t="s">
        <v>39</v>
      </c>
      <c r="I303" s="21">
        <v>18</v>
      </c>
      <c r="J303" s="21">
        <v>9</v>
      </c>
      <c r="K303" s="21">
        <v>2025</v>
      </c>
      <c r="L303" s="23">
        <v>45918</v>
      </c>
    </row>
    <row r="304" spans="1:12">
      <c r="A304" s="20" t="s">
        <v>19</v>
      </c>
      <c r="B304" s="21" t="s">
        <v>9</v>
      </c>
      <c r="C304" s="21" t="s">
        <v>13</v>
      </c>
      <c r="D304" s="21">
        <v>1</v>
      </c>
      <c r="E304" s="22">
        <v>28000</v>
      </c>
      <c r="F304" s="22">
        <v>28000</v>
      </c>
      <c r="G304" s="21" t="s">
        <v>41</v>
      </c>
      <c r="H304" s="21" t="s">
        <v>39</v>
      </c>
      <c r="I304" s="21">
        <v>27</v>
      </c>
      <c r="J304" s="21">
        <v>9</v>
      </c>
      <c r="K304" s="21">
        <v>2025</v>
      </c>
      <c r="L304" s="23">
        <v>45927</v>
      </c>
    </row>
    <row r="305" spans="1:12">
      <c r="A305" s="20" t="s">
        <v>26</v>
      </c>
      <c r="B305" s="21" t="s">
        <v>9</v>
      </c>
      <c r="C305" s="21" t="s">
        <v>16</v>
      </c>
      <c r="D305" s="21">
        <v>3</v>
      </c>
      <c r="E305" s="22">
        <v>20000</v>
      </c>
      <c r="F305" s="22">
        <v>60000</v>
      </c>
      <c r="G305" s="21" t="s">
        <v>42</v>
      </c>
      <c r="H305" s="21" t="s">
        <v>39</v>
      </c>
      <c r="I305" s="21">
        <v>21</v>
      </c>
      <c r="J305" s="21">
        <v>9</v>
      </c>
      <c r="K305" s="21">
        <v>2025</v>
      </c>
      <c r="L305" s="23">
        <v>45921</v>
      </c>
    </row>
    <row r="306" spans="1:12">
      <c r="A306" s="20" t="s">
        <v>23</v>
      </c>
      <c r="B306" s="21" t="s">
        <v>9</v>
      </c>
      <c r="C306" s="21" t="s">
        <v>12</v>
      </c>
      <c r="D306" s="21">
        <v>5</v>
      </c>
      <c r="E306" s="22">
        <v>25000</v>
      </c>
      <c r="F306" s="22">
        <v>125000</v>
      </c>
      <c r="G306" s="21" t="s">
        <v>43</v>
      </c>
      <c r="H306" s="21" t="s">
        <v>44</v>
      </c>
      <c r="I306" s="21">
        <v>24</v>
      </c>
      <c r="J306" s="21">
        <v>9</v>
      </c>
      <c r="K306" s="21">
        <v>2025</v>
      </c>
      <c r="L306" s="23">
        <v>45924</v>
      </c>
    </row>
    <row r="307" spans="1:12">
      <c r="A307" s="20" t="s">
        <v>50</v>
      </c>
      <c r="B307" s="21" t="s">
        <v>9</v>
      </c>
      <c r="C307" s="21" t="s">
        <v>13</v>
      </c>
      <c r="D307" s="21">
        <v>2</v>
      </c>
      <c r="E307" s="22">
        <v>30000</v>
      </c>
      <c r="F307" s="22">
        <v>60000</v>
      </c>
      <c r="G307" s="21" t="s">
        <v>41</v>
      </c>
      <c r="H307" s="21" t="s">
        <v>39</v>
      </c>
      <c r="I307" s="21">
        <v>11</v>
      </c>
      <c r="J307" s="21">
        <v>9</v>
      </c>
      <c r="K307" s="21">
        <v>2025</v>
      </c>
      <c r="L307" s="23">
        <v>45911</v>
      </c>
    </row>
    <row r="308" spans="1:12">
      <c r="A308" s="20" t="s">
        <v>56</v>
      </c>
      <c r="B308" s="21" t="s">
        <v>9</v>
      </c>
      <c r="C308" s="21" t="s">
        <v>16</v>
      </c>
      <c r="D308" s="21">
        <v>4</v>
      </c>
      <c r="E308" s="22">
        <v>30000</v>
      </c>
      <c r="F308" s="22">
        <v>120000</v>
      </c>
      <c r="G308" s="21" t="s">
        <v>42</v>
      </c>
      <c r="H308" s="21" t="s">
        <v>39</v>
      </c>
      <c r="I308" s="21">
        <v>3</v>
      </c>
      <c r="J308" s="21">
        <v>9</v>
      </c>
      <c r="K308" s="21">
        <v>2025</v>
      </c>
      <c r="L308" s="23">
        <v>45903</v>
      </c>
    </row>
    <row r="309" spans="1:12">
      <c r="A309" s="20" t="s">
        <v>21</v>
      </c>
      <c r="B309" s="21" t="s">
        <v>9</v>
      </c>
      <c r="C309" s="21" t="s">
        <v>12</v>
      </c>
      <c r="D309" s="21">
        <v>5</v>
      </c>
      <c r="E309" s="22">
        <v>30000</v>
      </c>
      <c r="F309" s="22">
        <v>150000</v>
      </c>
      <c r="G309" s="21" t="s">
        <v>43</v>
      </c>
      <c r="H309" s="21" t="s">
        <v>44</v>
      </c>
      <c r="I309" s="21">
        <v>19</v>
      </c>
      <c r="J309" s="21">
        <v>9</v>
      </c>
      <c r="K309" s="21">
        <v>2025</v>
      </c>
      <c r="L309" s="23">
        <v>45919</v>
      </c>
    </row>
    <row r="310" spans="1:12">
      <c r="A310" s="20" t="s">
        <v>53</v>
      </c>
      <c r="B310" s="21" t="s">
        <v>9</v>
      </c>
      <c r="C310" s="21" t="s">
        <v>8</v>
      </c>
      <c r="D310" s="21">
        <v>1</v>
      </c>
      <c r="E310" s="22">
        <v>25000</v>
      </c>
      <c r="F310" s="22">
        <v>25000</v>
      </c>
      <c r="G310" s="21" t="s">
        <v>38</v>
      </c>
      <c r="H310" s="21" t="s">
        <v>39</v>
      </c>
      <c r="I310" s="21">
        <v>7</v>
      </c>
      <c r="J310" s="21">
        <v>9</v>
      </c>
      <c r="K310" s="21">
        <v>2025</v>
      </c>
      <c r="L310" s="23">
        <v>45907</v>
      </c>
    </row>
    <row r="311" spans="1:12">
      <c r="A311" s="20" t="s">
        <v>60</v>
      </c>
      <c r="B311" s="21" t="s">
        <v>9</v>
      </c>
      <c r="C311" s="21" t="s">
        <v>15</v>
      </c>
      <c r="D311" s="21">
        <v>2</v>
      </c>
      <c r="E311" s="22">
        <v>30000</v>
      </c>
      <c r="F311" s="22">
        <v>60000</v>
      </c>
      <c r="G311" s="21" t="s">
        <v>40</v>
      </c>
      <c r="H311" s="21" t="s">
        <v>39</v>
      </c>
      <c r="I311" s="21">
        <v>4</v>
      </c>
      <c r="J311" s="21">
        <v>9</v>
      </c>
      <c r="K311" s="21">
        <v>2025</v>
      </c>
      <c r="L311" s="23">
        <v>45904</v>
      </c>
    </row>
    <row r="312" spans="1:12">
      <c r="A312" s="20" t="s">
        <v>25</v>
      </c>
      <c r="B312" s="21" t="s">
        <v>9</v>
      </c>
      <c r="C312" s="21" t="s">
        <v>13</v>
      </c>
      <c r="D312" s="21">
        <v>1</v>
      </c>
      <c r="E312" s="22">
        <v>28000</v>
      </c>
      <c r="F312" s="22">
        <v>28000</v>
      </c>
      <c r="G312" s="21" t="s">
        <v>41</v>
      </c>
      <c r="H312" s="21" t="s">
        <v>39</v>
      </c>
      <c r="I312" s="21">
        <v>18</v>
      </c>
      <c r="J312" s="21">
        <v>9</v>
      </c>
      <c r="K312" s="21">
        <v>2025</v>
      </c>
      <c r="L312" s="23">
        <v>45918</v>
      </c>
    </row>
    <row r="313" spans="1:12">
      <c r="A313" s="20" t="s">
        <v>21</v>
      </c>
      <c r="B313" s="21" t="s">
        <v>9</v>
      </c>
      <c r="C313" s="21" t="s">
        <v>16</v>
      </c>
      <c r="D313" s="21">
        <v>2</v>
      </c>
      <c r="E313" s="22">
        <v>25000</v>
      </c>
      <c r="F313" s="22">
        <v>50000</v>
      </c>
      <c r="G313" s="21" t="s">
        <v>42</v>
      </c>
      <c r="H313" s="21" t="s">
        <v>39</v>
      </c>
      <c r="I313" s="21">
        <v>19</v>
      </c>
      <c r="J313" s="21">
        <v>9</v>
      </c>
      <c r="K313" s="21">
        <v>2025</v>
      </c>
      <c r="L313" s="23">
        <v>45919</v>
      </c>
    </row>
    <row r="314" spans="1:12">
      <c r="A314" s="20" t="s">
        <v>24</v>
      </c>
      <c r="B314" s="21" t="s">
        <v>9</v>
      </c>
      <c r="C314" s="21" t="s">
        <v>12</v>
      </c>
      <c r="D314" s="21">
        <v>1</v>
      </c>
      <c r="E314" s="22">
        <v>35000</v>
      </c>
      <c r="F314" s="22">
        <v>35000</v>
      </c>
      <c r="G314" s="21" t="s">
        <v>43</v>
      </c>
      <c r="H314" s="21" t="s">
        <v>44</v>
      </c>
      <c r="I314" s="21">
        <v>13</v>
      </c>
      <c r="J314" s="21">
        <v>9</v>
      </c>
      <c r="K314" s="21">
        <v>2025</v>
      </c>
      <c r="L314" s="23">
        <v>45913</v>
      </c>
    </row>
    <row r="315" spans="1:12">
      <c r="A315" s="20" t="s">
        <v>32</v>
      </c>
      <c r="B315" s="21" t="s">
        <v>9</v>
      </c>
      <c r="C315" s="21" t="s">
        <v>8</v>
      </c>
      <c r="D315" s="21">
        <v>2</v>
      </c>
      <c r="E315" s="22">
        <v>20000</v>
      </c>
      <c r="F315" s="22">
        <v>40000</v>
      </c>
      <c r="G315" s="21" t="s">
        <v>38</v>
      </c>
      <c r="H315" s="21" t="s">
        <v>39</v>
      </c>
      <c r="I315" s="21">
        <v>28</v>
      </c>
      <c r="J315" s="21">
        <v>9</v>
      </c>
      <c r="K315" s="21">
        <v>2025</v>
      </c>
      <c r="L315" s="23">
        <v>45928</v>
      </c>
    </row>
    <row r="316" spans="1:12">
      <c r="A316" s="20" t="s">
        <v>30</v>
      </c>
      <c r="B316" s="21" t="s">
        <v>9</v>
      </c>
      <c r="C316" s="21" t="s">
        <v>15</v>
      </c>
      <c r="D316" s="21">
        <v>1</v>
      </c>
      <c r="E316" s="22">
        <v>35000</v>
      </c>
      <c r="F316" s="22">
        <v>35000</v>
      </c>
      <c r="G316" s="21" t="s">
        <v>40</v>
      </c>
      <c r="H316" s="21" t="s">
        <v>39</v>
      </c>
      <c r="I316" s="21">
        <v>25</v>
      </c>
      <c r="J316" s="21">
        <v>9</v>
      </c>
      <c r="K316" s="21">
        <v>2025</v>
      </c>
      <c r="L316" s="23">
        <v>45925</v>
      </c>
    </row>
    <row r="317" spans="1:12">
      <c r="A317" s="20" t="s">
        <v>20</v>
      </c>
      <c r="B317" s="21" t="s">
        <v>9</v>
      </c>
      <c r="C317" s="21" t="s">
        <v>13</v>
      </c>
      <c r="D317" s="21">
        <v>4</v>
      </c>
      <c r="E317" s="22">
        <v>25000</v>
      </c>
      <c r="F317" s="22">
        <v>100000</v>
      </c>
      <c r="G317" s="21" t="s">
        <v>41</v>
      </c>
      <c r="H317" s="21" t="s">
        <v>39</v>
      </c>
      <c r="I317" s="21">
        <v>26</v>
      </c>
      <c r="J317" s="21">
        <v>9</v>
      </c>
      <c r="K317" s="21">
        <v>2025</v>
      </c>
      <c r="L317" s="23">
        <v>45926</v>
      </c>
    </row>
    <row r="318" spans="1:12">
      <c r="A318" s="20" t="s">
        <v>61</v>
      </c>
      <c r="B318" s="21" t="s">
        <v>9</v>
      </c>
      <c r="C318" s="21" t="s">
        <v>16</v>
      </c>
      <c r="D318" s="21">
        <v>2</v>
      </c>
      <c r="E318" s="22">
        <v>28000</v>
      </c>
      <c r="F318" s="22">
        <v>56000</v>
      </c>
      <c r="G318" s="21" t="s">
        <v>42</v>
      </c>
      <c r="H318" s="21" t="s">
        <v>39</v>
      </c>
      <c r="I318" s="21">
        <v>9</v>
      </c>
      <c r="J318" s="21">
        <v>9</v>
      </c>
      <c r="K318" s="21">
        <v>2025</v>
      </c>
      <c r="L318" s="23">
        <v>45909</v>
      </c>
    </row>
    <row r="319" spans="1:12">
      <c r="A319" s="20" t="s">
        <v>50</v>
      </c>
      <c r="B319" s="21" t="s">
        <v>9</v>
      </c>
      <c r="C319" s="21" t="s">
        <v>12</v>
      </c>
      <c r="D319" s="21">
        <v>3</v>
      </c>
      <c r="E319" s="22">
        <v>35000</v>
      </c>
      <c r="F319" s="22">
        <v>105000</v>
      </c>
      <c r="G319" s="21" t="s">
        <v>43</v>
      </c>
      <c r="H319" s="21" t="s">
        <v>44</v>
      </c>
      <c r="I319" s="21">
        <v>11</v>
      </c>
      <c r="J319" s="21">
        <v>9</v>
      </c>
      <c r="K319" s="21">
        <v>2025</v>
      </c>
      <c r="L319" s="23">
        <v>45911</v>
      </c>
    </row>
    <row r="320" spans="1:12">
      <c r="A320" s="20" t="s">
        <v>6</v>
      </c>
      <c r="B320" s="21" t="s">
        <v>9</v>
      </c>
      <c r="C320" s="21" t="s">
        <v>8</v>
      </c>
      <c r="D320" s="21">
        <v>4</v>
      </c>
      <c r="E320" s="22">
        <v>20000</v>
      </c>
      <c r="F320" s="22">
        <v>80000</v>
      </c>
      <c r="G320" s="21" t="s">
        <v>38</v>
      </c>
      <c r="H320" s="21" t="s">
        <v>39</v>
      </c>
      <c r="I320" s="21">
        <v>17</v>
      </c>
      <c r="J320" s="21">
        <v>9</v>
      </c>
      <c r="K320" s="21">
        <v>2025</v>
      </c>
      <c r="L320" s="23">
        <v>45917</v>
      </c>
    </row>
    <row r="321" spans="1:12">
      <c r="A321" s="20" t="s">
        <v>23</v>
      </c>
      <c r="B321" s="21" t="s">
        <v>9</v>
      </c>
      <c r="C321" s="21" t="s">
        <v>15</v>
      </c>
      <c r="D321" s="21">
        <v>3</v>
      </c>
      <c r="E321" s="22">
        <v>20000</v>
      </c>
      <c r="F321" s="22">
        <v>60000</v>
      </c>
      <c r="G321" s="21" t="s">
        <v>40</v>
      </c>
      <c r="H321" s="21" t="s">
        <v>39</v>
      </c>
      <c r="I321" s="21">
        <v>24</v>
      </c>
      <c r="J321" s="21">
        <v>9</v>
      </c>
      <c r="K321" s="21">
        <v>2025</v>
      </c>
      <c r="L321" s="23">
        <v>45924</v>
      </c>
    </row>
    <row r="322" spans="1:12">
      <c r="A322" s="20" t="s">
        <v>58</v>
      </c>
      <c r="B322" s="21" t="s">
        <v>9</v>
      </c>
      <c r="C322" s="21" t="s">
        <v>13</v>
      </c>
      <c r="D322" s="21">
        <v>1</v>
      </c>
      <c r="E322" s="22">
        <v>30000</v>
      </c>
      <c r="F322" s="22">
        <v>30000</v>
      </c>
      <c r="G322" s="21" t="s">
        <v>41</v>
      </c>
      <c r="H322" s="21" t="s">
        <v>39</v>
      </c>
      <c r="I322" s="21">
        <v>5</v>
      </c>
      <c r="J322" s="21">
        <v>9</v>
      </c>
      <c r="K322" s="21">
        <v>2025</v>
      </c>
      <c r="L322" s="23">
        <v>45905</v>
      </c>
    </row>
    <row r="323" spans="1:12">
      <c r="A323" s="20" t="s">
        <v>25</v>
      </c>
      <c r="B323" s="21" t="s">
        <v>9</v>
      </c>
      <c r="C323" s="21" t="s">
        <v>16</v>
      </c>
      <c r="D323" s="21">
        <v>4</v>
      </c>
      <c r="E323" s="22">
        <v>28000</v>
      </c>
      <c r="F323" s="22">
        <v>112000</v>
      </c>
      <c r="G323" s="21" t="s">
        <v>42</v>
      </c>
      <c r="H323" s="21" t="s">
        <v>39</v>
      </c>
      <c r="I323" s="21">
        <v>18</v>
      </c>
      <c r="J323" s="21">
        <v>9</v>
      </c>
      <c r="K323" s="21">
        <v>2025</v>
      </c>
      <c r="L323" s="23">
        <v>45918</v>
      </c>
    </row>
    <row r="324" spans="1:12">
      <c r="A324" s="20" t="s">
        <v>56</v>
      </c>
      <c r="B324" s="21" t="s">
        <v>9</v>
      </c>
      <c r="C324" s="21" t="s">
        <v>12</v>
      </c>
      <c r="D324" s="21">
        <v>1</v>
      </c>
      <c r="E324" s="22">
        <v>35000</v>
      </c>
      <c r="F324" s="22">
        <v>35000</v>
      </c>
      <c r="G324" s="21" t="s">
        <v>43</v>
      </c>
      <c r="H324" s="21" t="s">
        <v>44</v>
      </c>
      <c r="I324" s="21">
        <v>3</v>
      </c>
      <c r="J324" s="21">
        <v>9</v>
      </c>
      <c r="K324" s="21">
        <v>2025</v>
      </c>
      <c r="L324" s="23">
        <v>45903</v>
      </c>
    </row>
    <row r="325" spans="1:12">
      <c r="A325" s="20" t="s">
        <v>24</v>
      </c>
      <c r="B325" s="21" t="s">
        <v>9</v>
      </c>
      <c r="C325" s="21" t="s">
        <v>8</v>
      </c>
      <c r="D325" s="21">
        <v>1</v>
      </c>
      <c r="E325" s="22">
        <v>20000</v>
      </c>
      <c r="F325" s="22">
        <v>20000</v>
      </c>
      <c r="G325" s="21" t="s">
        <v>38</v>
      </c>
      <c r="H325" s="21" t="s">
        <v>39</v>
      </c>
      <c r="I325" s="21">
        <v>13</v>
      </c>
      <c r="J325" s="21">
        <v>9</v>
      </c>
      <c r="K325" s="21">
        <v>2025</v>
      </c>
      <c r="L325" s="23">
        <v>45913</v>
      </c>
    </row>
    <row r="326" spans="1:12">
      <c r="A326" s="20" t="s">
        <v>53</v>
      </c>
      <c r="B326" s="21" t="s">
        <v>9</v>
      </c>
      <c r="C326" s="21" t="s">
        <v>15</v>
      </c>
      <c r="D326" s="21">
        <v>1</v>
      </c>
      <c r="E326" s="22">
        <v>25000</v>
      </c>
      <c r="F326" s="22">
        <v>25000</v>
      </c>
      <c r="G326" s="21" t="s">
        <v>40</v>
      </c>
      <c r="H326" s="21" t="s">
        <v>39</v>
      </c>
      <c r="I326" s="21">
        <v>7</v>
      </c>
      <c r="J326" s="21">
        <v>9</v>
      </c>
      <c r="K326" s="21">
        <v>2025</v>
      </c>
      <c r="L326" s="23">
        <v>45907</v>
      </c>
    </row>
    <row r="327" spans="1:12">
      <c r="A327" s="20" t="s">
        <v>17</v>
      </c>
      <c r="B327" s="21" t="s">
        <v>9</v>
      </c>
      <c r="C327" s="21" t="s">
        <v>13</v>
      </c>
      <c r="D327" s="21">
        <v>1</v>
      </c>
      <c r="E327" s="22">
        <v>20000</v>
      </c>
      <c r="F327" s="22">
        <v>20000</v>
      </c>
      <c r="G327" s="21" t="s">
        <v>41</v>
      </c>
      <c r="H327" s="21" t="s">
        <v>39</v>
      </c>
      <c r="I327" s="21">
        <v>14</v>
      </c>
      <c r="J327" s="21">
        <v>9</v>
      </c>
      <c r="K327" s="21">
        <v>2025</v>
      </c>
      <c r="L327" s="23">
        <v>45914</v>
      </c>
    </row>
    <row r="328" spans="1:12">
      <c r="A328" s="20" t="s">
        <v>28</v>
      </c>
      <c r="B328" s="21" t="s">
        <v>9</v>
      </c>
      <c r="C328" s="21" t="s">
        <v>16</v>
      </c>
      <c r="D328" s="21">
        <v>5</v>
      </c>
      <c r="E328" s="22">
        <v>28000</v>
      </c>
      <c r="F328" s="22">
        <v>140000</v>
      </c>
      <c r="G328" s="21" t="s">
        <v>42</v>
      </c>
      <c r="H328" s="21" t="s">
        <v>39</v>
      </c>
      <c r="I328" s="21">
        <v>30</v>
      </c>
      <c r="J328" s="21">
        <v>9</v>
      </c>
      <c r="K328" s="21">
        <v>2025</v>
      </c>
      <c r="L328" s="23">
        <v>45930</v>
      </c>
    </row>
    <row r="329" spans="1:12">
      <c r="A329" s="20" t="s">
        <v>21</v>
      </c>
      <c r="B329" s="21" t="s">
        <v>9</v>
      </c>
      <c r="C329" s="21" t="s">
        <v>12</v>
      </c>
      <c r="D329" s="21">
        <v>3</v>
      </c>
      <c r="E329" s="22">
        <v>20000</v>
      </c>
      <c r="F329" s="22">
        <v>60000</v>
      </c>
      <c r="G329" s="21" t="s">
        <v>43</v>
      </c>
      <c r="H329" s="21" t="s">
        <v>44</v>
      </c>
      <c r="I329" s="21">
        <v>19</v>
      </c>
      <c r="J329" s="21">
        <v>9</v>
      </c>
      <c r="K329" s="21">
        <v>2025</v>
      </c>
      <c r="L329" s="23">
        <v>45919</v>
      </c>
    </row>
    <row r="330" spans="1:12">
      <c r="A330" s="20" t="s">
        <v>17</v>
      </c>
      <c r="B330" s="21" t="s">
        <v>9</v>
      </c>
      <c r="C330" s="21" t="s">
        <v>8</v>
      </c>
      <c r="D330" s="21">
        <v>1</v>
      </c>
      <c r="E330" s="22">
        <v>20000</v>
      </c>
      <c r="F330" s="22">
        <v>20000</v>
      </c>
      <c r="G330" s="21" t="s">
        <v>38</v>
      </c>
      <c r="H330" s="21" t="s">
        <v>39</v>
      </c>
      <c r="I330" s="21">
        <v>14</v>
      </c>
      <c r="J330" s="21">
        <v>9</v>
      </c>
      <c r="K330" s="21">
        <v>2025</v>
      </c>
      <c r="L330" s="23">
        <v>45914</v>
      </c>
    </row>
    <row r="331" spans="1:12">
      <c r="A331" s="20" t="s">
        <v>60</v>
      </c>
      <c r="B331" s="21" t="s">
        <v>9</v>
      </c>
      <c r="C331" s="21" t="s">
        <v>15</v>
      </c>
      <c r="D331" s="21">
        <v>2</v>
      </c>
      <c r="E331" s="22">
        <v>30000</v>
      </c>
      <c r="F331" s="22">
        <v>60000</v>
      </c>
      <c r="G331" s="21" t="s">
        <v>40</v>
      </c>
      <c r="H331" s="21" t="s">
        <v>39</v>
      </c>
      <c r="I331" s="21">
        <v>4</v>
      </c>
      <c r="J331" s="21">
        <v>9</v>
      </c>
      <c r="K331" s="21">
        <v>2025</v>
      </c>
      <c r="L331" s="23">
        <v>45904</v>
      </c>
    </row>
    <row r="332" spans="1:12">
      <c r="A332" s="20" t="s">
        <v>50</v>
      </c>
      <c r="B332" s="21" t="s">
        <v>9</v>
      </c>
      <c r="C332" s="21" t="s">
        <v>13</v>
      </c>
      <c r="D332" s="21">
        <v>4</v>
      </c>
      <c r="E332" s="22">
        <v>28000</v>
      </c>
      <c r="F332" s="22">
        <v>112000</v>
      </c>
      <c r="G332" s="21" t="s">
        <v>41</v>
      </c>
      <c r="H332" s="21" t="s">
        <v>39</v>
      </c>
      <c r="I332" s="21">
        <v>11</v>
      </c>
      <c r="J332" s="21">
        <v>9</v>
      </c>
      <c r="K332" s="21">
        <v>2025</v>
      </c>
      <c r="L332" s="23">
        <v>45911</v>
      </c>
    </row>
    <row r="333" spans="1:12">
      <c r="A333" s="20" t="s">
        <v>30</v>
      </c>
      <c r="B333" s="21" t="s">
        <v>9</v>
      </c>
      <c r="C333" s="21" t="s">
        <v>16</v>
      </c>
      <c r="D333" s="21">
        <v>3</v>
      </c>
      <c r="E333" s="22">
        <v>25000</v>
      </c>
      <c r="F333" s="22">
        <v>75000</v>
      </c>
      <c r="G333" s="21" t="s">
        <v>42</v>
      </c>
      <c r="H333" s="21" t="s">
        <v>39</v>
      </c>
      <c r="I333" s="21">
        <v>25</v>
      </c>
      <c r="J333" s="21">
        <v>9</v>
      </c>
      <c r="K333" s="21">
        <v>2025</v>
      </c>
      <c r="L333" s="23">
        <v>45925</v>
      </c>
    </row>
    <row r="334" spans="1:12">
      <c r="A334" s="20" t="s">
        <v>32</v>
      </c>
      <c r="B334" s="21" t="s">
        <v>9</v>
      </c>
      <c r="C334" s="21" t="s">
        <v>12</v>
      </c>
      <c r="D334" s="21">
        <v>2</v>
      </c>
      <c r="E334" s="22">
        <v>28000</v>
      </c>
      <c r="F334" s="22">
        <v>56000</v>
      </c>
      <c r="G334" s="21" t="s">
        <v>43</v>
      </c>
      <c r="H334" s="21" t="s">
        <v>44</v>
      </c>
      <c r="I334" s="21">
        <v>28</v>
      </c>
      <c r="J334" s="21">
        <v>9</v>
      </c>
      <c r="K334" s="21">
        <v>2025</v>
      </c>
      <c r="L334" s="23">
        <v>45928</v>
      </c>
    </row>
    <row r="335" spans="1:12">
      <c r="A335" s="20" t="s">
        <v>51</v>
      </c>
      <c r="B335" s="21" t="s">
        <v>9</v>
      </c>
      <c r="C335" s="21" t="s">
        <v>8</v>
      </c>
      <c r="D335" s="21">
        <v>3</v>
      </c>
      <c r="E335" s="22">
        <v>28000</v>
      </c>
      <c r="F335" s="22">
        <v>84000</v>
      </c>
      <c r="G335" s="21" t="s">
        <v>38</v>
      </c>
      <c r="H335" s="21" t="s">
        <v>39</v>
      </c>
      <c r="I335" s="21">
        <v>2</v>
      </c>
      <c r="J335" s="21">
        <v>9</v>
      </c>
      <c r="K335" s="21">
        <v>2025</v>
      </c>
      <c r="L335" s="23">
        <v>45902</v>
      </c>
    </row>
    <row r="336" spans="1:12">
      <c r="A336" s="20" t="s">
        <v>27</v>
      </c>
      <c r="B336" s="21" t="s">
        <v>9</v>
      </c>
      <c r="C336" s="21" t="s">
        <v>15</v>
      </c>
      <c r="D336" s="21">
        <v>1</v>
      </c>
      <c r="E336" s="22">
        <v>20000</v>
      </c>
      <c r="F336" s="22">
        <v>20000</v>
      </c>
      <c r="G336" s="21" t="s">
        <v>40</v>
      </c>
      <c r="H336" s="21" t="s">
        <v>39</v>
      </c>
      <c r="I336" s="21">
        <v>15</v>
      </c>
      <c r="J336" s="21">
        <v>9</v>
      </c>
      <c r="K336" s="21">
        <v>2025</v>
      </c>
      <c r="L336" s="23">
        <v>45915</v>
      </c>
    </row>
    <row r="337" spans="1:12">
      <c r="A337" s="20" t="s">
        <v>56</v>
      </c>
      <c r="B337" s="21" t="s">
        <v>9</v>
      </c>
      <c r="C337" s="21" t="s">
        <v>13</v>
      </c>
      <c r="D337" s="21">
        <v>1</v>
      </c>
      <c r="E337" s="22">
        <v>25000</v>
      </c>
      <c r="F337" s="22">
        <v>25000</v>
      </c>
      <c r="G337" s="21" t="s">
        <v>41</v>
      </c>
      <c r="H337" s="21" t="s">
        <v>39</v>
      </c>
      <c r="I337" s="21">
        <v>3</v>
      </c>
      <c r="J337" s="21">
        <v>9</v>
      </c>
      <c r="K337" s="21">
        <v>2025</v>
      </c>
      <c r="L337" s="23">
        <v>45903</v>
      </c>
    </row>
    <row r="338" spans="1:12">
      <c r="A338" s="20" t="s">
        <v>52</v>
      </c>
      <c r="B338" s="21" t="s">
        <v>9</v>
      </c>
      <c r="C338" s="21" t="s">
        <v>16</v>
      </c>
      <c r="D338" s="21">
        <v>4</v>
      </c>
      <c r="E338" s="22">
        <v>20000</v>
      </c>
      <c r="F338" s="22">
        <v>80000</v>
      </c>
      <c r="G338" s="21" t="s">
        <v>42</v>
      </c>
      <c r="H338" s="21" t="s">
        <v>39</v>
      </c>
      <c r="I338" s="21">
        <v>1</v>
      </c>
      <c r="J338" s="21">
        <v>9</v>
      </c>
      <c r="K338" s="21">
        <v>2025</v>
      </c>
      <c r="L338" s="23">
        <v>45901</v>
      </c>
    </row>
    <row r="339" spans="1:12">
      <c r="A339" s="20" t="s">
        <v>6</v>
      </c>
      <c r="B339" s="21" t="s">
        <v>9</v>
      </c>
      <c r="C339" s="21" t="s">
        <v>12</v>
      </c>
      <c r="D339" s="21">
        <v>1</v>
      </c>
      <c r="E339" s="22">
        <v>35000</v>
      </c>
      <c r="F339" s="22">
        <v>35000</v>
      </c>
      <c r="G339" s="21" t="s">
        <v>43</v>
      </c>
      <c r="H339" s="21" t="s">
        <v>44</v>
      </c>
      <c r="I339" s="21">
        <v>17</v>
      </c>
      <c r="J339" s="21">
        <v>9</v>
      </c>
      <c r="K339" s="21">
        <v>2025</v>
      </c>
      <c r="L339" s="23">
        <v>45917</v>
      </c>
    </row>
    <row r="340" spans="1:12">
      <c r="A340" s="20" t="s">
        <v>55</v>
      </c>
      <c r="B340" s="21" t="s">
        <v>9</v>
      </c>
      <c r="C340" s="21" t="s">
        <v>13</v>
      </c>
      <c r="D340" s="21">
        <v>3</v>
      </c>
      <c r="E340" s="22">
        <v>25000</v>
      </c>
      <c r="F340" s="22">
        <v>75000</v>
      </c>
      <c r="G340" s="21" t="s">
        <v>41</v>
      </c>
      <c r="H340" s="21" t="s">
        <v>39</v>
      </c>
      <c r="I340" s="21">
        <v>10</v>
      </c>
      <c r="J340" s="21">
        <v>9</v>
      </c>
      <c r="K340" s="21">
        <v>2025</v>
      </c>
      <c r="L340" s="23">
        <v>45910</v>
      </c>
    </row>
    <row r="341" spans="1:12">
      <c r="A341" s="20" t="s">
        <v>29</v>
      </c>
      <c r="B341" s="21" t="s">
        <v>9</v>
      </c>
      <c r="C341" s="21" t="s">
        <v>16</v>
      </c>
      <c r="D341" s="21">
        <v>5</v>
      </c>
      <c r="E341" s="22">
        <v>25000</v>
      </c>
      <c r="F341" s="22">
        <v>125000</v>
      </c>
      <c r="G341" s="21" t="s">
        <v>42</v>
      </c>
      <c r="H341" s="21" t="s">
        <v>39</v>
      </c>
      <c r="I341" s="21">
        <v>22</v>
      </c>
      <c r="J341" s="21">
        <v>9</v>
      </c>
      <c r="K341" s="21">
        <v>2025</v>
      </c>
      <c r="L341" s="23">
        <v>45922</v>
      </c>
    </row>
    <row r="342" spans="1:12">
      <c r="A342" s="20" t="s">
        <v>54</v>
      </c>
      <c r="B342" s="21" t="s">
        <v>9</v>
      </c>
      <c r="C342" s="21" t="s">
        <v>12</v>
      </c>
      <c r="D342" s="21">
        <v>2</v>
      </c>
      <c r="E342" s="22">
        <v>35000</v>
      </c>
      <c r="F342" s="22">
        <v>70000</v>
      </c>
      <c r="G342" s="21" t="s">
        <v>43</v>
      </c>
      <c r="H342" s="21" t="s">
        <v>44</v>
      </c>
      <c r="I342" s="21">
        <v>8</v>
      </c>
      <c r="J342" s="21">
        <v>9</v>
      </c>
      <c r="K342" s="21">
        <v>2025</v>
      </c>
      <c r="L342" s="23">
        <v>45908</v>
      </c>
    </row>
    <row r="343" spans="1:12">
      <c r="A343" s="20" t="s">
        <v>56</v>
      </c>
      <c r="B343" s="21" t="s">
        <v>9</v>
      </c>
      <c r="C343" s="21" t="s">
        <v>8</v>
      </c>
      <c r="D343" s="21">
        <v>1</v>
      </c>
      <c r="E343" s="22">
        <v>30000</v>
      </c>
      <c r="F343" s="22">
        <v>30000</v>
      </c>
      <c r="G343" s="21" t="s">
        <v>38</v>
      </c>
      <c r="H343" s="21" t="s">
        <v>39</v>
      </c>
      <c r="I343" s="21">
        <v>3</v>
      </c>
      <c r="J343" s="21">
        <v>9</v>
      </c>
      <c r="K343" s="21">
        <v>2025</v>
      </c>
      <c r="L343" s="23">
        <v>45903</v>
      </c>
    </row>
    <row r="344" spans="1:12">
      <c r="A344" s="20" t="s">
        <v>59</v>
      </c>
      <c r="B344" s="21" t="s">
        <v>9</v>
      </c>
      <c r="C344" s="21" t="s">
        <v>15</v>
      </c>
      <c r="D344" s="21">
        <v>1</v>
      </c>
      <c r="E344" s="22">
        <v>25000</v>
      </c>
      <c r="F344" s="22">
        <v>25000</v>
      </c>
      <c r="G344" s="21" t="s">
        <v>40</v>
      </c>
      <c r="H344" s="21" t="s">
        <v>39</v>
      </c>
      <c r="I344" s="21">
        <v>12</v>
      </c>
      <c r="J344" s="21">
        <v>9</v>
      </c>
      <c r="K344" s="21">
        <v>2025</v>
      </c>
      <c r="L344" s="23">
        <v>45912</v>
      </c>
    </row>
    <row r="345" spans="1:12">
      <c r="A345" s="20" t="s">
        <v>30</v>
      </c>
      <c r="B345" s="21" t="s">
        <v>9</v>
      </c>
      <c r="C345" s="21" t="s">
        <v>13</v>
      </c>
      <c r="D345" s="21">
        <v>4</v>
      </c>
      <c r="E345" s="22">
        <v>35000</v>
      </c>
      <c r="F345" s="22">
        <v>140000</v>
      </c>
      <c r="G345" s="21" t="s">
        <v>41</v>
      </c>
      <c r="H345" s="21" t="s">
        <v>39</v>
      </c>
      <c r="I345" s="21">
        <v>25</v>
      </c>
      <c r="J345" s="21">
        <v>9</v>
      </c>
      <c r="K345" s="21">
        <v>2025</v>
      </c>
      <c r="L345" s="23">
        <v>45925</v>
      </c>
    </row>
    <row r="346" spans="1:12">
      <c r="A346" s="20" t="s">
        <v>53</v>
      </c>
      <c r="B346" s="21" t="s">
        <v>9</v>
      </c>
      <c r="C346" s="21" t="s">
        <v>16</v>
      </c>
      <c r="D346" s="21">
        <v>1</v>
      </c>
      <c r="E346" s="22">
        <v>30000</v>
      </c>
      <c r="F346" s="22">
        <v>30000</v>
      </c>
      <c r="G346" s="21" t="s">
        <v>42</v>
      </c>
      <c r="H346" s="21" t="s">
        <v>39</v>
      </c>
      <c r="I346" s="21">
        <v>7</v>
      </c>
      <c r="J346" s="21">
        <v>9</v>
      </c>
      <c r="K346" s="21">
        <v>2025</v>
      </c>
      <c r="L346" s="23">
        <v>45907</v>
      </c>
    </row>
    <row r="347" spans="1:12">
      <c r="A347" s="20" t="s">
        <v>22</v>
      </c>
      <c r="B347" s="21" t="s">
        <v>9</v>
      </c>
      <c r="C347" s="21" t="s">
        <v>12</v>
      </c>
      <c r="D347" s="21">
        <v>3</v>
      </c>
      <c r="E347" s="22">
        <v>28000</v>
      </c>
      <c r="F347" s="22">
        <v>84000</v>
      </c>
      <c r="G347" s="21" t="s">
        <v>43</v>
      </c>
      <c r="H347" s="21" t="s">
        <v>44</v>
      </c>
      <c r="I347" s="21">
        <v>16</v>
      </c>
      <c r="J347" s="21">
        <v>9</v>
      </c>
      <c r="K347" s="21">
        <v>2025</v>
      </c>
      <c r="L347" s="23">
        <v>45916</v>
      </c>
    </row>
    <row r="348" spans="1:12">
      <c r="A348" s="20" t="s">
        <v>57</v>
      </c>
      <c r="B348" s="21" t="s">
        <v>9</v>
      </c>
      <c r="C348" s="21" t="s">
        <v>8</v>
      </c>
      <c r="D348" s="21">
        <v>2</v>
      </c>
      <c r="E348" s="22">
        <v>20000</v>
      </c>
      <c r="F348" s="22">
        <v>40000</v>
      </c>
      <c r="G348" s="21" t="s">
        <v>38</v>
      </c>
      <c r="H348" s="21" t="s">
        <v>39</v>
      </c>
      <c r="I348" s="21">
        <v>6</v>
      </c>
      <c r="J348" s="21">
        <v>9</v>
      </c>
      <c r="K348" s="21">
        <v>2025</v>
      </c>
      <c r="L348" s="23">
        <v>45906</v>
      </c>
    </row>
    <row r="349" spans="1:12">
      <c r="A349" s="20" t="s">
        <v>55</v>
      </c>
      <c r="B349" s="21" t="s">
        <v>9</v>
      </c>
      <c r="C349" s="21" t="s">
        <v>8</v>
      </c>
      <c r="D349" s="21">
        <v>2</v>
      </c>
      <c r="E349" s="22">
        <v>28000</v>
      </c>
      <c r="F349" s="22">
        <v>56000</v>
      </c>
      <c r="G349" s="21" t="s">
        <v>38</v>
      </c>
      <c r="H349" s="21" t="s">
        <v>39</v>
      </c>
      <c r="I349" s="21">
        <v>10</v>
      </c>
      <c r="J349" s="21">
        <v>9</v>
      </c>
      <c r="K349" s="21">
        <v>2025</v>
      </c>
      <c r="L349" s="23">
        <v>45910</v>
      </c>
    </row>
    <row r="350" spans="1:12">
      <c r="A350" s="20" t="s">
        <v>19</v>
      </c>
      <c r="B350" s="21" t="s">
        <v>9</v>
      </c>
      <c r="C350" s="21" t="s">
        <v>15</v>
      </c>
      <c r="D350" s="21">
        <v>1</v>
      </c>
      <c r="E350" s="22">
        <v>28000</v>
      </c>
      <c r="F350" s="22">
        <v>28000</v>
      </c>
      <c r="G350" s="21" t="s">
        <v>40</v>
      </c>
      <c r="H350" s="21" t="s">
        <v>39</v>
      </c>
      <c r="I350" s="21">
        <v>27</v>
      </c>
      <c r="J350" s="21">
        <v>9</v>
      </c>
      <c r="K350" s="21">
        <v>2025</v>
      </c>
      <c r="L350" s="23">
        <v>45927</v>
      </c>
    </row>
    <row r="351" spans="1:12">
      <c r="A351" s="20" t="s">
        <v>52</v>
      </c>
      <c r="B351" s="21" t="s">
        <v>9</v>
      </c>
      <c r="C351" s="21" t="s">
        <v>13</v>
      </c>
      <c r="D351" s="21">
        <v>1</v>
      </c>
      <c r="E351" s="22">
        <v>20000</v>
      </c>
      <c r="F351" s="22">
        <v>20000</v>
      </c>
      <c r="G351" s="21" t="s">
        <v>41</v>
      </c>
      <c r="H351" s="21" t="s">
        <v>39</v>
      </c>
      <c r="I351" s="21">
        <v>1</v>
      </c>
      <c r="J351" s="21">
        <v>9</v>
      </c>
      <c r="K351" s="21">
        <v>2025</v>
      </c>
      <c r="L351" s="23">
        <v>45901</v>
      </c>
    </row>
    <row r="352" spans="1:12">
      <c r="A352" s="20" t="s">
        <v>29</v>
      </c>
      <c r="B352" s="21" t="s">
        <v>9</v>
      </c>
      <c r="C352" s="21" t="s">
        <v>16</v>
      </c>
      <c r="D352" s="21">
        <v>3</v>
      </c>
      <c r="E352" s="22">
        <v>20000</v>
      </c>
      <c r="F352" s="22">
        <v>60000</v>
      </c>
      <c r="G352" s="21" t="s">
        <v>42</v>
      </c>
      <c r="H352" s="21" t="s">
        <v>39</v>
      </c>
      <c r="I352" s="21">
        <v>22</v>
      </c>
      <c r="J352" s="21">
        <v>9</v>
      </c>
      <c r="K352" s="21">
        <v>2025</v>
      </c>
      <c r="L352" s="23">
        <v>45922</v>
      </c>
    </row>
    <row r="353" spans="1:12">
      <c r="A353" s="20" t="s">
        <v>19</v>
      </c>
      <c r="B353" s="21" t="s">
        <v>9</v>
      </c>
      <c r="C353" s="21" t="s">
        <v>12</v>
      </c>
      <c r="D353" s="21">
        <v>3</v>
      </c>
      <c r="E353" s="22">
        <v>28000</v>
      </c>
      <c r="F353" s="22">
        <v>84000</v>
      </c>
      <c r="G353" s="21" t="s">
        <v>43</v>
      </c>
      <c r="H353" s="21" t="s">
        <v>44</v>
      </c>
      <c r="I353" s="21">
        <v>27</v>
      </c>
      <c r="J353" s="21">
        <v>9</v>
      </c>
      <c r="K353" s="21">
        <v>2025</v>
      </c>
      <c r="L353" s="23">
        <v>45927</v>
      </c>
    </row>
    <row r="354" spans="1:12">
      <c r="A354" s="20" t="s">
        <v>26</v>
      </c>
      <c r="B354" s="21" t="s">
        <v>9</v>
      </c>
      <c r="C354" s="21" t="s">
        <v>13</v>
      </c>
      <c r="D354" s="21">
        <v>3</v>
      </c>
      <c r="E354" s="22">
        <v>25000</v>
      </c>
      <c r="F354" s="22">
        <v>75000</v>
      </c>
      <c r="G354" s="21" t="s">
        <v>41</v>
      </c>
      <c r="H354" s="21" t="s">
        <v>39</v>
      </c>
      <c r="I354" s="21">
        <v>21</v>
      </c>
      <c r="J354" s="21">
        <v>9</v>
      </c>
      <c r="K354" s="21">
        <v>2025</v>
      </c>
      <c r="L354" s="23">
        <v>45921</v>
      </c>
    </row>
    <row r="355" spans="1:12">
      <c r="A355" s="20" t="s">
        <v>23</v>
      </c>
      <c r="B355" s="21" t="s">
        <v>9</v>
      </c>
      <c r="C355" s="21" t="s">
        <v>16</v>
      </c>
      <c r="D355" s="21">
        <v>2</v>
      </c>
      <c r="E355" s="22">
        <v>28000</v>
      </c>
      <c r="F355" s="22">
        <v>56000</v>
      </c>
      <c r="G355" s="21" t="s">
        <v>42</v>
      </c>
      <c r="H355" s="21" t="s">
        <v>39</v>
      </c>
      <c r="I355" s="21">
        <v>24</v>
      </c>
      <c r="J355" s="21">
        <v>9</v>
      </c>
      <c r="K355" s="21">
        <v>2025</v>
      </c>
      <c r="L355" s="23">
        <v>45924</v>
      </c>
    </row>
    <row r="356" spans="1:12">
      <c r="A356" s="20" t="s">
        <v>6</v>
      </c>
      <c r="B356" s="21" t="s">
        <v>9</v>
      </c>
      <c r="C356" s="21" t="s">
        <v>12</v>
      </c>
      <c r="D356" s="21">
        <v>1</v>
      </c>
      <c r="E356" s="22">
        <v>28000</v>
      </c>
      <c r="F356" s="22">
        <v>28000</v>
      </c>
      <c r="G356" s="21" t="s">
        <v>43</v>
      </c>
      <c r="H356" s="21" t="s">
        <v>44</v>
      </c>
      <c r="I356" s="21">
        <v>17</v>
      </c>
      <c r="J356" s="21">
        <v>9</v>
      </c>
      <c r="K356" s="21">
        <v>2025</v>
      </c>
      <c r="L356" s="23">
        <v>45917</v>
      </c>
    </row>
    <row r="357" spans="1:12">
      <c r="A357" s="20" t="s">
        <v>57</v>
      </c>
      <c r="B357" s="21" t="s">
        <v>9</v>
      </c>
      <c r="C357" s="21" t="s">
        <v>8</v>
      </c>
      <c r="D357" s="21">
        <v>5</v>
      </c>
      <c r="E357" s="21"/>
      <c r="F357" s="22">
        <v>100000</v>
      </c>
      <c r="G357" s="21" t="s">
        <v>38</v>
      </c>
      <c r="H357" s="21" t="s">
        <v>39</v>
      </c>
      <c r="I357" s="21">
        <v>6</v>
      </c>
      <c r="J357" s="21">
        <v>9</v>
      </c>
      <c r="K357" s="21">
        <v>2025</v>
      </c>
      <c r="L357" s="23">
        <v>45906</v>
      </c>
    </row>
    <row r="358" spans="1:12">
      <c r="A358" s="20" t="s">
        <v>17</v>
      </c>
      <c r="B358" s="21" t="s">
        <v>9</v>
      </c>
      <c r="C358" s="21" t="s">
        <v>15</v>
      </c>
      <c r="D358" s="21">
        <v>1</v>
      </c>
      <c r="E358" s="22">
        <v>35000</v>
      </c>
      <c r="F358" s="22">
        <v>35000</v>
      </c>
      <c r="G358" s="21" t="s">
        <v>40</v>
      </c>
      <c r="H358" s="21" t="s">
        <v>39</v>
      </c>
      <c r="I358" s="21">
        <v>14</v>
      </c>
      <c r="J358" s="21">
        <v>9</v>
      </c>
      <c r="K358" s="21">
        <v>2025</v>
      </c>
      <c r="L358" s="23">
        <v>45914</v>
      </c>
    </row>
    <row r="359" spans="1:12">
      <c r="A359" s="20" t="s">
        <v>56</v>
      </c>
      <c r="B359" s="21" t="s">
        <v>9</v>
      </c>
      <c r="C359" s="21" t="s">
        <v>13</v>
      </c>
      <c r="D359" s="21">
        <v>3</v>
      </c>
      <c r="E359" s="22">
        <v>20000</v>
      </c>
      <c r="F359" s="22">
        <v>60000</v>
      </c>
      <c r="G359" s="21" t="s">
        <v>41</v>
      </c>
      <c r="H359" s="21" t="s">
        <v>39</v>
      </c>
      <c r="I359" s="21">
        <v>3</v>
      </c>
      <c r="J359" s="21">
        <v>9</v>
      </c>
      <c r="K359" s="21">
        <v>2025</v>
      </c>
      <c r="L359" s="23">
        <v>45903</v>
      </c>
    </row>
    <row r="360" spans="1:12">
      <c r="A360" s="20" t="s">
        <v>52</v>
      </c>
      <c r="B360" s="21" t="s">
        <v>9</v>
      </c>
      <c r="C360" s="21" t="s">
        <v>16</v>
      </c>
      <c r="D360" s="21">
        <v>3</v>
      </c>
      <c r="E360" s="22">
        <v>20000</v>
      </c>
      <c r="F360" s="22">
        <v>60000</v>
      </c>
      <c r="G360" s="21" t="s">
        <v>42</v>
      </c>
      <c r="H360" s="21" t="s">
        <v>39</v>
      </c>
      <c r="I360" s="21">
        <v>1</v>
      </c>
      <c r="J360" s="21">
        <v>9</v>
      </c>
      <c r="K360" s="21">
        <v>2025</v>
      </c>
      <c r="L360" s="23">
        <v>45901</v>
      </c>
    </row>
    <row r="361" spans="1:12">
      <c r="A361" s="20" t="s">
        <v>24</v>
      </c>
      <c r="B361" s="21" t="s">
        <v>9</v>
      </c>
      <c r="C361" s="21" t="s">
        <v>12</v>
      </c>
      <c r="D361" s="21">
        <v>1</v>
      </c>
      <c r="E361" s="22">
        <v>30000</v>
      </c>
      <c r="F361" s="22">
        <v>30000</v>
      </c>
      <c r="G361" s="21" t="s">
        <v>43</v>
      </c>
      <c r="H361" s="21" t="s">
        <v>44</v>
      </c>
      <c r="I361" s="21">
        <v>13</v>
      </c>
      <c r="J361" s="21">
        <v>9</v>
      </c>
      <c r="K361" s="21">
        <v>2025</v>
      </c>
      <c r="L361" s="23">
        <v>45913</v>
      </c>
    </row>
    <row r="362" spans="1:12">
      <c r="A362" s="20" t="s">
        <v>6</v>
      </c>
      <c r="B362" s="21" t="s">
        <v>11</v>
      </c>
      <c r="C362" s="21" t="s">
        <v>13</v>
      </c>
      <c r="D362" s="21">
        <v>3</v>
      </c>
      <c r="E362" s="22">
        <v>20000</v>
      </c>
      <c r="F362" s="22">
        <v>60000</v>
      </c>
      <c r="G362" s="21" t="s">
        <v>41</v>
      </c>
      <c r="H362" s="21" t="s">
        <v>39</v>
      </c>
      <c r="I362" s="21">
        <v>17</v>
      </c>
      <c r="J362" s="21">
        <v>9</v>
      </c>
      <c r="K362" s="21">
        <v>2025</v>
      </c>
      <c r="L362" s="23">
        <v>45917</v>
      </c>
    </row>
    <row r="363" spans="1:12">
      <c r="A363" s="20" t="s">
        <v>50</v>
      </c>
      <c r="B363" s="21" t="s">
        <v>11</v>
      </c>
      <c r="C363" s="21" t="s">
        <v>8</v>
      </c>
      <c r="D363" s="21">
        <v>5</v>
      </c>
      <c r="E363" s="22">
        <v>30000</v>
      </c>
      <c r="F363" s="22">
        <v>150000</v>
      </c>
      <c r="G363" s="21" t="s">
        <v>38</v>
      </c>
      <c r="H363" s="21" t="s">
        <v>39</v>
      </c>
      <c r="I363" s="21">
        <v>11</v>
      </c>
      <c r="J363" s="21">
        <v>9</v>
      </c>
      <c r="K363" s="21">
        <v>2025</v>
      </c>
      <c r="L363" s="23">
        <v>45911</v>
      </c>
    </row>
    <row r="364" spans="1:12">
      <c r="A364" s="20" t="s">
        <v>18</v>
      </c>
      <c r="B364" s="21" t="s">
        <v>11</v>
      </c>
      <c r="C364" s="21" t="s">
        <v>12</v>
      </c>
      <c r="D364" s="21">
        <v>1</v>
      </c>
      <c r="E364" s="22">
        <v>28000</v>
      </c>
      <c r="F364" s="22">
        <v>28000</v>
      </c>
      <c r="G364" s="21" t="s">
        <v>43</v>
      </c>
      <c r="H364" s="21" t="s">
        <v>44</v>
      </c>
      <c r="I364" s="21">
        <v>29</v>
      </c>
      <c r="J364" s="21">
        <v>9</v>
      </c>
      <c r="K364" s="21">
        <v>2025</v>
      </c>
      <c r="L364" s="23">
        <v>45929</v>
      </c>
    </row>
    <row r="365" spans="1:12">
      <c r="A365" s="20" t="s">
        <v>18</v>
      </c>
      <c r="B365" s="21" t="s">
        <v>11</v>
      </c>
      <c r="C365" s="21" t="s">
        <v>8</v>
      </c>
      <c r="D365" s="21">
        <v>2</v>
      </c>
      <c r="E365" s="22">
        <v>30000</v>
      </c>
      <c r="F365" s="22">
        <v>60000</v>
      </c>
      <c r="G365" s="21" t="s">
        <v>38</v>
      </c>
      <c r="H365" s="21" t="s">
        <v>39</v>
      </c>
      <c r="I365" s="21">
        <v>29</v>
      </c>
      <c r="J365" s="21">
        <v>9</v>
      </c>
      <c r="K365" s="21">
        <v>2025</v>
      </c>
      <c r="L365" s="23">
        <v>45929</v>
      </c>
    </row>
    <row r="366" spans="1:12">
      <c r="A366" s="20" t="s">
        <v>53</v>
      </c>
      <c r="B366" s="21" t="s">
        <v>11</v>
      </c>
      <c r="C366" s="21" t="s">
        <v>15</v>
      </c>
      <c r="D366" s="21">
        <v>2</v>
      </c>
      <c r="E366" s="22">
        <v>35000</v>
      </c>
      <c r="F366" s="22">
        <v>70000</v>
      </c>
      <c r="G366" s="21" t="s">
        <v>40</v>
      </c>
      <c r="H366" s="21" t="s">
        <v>39</v>
      </c>
      <c r="I366" s="21">
        <v>7</v>
      </c>
      <c r="J366" s="21">
        <v>9</v>
      </c>
      <c r="K366" s="21">
        <v>2025</v>
      </c>
      <c r="L366" s="23">
        <v>45907</v>
      </c>
    </row>
    <row r="367" spans="1:12">
      <c r="A367" s="20" t="s">
        <v>18</v>
      </c>
      <c r="B367" s="21" t="s">
        <v>11</v>
      </c>
      <c r="C367" s="21" t="s">
        <v>13</v>
      </c>
      <c r="D367" s="21">
        <v>3</v>
      </c>
      <c r="E367" s="22">
        <v>25000</v>
      </c>
      <c r="F367" s="22">
        <v>75000</v>
      </c>
      <c r="G367" s="21" t="s">
        <v>41</v>
      </c>
      <c r="H367" s="21" t="s">
        <v>39</v>
      </c>
      <c r="I367" s="21">
        <v>29</v>
      </c>
      <c r="J367" s="21">
        <v>9</v>
      </c>
      <c r="K367" s="21">
        <v>2025</v>
      </c>
      <c r="L367" s="23">
        <v>45929</v>
      </c>
    </row>
    <row r="368" spans="1:12">
      <c r="A368" s="20" t="s">
        <v>22</v>
      </c>
      <c r="B368" s="21" t="s">
        <v>11</v>
      </c>
      <c r="C368" s="21" t="s">
        <v>16</v>
      </c>
      <c r="D368" s="21">
        <v>1</v>
      </c>
      <c r="E368" s="22">
        <v>20000</v>
      </c>
      <c r="F368" s="22">
        <v>20000</v>
      </c>
      <c r="G368" s="21" t="s">
        <v>42</v>
      </c>
      <c r="H368" s="21" t="s">
        <v>39</v>
      </c>
      <c r="I368" s="21">
        <v>16</v>
      </c>
      <c r="J368" s="21">
        <v>9</v>
      </c>
      <c r="K368" s="21">
        <v>2025</v>
      </c>
      <c r="L368" s="23">
        <v>45916</v>
      </c>
    </row>
    <row r="369" spans="1:12">
      <c r="A369" s="20" t="s">
        <v>24</v>
      </c>
      <c r="B369" s="21" t="s">
        <v>11</v>
      </c>
      <c r="C369" s="21" t="s">
        <v>12</v>
      </c>
      <c r="D369" s="21">
        <v>1</v>
      </c>
      <c r="E369" s="22">
        <v>35000</v>
      </c>
      <c r="F369" s="22">
        <v>35000</v>
      </c>
      <c r="G369" s="21" t="s">
        <v>43</v>
      </c>
      <c r="H369" s="21" t="s">
        <v>44</v>
      </c>
      <c r="I369" s="21">
        <v>13</v>
      </c>
      <c r="J369" s="21">
        <v>9</v>
      </c>
      <c r="K369" s="21">
        <v>2025</v>
      </c>
      <c r="L369" s="23">
        <v>45913</v>
      </c>
    </row>
    <row r="370" spans="1:12">
      <c r="A370" s="20" t="s">
        <v>26</v>
      </c>
      <c r="B370" s="21" t="s">
        <v>11</v>
      </c>
      <c r="C370" s="21" t="s">
        <v>8</v>
      </c>
      <c r="D370" s="21">
        <v>5</v>
      </c>
      <c r="E370" s="22">
        <v>30000</v>
      </c>
      <c r="F370" s="22">
        <v>150000</v>
      </c>
      <c r="G370" s="21" t="s">
        <v>38</v>
      </c>
      <c r="H370" s="21" t="s">
        <v>39</v>
      </c>
      <c r="I370" s="21">
        <v>21</v>
      </c>
      <c r="J370" s="21">
        <v>9</v>
      </c>
      <c r="K370" s="21">
        <v>2025</v>
      </c>
      <c r="L370" s="23">
        <v>45921</v>
      </c>
    </row>
    <row r="371" spans="1:12">
      <c r="A371" s="20" t="s">
        <v>18</v>
      </c>
      <c r="B371" s="21" t="s">
        <v>11</v>
      </c>
      <c r="C371" s="21" t="s">
        <v>15</v>
      </c>
      <c r="D371" s="21">
        <v>1</v>
      </c>
      <c r="E371" s="22">
        <v>28000</v>
      </c>
      <c r="F371" s="22">
        <v>28000</v>
      </c>
      <c r="G371" s="21" t="s">
        <v>40</v>
      </c>
      <c r="H371" s="21" t="s">
        <v>39</v>
      </c>
      <c r="I371" s="21">
        <v>29</v>
      </c>
      <c r="J371" s="21">
        <v>9</v>
      </c>
      <c r="K371" s="21">
        <v>2025</v>
      </c>
      <c r="L371" s="23">
        <v>45929</v>
      </c>
    </row>
    <row r="372" spans="1:12">
      <c r="A372" s="20" t="s">
        <v>60</v>
      </c>
      <c r="B372" s="21" t="s">
        <v>11</v>
      </c>
      <c r="C372" s="21" t="s">
        <v>13</v>
      </c>
      <c r="D372" s="21">
        <v>1</v>
      </c>
      <c r="E372" s="22">
        <v>30000</v>
      </c>
      <c r="F372" s="22">
        <v>30000</v>
      </c>
      <c r="G372" s="21" t="s">
        <v>41</v>
      </c>
      <c r="H372" s="21" t="s">
        <v>39</v>
      </c>
      <c r="I372" s="21">
        <v>4</v>
      </c>
      <c r="J372" s="21">
        <v>9</v>
      </c>
      <c r="K372" s="21">
        <v>2025</v>
      </c>
      <c r="L372" s="23">
        <v>45904</v>
      </c>
    </row>
    <row r="373" spans="1:12">
      <c r="A373" s="20" t="s">
        <v>10</v>
      </c>
      <c r="B373" s="21" t="s">
        <v>11</v>
      </c>
      <c r="C373" s="21" t="s">
        <v>13</v>
      </c>
      <c r="D373" s="21">
        <v>4</v>
      </c>
      <c r="E373" s="22">
        <v>25000</v>
      </c>
      <c r="F373" s="22">
        <v>100000</v>
      </c>
      <c r="G373" s="21" t="s">
        <v>41</v>
      </c>
      <c r="H373" s="21" t="s">
        <v>39</v>
      </c>
      <c r="I373" s="21">
        <v>20</v>
      </c>
      <c r="J373" s="21">
        <v>9</v>
      </c>
      <c r="K373" s="21">
        <v>2025</v>
      </c>
      <c r="L373" s="23">
        <v>45920</v>
      </c>
    </row>
    <row r="374" spans="1:12">
      <c r="A374" s="20" t="s">
        <v>50</v>
      </c>
      <c r="B374" s="21" t="s">
        <v>11</v>
      </c>
      <c r="C374" s="21" t="s">
        <v>8</v>
      </c>
      <c r="D374" s="21">
        <v>3</v>
      </c>
      <c r="E374" s="22">
        <v>28000</v>
      </c>
      <c r="F374" s="22">
        <v>84000</v>
      </c>
      <c r="G374" s="21" t="s">
        <v>38</v>
      </c>
      <c r="H374" s="21" t="s">
        <v>39</v>
      </c>
      <c r="I374" s="21">
        <v>11</v>
      </c>
      <c r="J374" s="21">
        <v>9</v>
      </c>
      <c r="K374" s="21">
        <v>2025</v>
      </c>
      <c r="L374" s="23">
        <v>45911</v>
      </c>
    </row>
    <row r="375" spans="1:12">
      <c r="A375" s="20" t="s">
        <v>10</v>
      </c>
      <c r="B375" s="21" t="s">
        <v>11</v>
      </c>
      <c r="C375" s="21" t="s">
        <v>12</v>
      </c>
      <c r="D375" s="21">
        <v>5</v>
      </c>
      <c r="E375" s="22">
        <v>20000</v>
      </c>
      <c r="F375" s="22">
        <v>100000</v>
      </c>
      <c r="G375" s="21" t="s">
        <v>43</v>
      </c>
      <c r="H375" s="21" t="s">
        <v>44</v>
      </c>
      <c r="I375" s="21">
        <v>20</v>
      </c>
      <c r="J375" s="21">
        <v>9</v>
      </c>
      <c r="K375" s="21">
        <v>2025</v>
      </c>
      <c r="L375" s="23">
        <v>45920</v>
      </c>
    </row>
    <row r="376" spans="1:12">
      <c r="A376" s="20" t="s">
        <v>28</v>
      </c>
      <c r="B376" s="21" t="s">
        <v>11</v>
      </c>
      <c r="C376" s="21" t="s">
        <v>8</v>
      </c>
      <c r="D376" s="21">
        <v>3</v>
      </c>
      <c r="E376" s="22">
        <v>30000</v>
      </c>
      <c r="F376" s="22">
        <v>90000</v>
      </c>
      <c r="G376" s="21" t="s">
        <v>38</v>
      </c>
      <c r="H376" s="21" t="s">
        <v>39</v>
      </c>
      <c r="I376" s="21">
        <v>30</v>
      </c>
      <c r="J376" s="21">
        <v>9</v>
      </c>
      <c r="K376" s="21">
        <v>2025</v>
      </c>
      <c r="L376" s="23">
        <v>45930</v>
      </c>
    </row>
    <row r="377" spans="1:12">
      <c r="A377" s="20" t="s">
        <v>30</v>
      </c>
      <c r="B377" s="21" t="s">
        <v>11</v>
      </c>
      <c r="C377" s="21" t="s">
        <v>15</v>
      </c>
      <c r="D377" s="21">
        <v>5</v>
      </c>
      <c r="E377" s="22">
        <v>30000</v>
      </c>
      <c r="F377" s="22">
        <v>150000</v>
      </c>
      <c r="G377" s="21" t="s">
        <v>40</v>
      </c>
      <c r="H377" s="21" t="s">
        <v>39</v>
      </c>
      <c r="I377" s="21">
        <v>25</v>
      </c>
      <c r="J377" s="21">
        <v>9</v>
      </c>
      <c r="K377" s="21">
        <v>2025</v>
      </c>
      <c r="L377" s="23">
        <v>45925</v>
      </c>
    </row>
    <row r="378" spans="1:12">
      <c r="A378" s="20" t="s">
        <v>19</v>
      </c>
      <c r="B378" s="21" t="s">
        <v>11</v>
      </c>
      <c r="C378" s="21" t="s">
        <v>13</v>
      </c>
      <c r="D378" s="21">
        <v>5</v>
      </c>
      <c r="E378" s="22">
        <v>35000</v>
      </c>
      <c r="F378" s="22">
        <v>175000</v>
      </c>
      <c r="G378" s="21" t="s">
        <v>41</v>
      </c>
      <c r="H378" s="21" t="s">
        <v>39</v>
      </c>
      <c r="I378" s="21">
        <v>27</v>
      </c>
      <c r="J378" s="21">
        <v>9</v>
      </c>
      <c r="K378" s="21">
        <v>2025</v>
      </c>
      <c r="L378" s="23">
        <v>45927</v>
      </c>
    </row>
    <row r="379" spans="1:12">
      <c r="A379" s="20" t="s">
        <v>21</v>
      </c>
      <c r="B379" s="21" t="s">
        <v>11</v>
      </c>
      <c r="C379" s="21" t="s">
        <v>16</v>
      </c>
      <c r="D379" s="21">
        <v>3</v>
      </c>
      <c r="E379" s="22">
        <v>30000</v>
      </c>
      <c r="F379" s="22">
        <v>90000</v>
      </c>
      <c r="G379" s="21" t="s">
        <v>42</v>
      </c>
      <c r="H379" s="21" t="s">
        <v>39</v>
      </c>
      <c r="I379" s="21">
        <v>19</v>
      </c>
      <c r="J379" s="21">
        <v>9</v>
      </c>
      <c r="K379" s="21">
        <v>2025</v>
      </c>
      <c r="L379" s="23">
        <v>45919</v>
      </c>
    </row>
    <row r="380" spans="1:12">
      <c r="A380" s="20" t="s">
        <v>31</v>
      </c>
      <c r="B380" s="21" t="s">
        <v>11</v>
      </c>
      <c r="C380" s="21" t="s">
        <v>12</v>
      </c>
      <c r="D380" s="21">
        <v>2</v>
      </c>
      <c r="E380" s="22">
        <v>30000</v>
      </c>
      <c r="F380" s="22">
        <v>60000</v>
      </c>
      <c r="G380" s="21" t="s">
        <v>43</v>
      </c>
      <c r="H380" s="21" t="s">
        <v>44</v>
      </c>
      <c r="I380" s="21">
        <v>23</v>
      </c>
      <c r="J380" s="21">
        <v>9</v>
      </c>
      <c r="K380" s="21">
        <v>2025</v>
      </c>
      <c r="L380" s="23">
        <v>45923</v>
      </c>
    </row>
    <row r="381" spans="1:12">
      <c r="A381" s="20" t="s">
        <v>22</v>
      </c>
      <c r="B381" s="21" t="s">
        <v>11</v>
      </c>
      <c r="C381" s="21" t="s">
        <v>8</v>
      </c>
      <c r="D381" s="21">
        <v>1</v>
      </c>
      <c r="E381" s="22">
        <v>25000</v>
      </c>
      <c r="F381" s="22">
        <v>25000</v>
      </c>
      <c r="G381" s="21" t="s">
        <v>38</v>
      </c>
      <c r="H381" s="21" t="s">
        <v>39</v>
      </c>
      <c r="I381" s="21">
        <v>16</v>
      </c>
      <c r="J381" s="21">
        <v>9</v>
      </c>
      <c r="K381" s="21">
        <v>2025</v>
      </c>
      <c r="L381" s="23">
        <v>45916</v>
      </c>
    </row>
    <row r="382" spans="1:12">
      <c r="A382" s="20" t="s">
        <v>10</v>
      </c>
      <c r="B382" s="21" t="s">
        <v>11</v>
      </c>
      <c r="C382" s="21" t="s">
        <v>15</v>
      </c>
      <c r="D382" s="21">
        <v>3</v>
      </c>
      <c r="E382" s="22">
        <v>28000</v>
      </c>
      <c r="F382" s="22">
        <v>84000</v>
      </c>
      <c r="G382" s="21" t="s">
        <v>40</v>
      </c>
      <c r="H382" s="21" t="s">
        <v>39</v>
      </c>
      <c r="I382" s="21">
        <v>20</v>
      </c>
      <c r="J382" s="21">
        <v>9</v>
      </c>
      <c r="K382" s="21">
        <v>2025</v>
      </c>
      <c r="L382" s="23">
        <v>45920</v>
      </c>
    </row>
    <row r="383" spans="1:12">
      <c r="A383" s="20" t="s">
        <v>26</v>
      </c>
      <c r="B383" s="21" t="s">
        <v>11</v>
      </c>
      <c r="C383" s="21" t="s">
        <v>13</v>
      </c>
      <c r="D383" s="21">
        <v>1</v>
      </c>
      <c r="E383" s="22">
        <v>28000</v>
      </c>
      <c r="F383" s="22">
        <v>28000</v>
      </c>
      <c r="G383" s="21" t="s">
        <v>41</v>
      </c>
      <c r="H383" s="21" t="s">
        <v>39</v>
      </c>
      <c r="I383" s="21">
        <v>21</v>
      </c>
      <c r="J383" s="21">
        <v>9</v>
      </c>
      <c r="K383" s="21">
        <v>2025</v>
      </c>
      <c r="L383" s="23">
        <v>45921</v>
      </c>
    </row>
    <row r="384" spans="1:12">
      <c r="A384" s="20" t="s">
        <v>30</v>
      </c>
      <c r="B384" s="21" t="s">
        <v>11</v>
      </c>
      <c r="C384" s="21" t="s">
        <v>13</v>
      </c>
      <c r="D384" s="21">
        <v>5</v>
      </c>
      <c r="E384" s="22">
        <v>30000</v>
      </c>
      <c r="F384" s="22">
        <v>150000</v>
      </c>
      <c r="G384" s="21" t="s">
        <v>41</v>
      </c>
      <c r="H384" s="21" t="s">
        <v>39</v>
      </c>
      <c r="I384" s="21">
        <v>25</v>
      </c>
      <c r="J384" s="21">
        <v>9</v>
      </c>
      <c r="K384" s="21">
        <v>2025</v>
      </c>
      <c r="L384" s="23">
        <v>45925</v>
      </c>
    </row>
    <row r="385" spans="1:12">
      <c r="A385" s="20" t="s">
        <v>54</v>
      </c>
      <c r="B385" s="21" t="s">
        <v>11</v>
      </c>
      <c r="C385" s="21" t="s">
        <v>8</v>
      </c>
      <c r="D385" s="21">
        <v>2</v>
      </c>
      <c r="E385" s="22">
        <v>30000</v>
      </c>
      <c r="F385" s="22">
        <v>60000</v>
      </c>
      <c r="G385" s="21" t="s">
        <v>38</v>
      </c>
      <c r="H385" s="21" t="s">
        <v>39</v>
      </c>
      <c r="I385" s="21">
        <v>8</v>
      </c>
      <c r="J385" s="21">
        <v>9</v>
      </c>
      <c r="K385" s="21">
        <v>2025</v>
      </c>
      <c r="L385" s="23">
        <v>45908</v>
      </c>
    </row>
    <row r="386" spans="1:12">
      <c r="A386" s="20" t="s">
        <v>61</v>
      </c>
      <c r="B386" s="21" t="s">
        <v>11</v>
      </c>
      <c r="C386" s="21" t="s">
        <v>12</v>
      </c>
      <c r="D386" s="21">
        <v>5</v>
      </c>
      <c r="E386" s="22">
        <v>20000</v>
      </c>
      <c r="F386" s="22">
        <v>100000</v>
      </c>
      <c r="G386" s="21" t="s">
        <v>43</v>
      </c>
      <c r="H386" s="21" t="s">
        <v>44</v>
      </c>
      <c r="I386" s="21">
        <v>9</v>
      </c>
      <c r="J386" s="21">
        <v>9</v>
      </c>
      <c r="K386" s="21">
        <v>2025</v>
      </c>
      <c r="L386" s="23">
        <v>45909</v>
      </c>
    </row>
    <row r="387" spans="1:12">
      <c r="A387" s="20" t="s">
        <v>52</v>
      </c>
      <c r="B387" s="21" t="s">
        <v>11</v>
      </c>
      <c r="C387" s="21" t="s">
        <v>8</v>
      </c>
      <c r="D387" s="21">
        <v>4</v>
      </c>
      <c r="E387" s="22">
        <v>20000</v>
      </c>
      <c r="F387" s="22">
        <v>80000</v>
      </c>
      <c r="G387" s="21" t="s">
        <v>38</v>
      </c>
      <c r="H387" s="21" t="s">
        <v>39</v>
      </c>
      <c r="I387" s="21">
        <v>1</v>
      </c>
      <c r="J387" s="21">
        <v>9</v>
      </c>
      <c r="K387" s="21">
        <v>2025</v>
      </c>
      <c r="L387" s="23">
        <v>45901</v>
      </c>
    </row>
    <row r="388" spans="1:12">
      <c r="A388" s="20" t="s">
        <v>17</v>
      </c>
      <c r="B388" s="21" t="s">
        <v>11</v>
      </c>
      <c r="C388" s="21" t="s">
        <v>15</v>
      </c>
      <c r="D388" s="21">
        <v>2</v>
      </c>
      <c r="E388" s="22">
        <v>28000</v>
      </c>
      <c r="F388" s="22">
        <v>56000</v>
      </c>
      <c r="G388" s="21" t="s">
        <v>40</v>
      </c>
      <c r="H388" s="21" t="s">
        <v>39</v>
      </c>
      <c r="I388" s="21">
        <v>14</v>
      </c>
      <c r="J388" s="21">
        <v>9</v>
      </c>
      <c r="K388" s="21">
        <v>2025</v>
      </c>
      <c r="L388" s="23">
        <v>45914</v>
      </c>
    </row>
    <row r="389" spans="1:12">
      <c r="A389" s="20" t="s">
        <v>56</v>
      </c>
      <c r="B389" s="21" t="s">
        <v>11</v>
      </c>
      <c r="C389" s="21" t="s">
        <v>13</v>
      </c>
      <c r="D389" s="21">
        <v>3</v>
      </c>
      <c r="E389" s="22">
        <v>28000</v>
      </c>
      <c r="F389" s="22">
        <v>84000</v>
      </c>
      <c r="G389" s="21" t="s">
        <v>41</v>
      </c>
      <c r="H389" s="21" t="s">
        <v>39</v>
      </c>
      <c r="I389" s="21">
        <v>3</v>
      </c>
      <c r="J389" s="21">
        <v>9</v>
      </c>
      <c r="K389" s="21">
        <v>2025</v>
      </c>
      <c r="L389" s="23">
        <v>45903</v>
      </c>
    </row>
    <row r="390" spans="1:12">
      <c r="A390" s="20" t="s">
        <v>21</v>
      </c>
      <c r="B390" s="21" t="s">
        <v>11</v>
      </c>
      <c r="C390" s="21" t="s">
        <v>16</v>
      </c>
      <c r="D390" s="21">
        <v>5</v>
      </c>
      <c r="E390" s="22">
        <v>35000</v>
      </c>
      <c r="F390" s="22">
        <v>175000</v>
      </c>
      <c r="G390" s="21" t="s">
        <v>42</v>
      </c>
      <c r="H390" s="21" t="s">
        <v>39</v>
      </c>
      <c r="I390" s="21">
        <v>19</v>
      </c>
      <c r="J390" s="21">
        <v>9</v>
      </c>
      <c r="K390" s="21">
        <v>2025</v>
      </c>
      <c r="L390" s="23">
        <v>45919</v>
      </c>
    </row>
    <row r="391" spans="1:12">
      <c r="A391" s="20" t="s">
        <v>28</v>
      </c>
      <c r="B391" s="21" t="s">
        <v>11</v>
      </c>
      <c r="C391" s="21" t="s">
        <v>12</v>
      </c>
      <c r="D391" s="21">
        <v>5</v>
      </c>
      <c r="E391" s="22">
        <v>35000</v>
      </c>
      <c r="F391" s="22">
        <v>175000</v>
      </c>
      <c r="G391" s="21" t="s">
        <v>43</v>
      </c>
      <c r="H391" s="21" t="s">
        <v>44</v>
      </c>
      <c r="I391" s="21">
        <v>30</v>
      </c>
      <c r="J391" s="21">
        <v>9</v>
      </c>
      <c r="K391" s="21">
        <v>2025</v>
      </c>
      <c r="L391" s="23">
        <v>45930</v>
      </c>
    </row>
    <row r="392" spans="1:12">
      <c r="A392" s="20" t="s">
        <v>57</v>
      </c>
      <c r="B392" s="21" t="s">
        <v>11</v>
      </c>
      <c r="C392" s="21" t="s">
        <v>8</v>
      </c>
      <c r="D392" s="21">
        <v>1</v>
      </c>
      <c r="E392" s="22">
        <v>35000</v>
      </c>
      <c r="F392" s="22">
        <v>35000</v>
      </c>
      <c r="G392" s="21" t="s">
        <v>38</v>
      </c>
      <c r="H392" s="21" t="s">
        <v>39</v>
      </c>
      <c r="I392" s="21">
        <v>6</v>
      </c>
      <c r="J392" s="21">
        <v>9</v>
      </c>
      <c r="K392" s="21">
        <v>2025</v>
      </c>
      <c r="L392" s="23">
        <v>45906</v>
      </c>
    </row>
    <row r="393" spans="1:12">
      <c r="A393" s="20" t="s">
        <v>32</v>
      </c>
      <c r="B393" s="21" t="s">
        <v>11</v>
      </c>
      <c r="C393" s="21" t="s">
        <v>15</v>
      </c>
      <c r="D393" s="21">
        <v>4</v>
      </c>
      <c r="E393" s="22">
        <v>35000</v>
      </c>
      <c r="F393" s="22">
        <v>140000</v>
      </c>
      <c r="G393" s="21" t="s">
        <v>40</v>
      </c>
      <c r="H393" s="21" t="s">
        <v>39</v>
      </c>
      <c r="I393" s="21">
        <v>28</v>
      </c>
      <c r="J393" s="21">
        <v>9</v>
      </c>
      <c r="K393" s="21">
        <v>2025</v>
      </c>
      <c r="L393" s="23">
        <v>45928</v>
      </c>
    </row>
    <row r="394" spans="1:12">
      <c r="A394" s="20" t="s">
        <v>52</v>
      </c>
      <c r="B394" s="21" t="s">
        <v>11</v>
      </c>
      <c r="C394" s="21" t="s">
        <v>13</v>
      </c>
      <c r="D394" s="21">
        <v>1</v>
      </c>
      <c r="E394" s="22">
        <v>20000</v>
      </c>
      <c r="F394" s="22">
        <v>20000</v>
      </c>
      <c r="G394" s="21" t="s">
        <v>41</v>
      </c>
      <c r="H394" s="21" t="s">
        <v>39</v>
      </c>
      <c r="I394" s="21">
        <v>1</v>
      </c>
      <c r="J394" s="21">
        <v>9</v>
      </c>
      <c r="K394" s="21">
        <v>2025</v>
      </c>
      <c r="L394" s="23">
        <v>45901</v>
      </c>
    </row>
    <row r="395" spans="1:12">
      <c r="A395" s="20" t="s">
        <v>27</v>
      </c>
      <c r="B395" s="21" t="s">
        <v>11</v>
      </c>
      <c r="C395" s="21" t="s">
        <v>13</v>
      </c>
      <c r="D395" s="21">
        <v>5</v>
      </c>
      <c r="E395" s="22">
        <v>30000</v>
      </c>
      <c r="F395" s="22">
        <v>150000</v>
      </c>
      <c r="G395" s="21" t="s">
        <v>41</v>
      </c>
      <c r="H395" s="21" t="s">
        <v>39</v>
      </c>
      <c r="I395" s="21">
        <v>15</v>
      </c>
      <c r="J395" s="21">
        <v>9</v>
      </c>
      <c r="K395" s="21">
        <v>2025</v>
      </c>
      <c r="L395" s="23">
        <v>45915</v>
      </c>
    </row>
    <row r="396" spans="1:12">
      <c r="A396" s="20" t="s">
        <v>61</v>
      </c>
      <c r="B396" s="21" t="s">
        <v>11</v>
      </c>
      <c r="C396" s="21" t="s">
        <v>8</v>
      </c>
      <c r="D396" s="21">
        <v>1</v>
      </c>
      <c r="E396" s="22">
        <v>35000</v>
      </c>
      <c r="F396" s="22">
        <v>35000</v>
      </c>
      <c r="G396" s="21" t="s">
        <v>38</v>
      </c>
      <c r="H396" s="21" t="s">
        <v>39</v>
      </c>
      <c r="I396" s="21">
        <v>9</v>
      </c>
      <c r="J396" s="21">
        <v>9</v>
      </c>
      <c r="K396" s="21">
        <v>2025</v>
      </c>
      <c r="L396" s="23">
        <v>45909</v>
      </c>
    </row>
    <row r="397" spans="1:12">
      <c r="A397" s="20" t="s">
        <v>54</v>
      </c>
      <c r="B397" s="21" t="s">
        <v>11</v>
      </c>
      <c r="C397" s="21" t="s">
        <v>12</v>
      </c>
      <c r="D397" s="21">
        <v>3</v>
      </c>
      <c r="E397" s="22">
        <v>30000</v>
      </c>
      <c r="F397" s="22">
        <v>90000</v>
      </c>
      <c r="G397" s="21" t="s">
        <v>43</v>
      </c>
      <c r="H397" s="21" t="s">
        <v>44</v>
      </c>
      <c r="I397" s="21">
        <v>8</v>
      </c>
      <c r="J397" s="21">
        <v>9</v>
      </c>
      <c r="K397" s="21">
        <v>2025</v>
      </c>
      <c r="L397" s="23">
        <v>45908</v>
      </c>
    </row>
    <row r="398" spans="1:12">
      <c r="A398" s="20" t="s">
        <v>61</v>
      </c>
      <c r="B398" s="21" t="s">
        <v>11</v>
      </c>
      <c r="C398" s="21" t="s">
        <v>8</v>
      </c>
      <c r="D398" s="21">
        <v>1</v>
      </c>
      <c r="E398" s="22">
        <v>25000</v>
      </c>
      <c r="F398" s="22">
        <v>25000</v>
      </c>
      <c r="G398" s="21" t="s">
        <v>38</v>
      </c>
      <c r="H398" s="21" t="s">
        <v>39</v>
      </c>
      <c r="I398" s="21">
        <v>9</v>
      </c>
      <c r="J398" s="21">
        <v>9</v>
      </c>
      <c r="K398" s="21">
        <v>2025</v>
      </c>
      <c r="L398" s="23">
        <v>45909</v>
      </c>
    </row>
    <row r="399" spans="1:12">
      <c r="A399" s="20" t="s">
        <v>59</v>
      </c>
      <c r="B399" s="21" t="s">
        <v>11</v>
      </c>
      <c r="C399" s="21" t="s">
        <v>15</v>
      </c>
      <c r="D399" s="21">
        <v>1</v>
      </c>
      <c r="E399" s="22">
        <v>35000</v>
      </c>
      <c r="F399" s="22">
        <v>35000</v>
      </c>
      <c r="G399" s="21" t="s">
        <v>40</v>
      </c>
      <c r="H399" s="21" t="s">
        <v>39</v>
      </c>
      <c r="I399" s="21">
        <v>12</v>
      </c>
      <c r="J399" s="21">
        <v>9</v>
      </c>
      <c r="K399" s="21">
        <v>2025</v>
      </c>
      <c r="L399" s="23">
        <v>45912</v>
      </c>
    </row>
    <row r="400" spans="1:12">
      <c r="A400" s="20" t="s">
        <v>55</v>
      </c>
      <c r="B400" s="21" t="s">
        <v>11</v>
      </c>
      <c r="C400" s="21" t="s">
        <v>13</v>
      </c>
      <c r="D400" s="21">
        <v>2</v>
      </c>
      <c r="E400" s="22">
        <v>20000</v>
      </c>
      <c r="F400" s="22">
        <v>40000</v>
      </c>
      <c r="G400" s="21" t="s">
        <v>41</v>
      </c>
      <c r="H400" s="21" t="s">
        <v>39</v>
      </c>
      <c r="I400" s="21">
        <v>10</v>
      </c>
      <c r="J400" s="21">
        <v>9</v>
      </c>
      <c r="K400" s="21">
        <v>2025</v>
      </c>
      <c r="L400" s="23">
        <v>45910</v>
      </c>
    </row>
    <row r="401" spans="1:12">
      <c r="A401" s="20" t="s">
        <v>20</v>
      </c>
      <c r="B401" s="21" t="s">
        <v>11</v>
      </c>
      <c r="C401" s="21" t="s">
        <v>16</v>
      </c>
      <c r="D401" s="21">
        <v>5</v>
      </c>
      <c r="E401" s="22">
        <v>35000</v>
      </c>
      <c r="F401" s="22">
        <v>175000</v>
      </c>
      <c r="G401" s="21" t="s">
        <v>42</v>
      </c>
      <c r="H401" s="21" t="s">
        <v>39</v>
      </c>
      <c r="I401" s="21">
        <v>26</v>
      </c>
      <c r="J401" s="21">
        <v>9</v>
      </c>
      <c r="K401" s="21">
        <v>2025</v>
      </c>
      <c r="L401" s="23">
        <v>45926</v>
      </c>
    </row>
    <row r="402" spans="1:12">
      <c r="A402" s="20" t="s">
        <v>60</v>
      </c>
      <c r="B402" s="21" t="s">
        <v>11</v>
      </c>
      <c r="C402" s="21" t="s">
        <v>12</v>
      </c>
      <c r="D402" s="21">
        <v>1</v>
      </c>
      <c r="E402" s="22">
        <v>28000</v>
      </c>
      <c r="F402" s="22">
        <v>28000</v>
      </c>
      <c r="G402" s="21" t="s">
        <v>43</v>
      </c>
      <c r="H402" s="21" t="s">
        <v>44</v>
      </c>
      <c r="I402" s="21">
        <v>4</v>
      </c>
      <c r="J402" s="21">
        <v>9</v>
      </c>
      <c r="K402" s="21">
        <v>2025</v>
      </c>
      <c r="L402" s="23">
        <v>45904</v>
      </c>
    </row>
    <row r="403" spans="1:12">
      <c r="A403" s="20" t="s">
        <v>55</v>
      </c>
      <c r="B403" s="21" t="s">
        <v>11</v>
      </c>
      <c r="C403" s="21" t="s">
        <v>8</v>
      </c>
      <c r="D403" s="21">
        <v>1</v>
      </c>
      <c r="E403" s="22">
        <v>30000</v>
      </c>
      <c r="F403" s="22">
        <v>30000</v>
      </c>
      <c r="G403" s="21" t="s">
        <v>38</v>
      </c>
      <c r="H403" s="21" t="s">
        <v>39</v>
      </c>
      <c r="I403" s="21">
        <v>10</v>
      </c>
      <c r="J403" s="21">
        <v>9</v>
      </c>
      <c r="K403" s="21">
        <v>2025</v>
      </c>
      <c r="L403" s="23">
        <v>45910</v>
      </c>
    </row>
    <row r="404" spans="1:12">
      <c r="A404" s="20" t="s">
        <v>19</v>
      </c>
      <c r="B404" s="21" t="s">
        <v>11</v>
      </c>
      <c r="C404" s="21" t="s">
        <v>15</v>
      </c>
      <c r="D404" s="21">
        <v>4</v>
      </c>
      <c r="E404" s="22">
        <v>35000</v>
      </c>
      <c r="F404" s="22">
        <v>140000</v>
      </c>
      <c r="G404" s="21" t="s">
        <v>40</v>
      </c>
      <c r="H404" s="21" t="s">
        <v>39</v>
      </c>
      <c r="I404" s="21">
        <v>27</v>
      </c>
      <c r="J404" s="21">
        <v>9</v>
      </c>
      <c r="K404" s="21">
        <v>2025</v>
      </c>
      <c r="L404" s="23">
        <v>45927</v>
      </c>
    </row>
    <row r="405" spans="1:12">
      <c r="A405" s="20" t="s">
        <v>19</v>
      </c>
      <c r="B405" s="21" t="s">
        <v>11</v>
      </c>
      <c r="C405" s="21" t="s">
        <v>13</v>
      </c>
      <c r="D405" s="21">
        <v>3</v>
      </c>
      <c r="E405" s="22">
        <v>20000</v>
      </c>
      <c r="F405" s="22">
        <v>60000</v>
      </c>
      <c r="G405" s="21" t="s">
        <v>41</v>
      </c>
      <c r="H405" s="21" t="s">
        <v>39</v>
      </c>
      <c r="I405" s="21">
        <v>27</v>
      </c>
      <c r="J405" s="21">
        <v>9</v>
      </c>
      <c r="K405" s="21">
        <v>2025</v>
      </c>
      <c r="L405" s="23">
        <v>45927</v>
      </c>
    </row>
    <row r="406" spans="1:12">
      <c r="A406" s="20" t="s">
        <v>61</v>
      </c>
      <c r="B406" s="21" t="s">
        <v>11</v>
      </c>
      <c r="C406" s="21" t="s">
        <v>8</v>
      </c>
      <c r="D406" s="21">
        <v>3</v>
      </c>
      <c r="E406" s="22">
        <v>20000</v>
      </c>
      <c r="F406" s="22">
        <v>60000</v>
      </c>
      <c r="G406" s="21" t="s">
        <v>38</v>
      </c>
      <c r="H406" s="21" t="s">
        <v>39</v>
      </c>
      <c r="I406" s="21">
        <v>9</v>
      </c>
      <c r="J406" s="21">
        <v>9</v>
      </c>
      <c r="K406" s="21">
        <v>2025</v>
      </c>
      <c r="L406" s="23">
        <v>45909</v>
      </c>
    </row>
    <row r="407" spans="1:12">
      <c r="A407" s="20" t="s">
        <v>55</v>
      </c>
      <c r="B407" s="21" t="s">
        <v>11</v>
      </c>
      <c r="C407" s="21" t="s">
        <v>15</v>
      </c>
      <c r="D407" s="21">
        <v>2</v>
      </c>
      <c r="E407" s="22">
        <v>30000</v>
      </c>
      <c r="F407" s="22">
        <v>60000</v>
      </c>
      <c r="G407" s="21" t="s">
        <v>40</v>
      </c>
      <c r="H407" s="21" t="s">
        <v>39</v>
      </c>
      <c r="I407" s="21">
        <v>10</v>
      </c>
      <c r="J407" s="21">
        <v>9</v>
      </c>
      <c r="K407" s="21">
        <v>2025</v>
      </c>
      <c r="L407" s="23">
        <v>45910</v>
      </c>
    </row>
    <row r="408" spans="1:12">
      <c r="A408" s="20" t="s">
        <v>59</v>
      </c>
      <c r="B408" s="21" t="s">
        <v>11</v>
      </c>
      <c r="C408" s="21" t="s">
        <v>13</v>
      </c>
      <c r="D408" s="21">
        <v>5</v>
      </c>
      <c r="E408" s="22">
        <v>20000</v>
      </c>
      <c r="F408" s="22">
        <v>100000</v>
      </c>
      <c r="G408" s="21" t="s">
        <v>41</v>
      </c>
      <c r="H408" s="21" t="s">
        <v>39</v>
      </c>
      <c r="I408" s="21">
        <v>12</v>
      </c>
      <c r="J408" s="21">
        <v>9</v>
      </c>
      <c r="K408" s="21">
        <v>2025</v>
      </c>
      <c r="L408" s="23">
        <v>45912</v>
      </c>
    </row>
    <row r="409" spans="1:12">
      <c r="A409" s="20" t="s">
        <v>28</v>
      </c>
      <c r="B409" s="21" t="s">
        <v>11</v>
      </c>
      <c r="C409" s="21" t="s">
        <v>16</v>
      </c>
      <c r="D409" s="21">
        <v>5</v>
      </c>
      <c r="E409" s="22">
        <v>30000</v>
      </c>
      <c r="F409" s="22">
        <v>150000</v>
      </c>
      <c r="G409" s="21" t="s">
        <v>42</v>
      </c>
      <c r="H409" s="21" t="s">
        <v>39</v>
      </c>
      <c r="I409" s="21">
        <v>30</v>
      </c>
      <c r="J409" s="21">
        <v>9</v>
      </c>
      <c r="K409" s="21">
        <v>2025</v>
      </c>
      <c r="L409" s="23">
        <v>45930</v>
      </c>
    </row>
    <row r="410" spans="1:12">
      <c r="A410" s="20" t="s">
        <v>17</v>
      </c>
      <c r="B410" s="21" t="s">
        <v>11</v>
      </c>
      <c r="C410" s="21" t="s">
        <v>12</v>
      </c>
      <c r="D410" s="21">
        <v>1</v>
      </c>
      <c r="E410" s="22">
        <v>30000</v>
      </c>
      <c r="F410" s="22">
        <v>30000</v>
      </c>
      <c r="G410" s="21" t="s">
        <v>43</v>
      </c>
      <c r="H410" s="21" t="s">
        <v>44</v>
      </c>
      <c r="I410" s="21">
        <v>14</v>
      </c>
      <c r="J410" s="21">
        <v>9</v>
      </c>
      <c r="K410" s="21">
        <v>2025</v>
      </c>
      <c r="L410" s="23">
        <v>45914</v>
      </c>
    </row>
    <row r="411" spans="1:12">
      <c r="A411" s="20" t="s">
        <v>26</v>
      </c>
      <c r="B411" s="21" t="s">
        <v>11</v>
      </c>
      <c r="C411" s="21" t="s">
        <v>8</v>
      </c>
      <c r="D411" s="21">
        <v>1</v>
      </c>
      <c r="E411" s="22">
        <v>28000</v>
      </c>
      <c r="F411" s="22">
        <v>28000</v>
      </c>
      <c r="G411" s="21" t="s">
        <v>38</v>
      </c>
      <c r="H411" s="21" t="s">
        <v>39</v>
      </c>
      <c r="I411" s="21">
        <v>21</v>
      </c>
      <c r="J411" s="21">
        <v>9</v>
      </c>
      <c r="K411" s="21">
        <v>2025</v>
      </c>
      <c r="L411" s="23">
        <v>45921</v>
      </c>
    </row>
    <row r="412" spans="1:12">
      <c r="A412" s="20" t="s">
        <v>6</v>
      </c>
      <c r="B412" s="21" t="s">
        <v>11</v>
      </c>
      <c r="C412" s="21" t="s">
        <v>15</v>
      </c>
      <c r="D412" s="21">
        <v>2</v>
      </c>
      <c r="E412" s="22">
        <v>28000</v>
      </c>
      <c r="F412" s="22">
        <v>56000</v>
      </c>
      <c r="G412" s="21" t="s">
        <v>40</v>
      </c>
      <c r="H412" s="21" t="s">
        <v>39</v>
      </c>
      <c r="I412" s="21">
        <v>17</v>
      </c>
      <c r="J412" s="21">
        <v>9</v>
      </c>
      <c r="K412" s="21">
        <v>2025</v>
      </c>
      <c r="L412" s="23">
        <v>45917</v>
      </c>
    </row>
    <row r="413" spans="1:12">
      <c r="A413" s="20" t="s">
        <v>50</v>
      </c>
      <c r="B413" s="21" t="s">
        <v>11</v>
      </c>
      <c r="C413" s="21" t="s">
        <v>13</v>
      </c>
      <c r="D413" s="21">
        <v>4</v>
      </c>
      <c r="E413" s="22">
        <v>35000</v>
      </c>
      <c r="F413" s="22">
        <v>140000</v>
      </c>
      <c r="G413" s="21" t="s">
        <v>41</v>
      </c>
      <c r="H413" s="21" t="s">
        <v>39</v>
      </c>
      <c r="I413" s="21">
        <v>11</v>
      </c>
      <c r="J413" s="21">
        <v>9</v>
      </c>
      <c r="K413" s="21">
        <v>2025</v>
      </c>
      <c r="L413" s="23">
        <v>45911</v>
      </c>
    </row>
    <row r="414" spans="1:12">
      <c r="A414" s="20" t="s">
        <v>61</v>
      </c>
      <c r="B414" s="21" t="s">
        <v>11</v>
      </c>
      <c r="C414" s="21" t="s">
        <v>16</v>
      </c>
      <c r="D414" s="21">
        <v>1</v>
      </c>
      <c r="E414" s="22">
        <v>28000</v>
      </c>
      <c r="F414" s="22">
        <v>28000</v>
      </c>
      <c r="G414" s="21" t="s">
        <v>42</v>
      </c>
      <c r="H414" s="21" t="s">
        <v>39</v>
      </c>
      <c r="I414" s="21">
        <v>9</v>
      </c>
      <c r="J414" s="21">
        <v>9</v>
      </c>
      <c r="K414" s="21">
        <v>2025</v>
      </c>
      <c r="L414" s="23">
        <v>45909</v>
      </c>
    </row>
    <row r="415" spans="1:12">
      <c r="A415" s="20" t="s">
        <v>31</v>
      </c>
      <c r="B415" s="21" t="s">
        <v>11</v>
      </c>
      <c r="C415" s="21" t="s">
        <v>12</v>
      </c>
      <c r="D415" s="21">
        <v>4</v>
      </c>
      <c r="E415" s="22">
        <v>20000</v>
      </c>
      <c r="F415" s="22">
        <v>80000</v>
      </c>
      <c r="G415" s="21" t="s">
        <v>43</v>
      </c>
      <c r="H415" s="21" t="s">
        <v>44</v>
      </c>
      <c r="I415" s="21">
        <v>23</v>
      </c>
      <c r="J415" s="21">
        <v>9</v>
      </c>
      <c r="K415" s="21">
        <v>2025</v>
      </c>
      <c r="L415" s="23">
        <v>45923</v>
      </c>
    </row>
    <row r="416" spans="1:12">
      <c r="A416" s="20" t="s">
        <v>6</v>
      </c>
      <c r="B416" s="21" t="s">
        <v>11</v>
      </c>
      <c r="C416" s="21" t="s">
        <v>8</v>
      </c>
      <c r="D416" s="21">
        <v>3</v>
      </c>
      <c r="E416" s="22">
        <v>35000</v>
      </c>
      <c r="F416" s="22">
        <v>105000</v>
      </c>
      <c r="G416" s="21" t="s">
        <v>38</v>
      </c>
      <c r="H416" s="21" t="s">
        <v>39</v>
      </c>
      <c r="I416" s="21">
        <v>17</v>
      </c>
      <c r="J416" s="21">
        <v>9</v>
      </c>
      <c r="K416" s="21">
        <v>2025</v>
      </c>
      <c r="L416" s="23">
        <v>45917</v>
      </c>
    </row>
    <row r="417" spans="1:12">
      <c r="A417" s="20" t="s">
        <v>59</v>
      </c>
      <c r="B417" s="21" t="s">
        <v>11</v>
      </c>
      <c r="C417" s="21" t="s">
        <v>15</v>
      </c>
      <c r="D417" s="21">
        <v>4</v>
      </c>
      <c r="E417" s="22">
        <v>35000</v>
      </c>
      <c r="F417" s="22">
        <v>140000</v>
      </c>
      <c r="G417" s="21" t="s">
        <v>40</v>
      </c>
      <c r="H417" s="21" t="s">
        <v>39</v>
      </c>
      <c r="I417" s="21">
        <v>12</v>
      </c>
      <c r="J417" s="21">
        <v>9</v>
      </c>
      <c r="K417" s="21">
        <v>2025</v>
      </c>
      <c r="L417" s="23">
        <v>45912</v>
      </c>
    </row>
    <row r="418" spans="1:12">
      <c r="A418" s="20" t="s">
        <v>30</v>
      </c>
      <c r="B418" s="21" t="s">
        <v>11</v>
      </c>
      <c r="C418" s="21" t="s">
        <v>13</v>
      </c>
      <c r="D418" s="21">
        <v>5</v>
      </c>
      <c r="E418" s="22">
        <v>28000</v>
      </c>
      <c r="F418" s="22">
        <v>140000</v>
      </c>
      <c r="G418" s="21" t="s">
        <v>41</v>
      </c>
      <c r="H418" s="21" t="s">
        <v>39</v>
      </c>
      <c r="I418" s="21">
        <v>25</v>
      </c>
      <c r="J418" s="21">
        <v>9</v>
      </c>
      <c r="K418" s="21">
        <v>2025</v>
      </c>
      <c r="L418" s="23">
        <v>45925</v>
      </c>
    </row>
    <row r="419" spans="1:12">
      <c r="A419" s="20" t="s">
        <v>56</v>
      </c>
      <c r="B419" s="21" t="s">
        <v>11</v>
      </c>
      <c r="C419" s="21" t="s">
        <v>16</v>
      </c>
      <c r="D419" s="21">
        <v>1</v>
      </c>
      <c r="E419" s="22">
        <v>35000</v>
      </c>
      <c r="F419" s="22">
        <v>35000</v>
      </c>
      <c r="G419" s="21" t="s">
        <v>42</v>
      </c>
      <c r="H419" s="21" t="s">
        <v>39</v>
      </c>
      <c r="I419" s="21">
        <v>3</v>
      </c>
      <c r="J419" s="21">
        <v>9</v>
      </c>
      <c r="K419" s="21">
        <v>2025</v>
      </c>
      <c r="L419" s="23">
        <v>45903</v>
      </c>
    </row>
    <row r="420" spans="1:12">
      <c r="A420" s="20" t="s">
        <v>50</v>
      </c>
      <c r="B420" s="21" t="s">
        <v>11</v>
      </c>
      <c r="C420" s="21" t="s">
        <v>12</v>
      </c>
      <c r="D420" s="21">
        <v>2</v>
      </c>
      <c r="E420" s="22">
        <v>20000</v>
      </c>
      <c r="F420" s="22">
        <v>40000</v>
      </c>
      <c r="G420" s="21" t="s">
        <v>43</v>
      </c>
      <c r="H420" s="21" t="s">
        <v>44</v>
      </c>
      <c r="I420" s="21">
        <v>11</v>
      </c>
      <c r="J420" s="21">
        <v>9</v>
      </c>
      <c r="K420" s="21">
        <v>2025</v>
      </c>
      <c r="L420" s="23">
        <v>45911</v>
      </c>
    </row>
    <row r="421" spans="1:12">
      <c r="A421" s="20" t="s">
        <v>57</v>
      </c>
      <c r="B421" s="21" t="s">
        <v>11</v>
      </c>
      <c r="C421" s="21" t="s">
        <v>8</v>
      </c>
      <c r="D421" s="21">
        <v>5</v>
      </c>
      <c r="E421" s="22">
        <v>30000</v>
      </c>
      <c r="F421" s="22">
        <v>150000</v>
      </c>
      <c r="G421" s="21" t="s">
        <v>38</v>
      </c>
      <c r="H421" s="21" t="s">
        <v>39</v>
      </c>
      <c r="I421" s="21">
        <v>6</v>
      </c>
      <c r="J421" s="21">
        <v>9</v>
      </c>
      <c r="K421" s="21">
        <v>2025</v>
      </c>
      <c r="L421" s="23">
        <v>45906</v>
      </c>
    </row>
    <row r="422" spans="1:12">
      <c r="A422" s="20" t="s">
        <v>17</v>
      </c>
      <c r="B422" s="21" t="s">
        <v>11</v>
      </c>
      <c r="C422" s="21" t="s">
        <v>15</v>
      </c>
      <c r="D422" s="21">
        <v>1</v>
      </c>
      <c r="E422" s="22">
        <v>30000</v>
      </c>
      <c r="F422" s="22">
        <v>30000</v>
      </c>
      <c r="G422" s="21" t="s">
        <v>40</v>
      </c>
      <c r="H422" s="21" t="s">
        <v>39</v>
      </c>
      <c r="I422" s="21">
        <v>14</v>
      </c>
      <c r="J422" s="21">
        <v>9</v>
      </c>
      <c r="K422" s="21">
        <v>2025</v>
      </c>
      <c r="L422" s="23">
        <v>45914</v>
      </c>
    </row>
    <row r="423" spans="1:12">
      <c r="A423" s="20" t="s">
        <v>26</v>
      </c>
      <c r="B423" s="21" t="s">
        <v>11</v>
      </c>
      <c r="C423" s="21" t="s">
        <v>13</v>
      </c>
      <c r="D423" s="21">
        <v>1</v>
      </c>
      <c r="E423" s="22">
        <v>28000</v>
      </c>
      <c r="F423" s="22">
        <v>28000</v>
      </c>
      <c r="G423" s="21" t="s">
        <v>41</v>
      </c>
      <c r="H423" s="21" t="s">
        <v>39</v>
      </c>
      <c r="I423" s="21">
        <v>21</v>
      </c>
      <c r="J423" s="21">
        <v>9</v>
      </c>
      <c r="K423" s="21">
        <v>2025</v>
      </c>
      <c r="L423" s="23">
        <v>45921</v>
      </c>
    </row>
    <row r="424" spans="1:12">
      <c r="A424" s="20" t="s">
        <v>53</v>
      </c>
      <c r="B424" s="21" t="s">
        <v>11</v>
      </c>
      <c r="C424" s="21" t="s">
        <v>16</v>
      </c>
      <c r="D424" s="21">
        <v>3</v>
      </c>
      <c r="E424" s="22">
        <v>30000</v>
      </c>
      <c r="F424" s="22">
        <v>90000</v>
      </c>
      <c r="G424" s="21" t="s">
        <v>42</v>
      </c>
      <c r="H424" s="21" t="s">
        <v>39</v>
      </c>
      <c r="I424" s="21">
        <v>7</v>
      </c>
      <c r="J424" s="21">
        <v>9</v>
      </c>
      <c r="K424" s="21">
        <v>2025</v>
      </c>
      <c r="L424" s="23">
        <v>45907</v>
      </c>
    </row>
    <row r="425" spans="1:12">
      <c r="A425" s="20" t="s">
        <v>26</v>
      </c>
      <c r="B425" s="21" t="s">
        <v>11</v>
      </c>
      <c r="C425" s="21" t="s">
        <v>12</v>
      </c>
      <c r="D425" s="21">
        <v>1</v>
      </c>
      <c r="E425" s="22">
        <v>25000</v>
      </c>
      <c r="F425" s="22">
        <v>25000</v>
      </c>
      <c r="G425" s="21" t="s">
        <v>43</v>
      </c>
      <c r="H425" s="21" t="s">
        <v>44</v>
      </c>
      <c r="I425" s="21">
        <v>21</v>
      </c>
      <c r="J425" s="21">
        <v>9</v>
      </c>
      <c r="K425" s="21">
        <v>2025</v>
      </c>
      <c r="L425" s="23">
        <v>45921</v>
      </c>
    </row>
    <row r="426" spans="1:12">
      <c r="A426" s="20" t="s">
        <v>28</v>
      </c>
      <c r="B426" s="21" t="s">
        <v>11</v>
      </c>
      <c r="C426" s="21" t="s">
        <v>13</v>
      </c>
      <c r="D426" s="21">
        <v>1</v>
      </c>
      <c r="E426" s="22">
        <v>35000</v>
      </c>
      <c r="F426" s="22">
        <v>35000</v>
      </c>
      <c r="G426" s="21" t="s">
        <v>41</v>
      </c>
      <c r="H426" s="21" t="s">
        <v>39</v>
      </c>
      <c r="I426" s="21">
        <v>30</v>
      </c>
      <c r="J426" s="21">
        <v>9</v>
      </c>
      <c r="K426" s="21">
        <v>2025</v>
      </c>
      <c r="L426" s="23">
        <v>45930</v>
      </c>
    </row>
    <row r="427" spans="1:12">
      <c r="A427" s="20" t="s">
        <v>58</v>
      </c>
      <c r="B427" s="21" t="s">
        <v>11</v>
      </c>
      <c r="C427" s="21" t="s">
        <v>16</v>
      </c>
      <c r="D427" s="21">
        <v>1</v>
      </c>
      <c r="E427" s="22">
        <v>20000</v>
      </c>
      <c r="F427" s="22">
        <v>20000</v>
      </c>
      <c r="G427" s="21" t="s">
        <v>42</v>
      </c>
      <c r="H427" s="21" t="s">
        <v>39</v>
      </c>
      <c r="I427" s="21">
        <v>5</v>
      </c>
      <c r="J427" s="21">
        <v>9</v>
      </c>
      <c r="K427" s="21">
        <v>2025</v>
      </c>
      <c r="L427" s="23">
        <v>45905</v>
      </c>
    </row>
    <row r="428" spans="1:12">
      <c r="A428" s="20" t="s">
        <v>20</v>
      </c>
      <c r="B428" s="21" t="s">
        <v>11</v>
      </c>
      <c r="C428" s="21" t="s">
        <v>12</v>
      </c>
      <c r="D428" s="21">
        <v>1</v>
      </c>
      <c r="E428" s="22">
        <v>35000</v>
      </c>
      <c r="F428" s="22">
        <v>35000</v>
      </c>
      <c r="G428" s="21" t="s">
        <v>43</v>
      </c>
      <c r="H428" s="21" t="s">
        <v>44</v>
      </c>
      <c r="I428" s="21">
        <v>26</v>
      </c>
      <c r="J428" s="21">
        <v>9</v>
      </c>
      <c r="K428" s="21">
        <v>2025</v>
      </c>
      <c r="L428" s="23">
        <v>45926</v>
      </c>
    </row>
    <row r="429" spans="1:12">
      <c r="A429" s="20" t="s">
        <v>21</v>
      </c>
      <c r="B429" s="21" t="s">
        <v>11</v>
      </c>
      <c r="C429" s="21" t="s">
        <v>8</v>
      </c>
      <c r="D429" s="21">
        <v>1</v>
      </c>
      <c r="E429" s="22">
        <v>28000</v>
      </c>
      <c r="F429" s="22">
        <v>28000</v>
      </c>
      <c r="G429" s="21" t="s">
        <v>38</v>
      </c>
      <c r="H429" s="21" t="s">
        <v>39</v>
      </c>
      <c r="I429" s="21">
        <v>19</v>
      </c>
      <c r="J429" s="21">
        <v>9</v>
      </c>
      <c r="K429" s="21">
        <v>2025</v>
      </c>
      <c r="L429" s="23">
        <v>45919</v>
      </c>
    </row>
    <row r="430" spans="1:12">
      <c r="A430" s="20" t="s">
        <v>10</v>
      </c>
      <c r="B430" s="21" t="s">
        <v>11</v>
      </c>
      <c r="C430" s="21" t="s">
        <v>15</v>
      </c>
      <c r="D430" s="21">
        <v>1</v>
      </c>
      <c r="E430" s="22">
        <v>25000</v>
      </c>
      <c r="F430" s="22">
        <v>25000</v>
      </c>
      <c r="G430" s="21" t="s">
        <v>40</v>
      </c>
      <c r="H430" s="21" t="s">
        <v>39</v>
      </c>
      <c r="I430" s="21">
        <v>20</v>
      </c>
      <c r="J430" s="21">
        <v>9</v>
      </c>
      <c r="K430" s="21">
        <v>2025</v>
      </c>
      <c r="L430" s="23">
        <v>45920</v>
      </c>
    </row>
    <row r="431" spans="1:12">
      <c r="A431" s="20" t="s">
        <v>51</v>
      </c>
      <c r="B431" s="21" t="s">
        <v>11</v>
      </c>
      <c r="C431" s="21" t="s">
        <v>13</v>
      </c>
      <c r="D431" s="21">
        <v>1</v>
      </c>
      <c r="E431" s="22">
        <v>35000</v>
      </c>
      <c r="F431" s="22">
        <v>35000</v>
      </c>
      <c r="G431" s="21" t="s">
        <v>41</v>
      </c>
      <c r="H431" s="21" t="s">
        <v>39</v>
      </c>
      <c r="I431" s="21">
        <v>2</v>
      </c>
      <c r="J431" s="21">
        <v>9</v>
      </c>
      <c r="K431" s="21">
        <v>2025</v>
      </c>
      <c r="L431" s="23">
        <v>45902</v>
      </c>
    </row>
    <row r="432" spans="1:12">
      <c r="A432" s="20" t="s">
        <v>31</v>
      </c>
      <c r="B432" s="21" t="s">
        <v>11</v>
      </c>
      <c r="C432" s="21" t="s">
        <v>16</v>
      </c>
      <c r="D432" s="21">
        <v>4</v>
      </c>
      <c r="E432" s="22">
        <v>28000</v>
      </c>
      <c r="F432" s="22">
        <v>112000</v>
      </c>
      <c r="G432" s="21" t="s">
        <v>42</v>
      </c>
      <c r="H432" s="21" t="s">
        <v>39</v>
      </c>
      <c r="I432" s="21">
        <v>23</v>
      </c>
      <c r="J432" s="21">
        <v>9</v>
      </c>
      <c r="K432" s="21">
        <v>2025</v>
      </c>
      <c r="L432" s="23">
        <v>45923</v>
      </c>
    </row>
    <row r="433" spans="1:12">
      <c r="A433" s="20" t="s">
        <v>31</v>
      </c>
      <c r="B433" s="21" t="s">
        <v>11</v>
      </c>
      <c r="C433" s="21" t="s">
        <v>12</v>
      </c>
      <c r="D433" s="21">
        <v>1</v>
      </c>
      <c r="E433" s="22">
        <v>28000</v>
      </c>
      <c r="F433" s="22">
        <v>28000</v>
      </c>
      <c r="G433" s="21" t="s">
        <v>43</v>
      </c>
      <c r="H433" s="21" t="s">
        <v>44</v>
      </c>
      <c r="I433" s="21">
        <v>23</v>
      </c>
      <c r="J433" s="21">
        <v>9</v>
      </c>
      <c r="K433" s="21">
        <v>2025</v>
      </c>
      <c r="L433" s="23">
        <v>45923</v>
      </c>
    </row>
    <row r="434" spans="1:12">
      <c r="A434" s="20" t="s">
        <v>23</v>
      </c>
      <c r="B434" s="21" t="s">
        <v>11</v>
      </c>
      <c r="C434" s="21" t="s">
        <v>8</v>
      </c>
      <c r="D434" s="21">
        <v>5</v>
      </c>
      <c r="E434" s="22">
        <v>25000</v>
      </c>
      <c r="F434" s="22">
        <v>125000</v>
      </c>
      <c r="G434" s="21" t="s">
        <v>38</v>
      </c>
      <c r="H434" s="21" t="s">
        <v>39</v>
      </c>
      <c r="I434" s="21">
        <v>24</v>
      </c>
      <c r="J434" s="21">
        <v>9</v>
      </c>
      <c r="K434" s="21">
        <v>2025</v>
      </c>
      <c r="L434" s="23">
        <v>45924</v>
      </c>
    </row>
    <row r="435" spans="1:12">
      <c r="A435" s="20" t="s">
        <v>28</v>
      </c>
      <c r="B435" s="21" t="s">
        <v>11</v>
      </c>
      <c r="C435" s="21" t="s">
        <v>15</v>
      </c>
      <c r="D435" s="21">
        <v>5</v>
      </c>
      <c r="E435" s="22">
        <v>28000</v>
      </c>
      <c r="F435" s="22">
        <v>140000</v>
      </c>
      <c r="G435" s="21" t="s">
        <v>40</v>
      </c>
      <c r="H435" s="21" t="s">
        <v>39</v>
      </c>
      <c r="I435" s="21">
        <v>30</v>
      </c>
      <c r="J435" s="21">
        <v>9</v>
      </c>
      <c r="K435" s="21">
        <v>2025</v>
      </c>
      <c r="L435" s="23">
        <v>45930</v>
      </c>
    </row>
    <row r="436" spans="1:12">
      <c r="A436" s="20" t="s">
        <v>61</v>
      </c>
      <c r="B436" s="21" t="s">
        <v>11</v>
      </c>
      <c r="C436" s="21" t="s">
        <v>13</v>
      </c>
      <c r="D436" s="21">
        <v>5</v>
      </c>
      <c r="E436" s="22">
        <v>35000</v>
      </c>
      <c r="F436" s="22">
        <v>175000</v>
      </c>
      <c r="G436" s="21" t="s">
        <v>41</v>
      </c>
      <c r="H436" s="21" t="s">
        <v>39</v>
      </c>
      <c r="I436" s="21">
        <v>9</v>
      </c>
      <c r="J436" s="21">
        <v>9</v>
      </c>
      <c r="K436" s="21">
        <v>2025</v>
      </c>
      <c r="L436" s="23">
        <v>45909</v>
      </c>
    </row>
    <row r="437" spans="1:12">
      <c r="A437" s="20" t="s">
        <v>30</v>
      </c>
      <c r="B437" s="21" t="s">
        <v>11</v>
      </c>
      <c r="C437" s="21" t="s">
        <v>16</v>
      </c>
      <c r="D437" s="21">
        <v>5</v>
      </c>
      <c r="E437" s="22">
        <v>25000</v>
      </c>
      <c r="F437" s="22">
        <v>125000</v>
      </c>
      <c r="G437" s="21" t="s">
        <v>42</v>
      </c>
      <c r="H437" s="21" t="s">
        <v>39</v>
      </c>
      <c r="I437" s="21">
        <v>25</v>
      </c>
      <c r="J437" s="21">
        <v>9</v>
      </c>
      <c r="K437" s="21">
        <v>2025</v>
      </c>
      <c r="L437" s="23">
        <v>45925</v>
      </c>
    </row>
    <row r="438" spans="1:12">
      <c r="A438" s="20" t="s">
        <v>32</v>
      </c>
      <c r="B438" s="21" t="s">
        <v>11</v>
      </c>
      <c r="C438" s="21" t="s">
        <v>12</v>
      </c>
      <c r="D438" s="21">
        <v>1</v>
      </c>
      <c r="E438" s="22">
        <v>28000</v>
      </c>
      <c r="F438" s="22">
        <v>28000</v>
      </c>
      <c r="G438" s="21" t="s">
        <v>43</v>
      </c>
      <c r="H438" s="21" t="s">
        <v>44</v>
      </c>
      <c r="I438" s="21">
        <v>28</v>
      </c>
      <c r="J438" s="21">
        <v>9</v>
      </c>
      <c r="K438" s="21">
        <v>2025</v>
      </c>
      <c r="L438" s="23">
        <v>45928</v>
      </c>
    </row>
    <row r="439" spans="1:12">
      <c r="A439" s="20" t="s">
        <v>25</v>
      </c>
      <c r="B439" s="21" t="s">
        <v>11</v>
      </c>
      <c r="C439" s="21" t="s">
        <v>16</v>
      </c>
      <c r="D439" s="21">
        <v>3</v>
      </c>
      <c r="E439" s="22">
        <v>25000</v>
      </c>
      <c r="F439" s="22">
        <v>75000</v>
      </c>
      <c r="G439" s="21" t="s">
        <v>42</v>
      </c>
      <c r="H439" s="21" t="s">
        <v>39</v>
      </c>
      <c r="I439" s="21">
        <v>18</v>
      </c>
      <c r="J439" s="21">
        <v>9</v>
      </c>
      <c r="K439" s="21">
        <v>2025</v>
      </c>
      <c r="L439" s="23">
        <v>45918</v>
      </c>
    </row>
    <row r="440" spans="1:12">
      <c r="A440" s="20" t="s">
        <v>58</v>
      </c>
      <c r="B440" s="21" t="s">
        <v>11</v>
      </c>
      <c r="C440" s="21" t="s">
        <v>12</v>
      </c>
      <c r="D440" s="21">
        <v>1</v>
      </c>
      <c r="E440" s="22">
        <v>25000</v>
      </c>
      <c r="F440" s="22">
        <v>25000</v>
      </c>
      <c r="G440" s="21" t="s">
        <v>43</v>
      </c>
      <c r="H440" s="21" t="s">
        <v>44</v>
      </c>
      <c r="I440" s="21">
        <v>5</v>
      </c>
      <c r="J440" s="21">
        <v>9</v>
      </c>
      <c r="K440" s="21">
        <v>2025</v>
      </c>
      <c r="L440" s="23">
        <v>45905</v>
      </c>
    </row>
    <row r="441" spans="1:12">
      <c r="A441" s="20" t="s">
        <v>21</v>
      </c>
      <c r="B441" s="21" t="s">
        <v>11</v>
      </c>
      <c r="C441" s="21" t="s">
        <v>8</v>
      </c>
      <c r="D441" s="21">
        <v>2</v>
      </c>
      <c r="E441" s="22">
        <v>25000</v>
      </c>
      <c r="F441" s="22">
        <v>50000</v>
      </c>
      <c r="G441" s="21" t="s">
        <v>38</v>
      </c>
      <c r="H441" s="21" t="s">
        <v>39</v>
      </c>
      <c r="I441" s="21">
        <v>19</v>
      </c>
      <c r="J441" s="21">
        <v>9</v>
      </c>
      <c r="K441" s="21">
        <v>2025</v>
      </c>
      <c r="L441" s="23">
        <v>45919</v>
      </c>
    </row>
    <row r="442" spans="1:12">
      <c r="A442" s="20" t="s">
        <v>23</v>
      </c>
      <c r="B442" s="21" t="s">
        <v>11</v>
      </c>
      <c r="C442" s="21" t="s">
        <v>15</v>
      </c>
      <c r="D442" s="21">
        <v>1</v>
      </c>
      <c r="E442" s="22">
        <v>35000</v>
      </c>
      <c r="F442" s="22">
        <v>35000</v>
      </c>
      <c r="G442" s="21" t="s">
        <v>40</v>
      </c>
      <c r="H442" s="21" t="s">
        <v>39</v>
      </c>
      <c r="I442" s="21">
        <v>24</v>
      </c>
      <c r="J442" s="21">
        <v>9</v>
      </c>
      <c r="K442" s="21">
        <v>2025</v>
      </c>
      <c r="L442" s="23">
        <v>45924</v>
      </c>
    </row>
    <row r="443" spans="1:12">
      <c r="A443" s="20" t="s">
        <v>22</v>
      </c>
      <c r="B443" s="21" t="s">
        <v>11</v>
      </c>
      <c r="C443" s="21" t="s">
        <v>13</v>
      </c>
      <c r="D443" s="21">
        <v>5</v>
      </c>
      <c r="E443" s="22">
        <v>28000</v>
      </c>
      <c r="F443" s="22">
        <v>140000</v>
      </c>
      <c r="G443" s="21" t="s">
        <v>41</v>
      </c>
      <c r="H443" s="21" t="s">
        <v>39</v>
      </c>
      <c r="I443" s="21">
        <v>16</v>
      </c>
      <c r="J443" s="21">
        <v>9</v>
      </c>
      <c r="K443" s="21">
        <v>2025</v>
      </c>
      <c r="L443" s="23">
        <v>45916</v>
      </c>
    </row>
    <row r="444" spans="1:12">
      <c r="A444" s="20" t="s">
        <v>27</v>
      </c>
      <c r="B444" s="21" t="s">
        <v>11</v>
      </c>
      <c r="C444" s="21" t="s">
        <v>16</v>
      </c>
      <c r="D444" s="21">
        <v>2</v>
      </c>
      <c r="E444" s="22">
        <v>35000</v>
      </c>
      <c r="F444" s="22">
        <v>70000</v>
      </c>
      <c r="G444" s="21" t="s">
        <v>42</v>
      </c>
      <c r="H444" s="21" t="s">
        <v>39</v>
      </c>
      <c r="I444" s="21">
        <v>15</v>
      </c>
      <c r="J444" s="21">
        <v>9</v>
      </c>
      <c r="K444" s="21">
        <v>2025</v>
      </c>
      <c r="L444" s="23">
        <v>45915</v>
      </c>
    </row>
    <row r="445" spans="1:12">
      <c r="A445" s="20" t="s">
        <v>26</v>
      </c>
      <c r="B445" s="21" t="s">
        <v>11</v>
      </c>
      <c r="C445" s="21" t="s">
        <v>12</v>
      </c>
      <c r="D445" s="21">
        <v>2</v>
      </c>
      <c r="E445" s="22">
        <v>30000</v>
      </c>
      <c r="F445" s="22">
        <v>60000</v>
      </c>
      <c r="G445" s="21" t="s">
        <v>43</v>
      </c>
      <c r="H445" s="21" t="s">
        <v>44</v>
      </c>
      <c r="I445" s="21">
        <v>21</v>
      </c>
      <c r="J445" s="21">
        <v>9</v>
      </c>
      <c r="K445" s="21">
        <v>2025</v>
      </c>
      <c r="L445" s="23">
        <v>45921</v>
      </c>
    </row>
    <row r="446" spans="1:12">
      <c r="A446" s="20" t="s">
        <v>17</v>
      </c>
      <c r="B446" s="21" t="s">
        <v>11</v>
      </c>
      <c r="C446" s="21" t="s">
        <v>13</v>
      </c>
      <c r="D446" s="21">
        <v>1</v>
      </c>
      <c r="E446" s="22">
        <v>35000</v>
      </c>
      <c r="F446" s="22">
        <v>35000</v>
      </c>
      <c r="G446" s="21" t="s">
        <v>41</v>
      </c>
      <c r="H446" s="21" t="s">
        <v>39</v>
      </c>
      <c r="I446" s="21">
        <v>14</v>
      </c>
      <c r="J446" s="21">
        <v>9</v>
      </c>
      <c r="K446" s="21">
        <v>2025</v>
      </c>
      <c r="L446" s="23">
        <v>45914</v>
      </c>
    </row>
    <row r="447" spans="1:12">
      <c r="A447" s="20" t="s">
        <v>22</v>
      </c>
      <c r="B447" s="21" t="s">
        <v>11</v>
      </c>
      <c r="C447" s="21" t="s">
        <v>16</v>
      </c>
      <c r="D447" s="21">
        <v>3</v>
      </c>
      <c r="E447" s="22">
        <v>28000</v>
      </c>
      <c r="F447" s="22">
        <v>84000</v>
      </c>
      <c r="G447" s="21" t="s">
        <v>42</v>
      </c>
      <c r="H447" s="21" t="s">
        <v>39</v>
      </c>
      <c r="I447" s="21">
        <v>16</v>
      </c>
      <c r="J447" s="21">
        <v>9</v>
      </c>
      <c r="K447" s="21">
        <v>2025</v>
      </c>
      <c r="L447" s="23">
        <v>45916</v>
      </c>
    </row>
    <row r="448" spans="1:12">
      <c r="A448" s="20" t="s">
        <v>23</v>
      </c>
      <c r="B448" s="21" t="s">
        <v>11</v>
      </c>
      <c r="C448" s="21" t="s">
        <v>12</v>
      </c>
      <c r="D448" s="21">
        <v>2</v>
      </c>
      <c r="E448" s="22">
        <v>25000</v>
      </c>
      <c r="F448" s="22">
        <v>50000</v>
      </c>
      <c r="G448" s="21" t="s">
        <v>43</v>
      </c>
      <c r="H448" s="21" t="s">
        <v>44</v>
      </c>
      <c r="I448" s="21">
        <v>24</v>
      </c>
      <c r="J448" s="21">
        <v>9</v>
      </c>
      <c r="K448" s="21">
        <v>2025</v>
      </c>
      <c r="L448" s="23">
        <v>45924</v>
      </c>
    </row>
    <row r="449" spans="1:12">
      <c r="A449" s="20" t="s">
        <v>19</v>
      </c>
      <c r="B449" s="21" t="s">
        <v>11</v>
      </c>
      <c r="C449" s="21" t="s">
        <v>8</v>
      </c>
      <c r="D449" s="21">
        <v>1</v>
      </c>
      <c r="E449" s="22">
        <v>30000</v>
      </c>
      <c r="F449" s="22">
        <v>30000</v>
      </c>
      <c r="G449" s="21" t="s">
        <v>38</v>
      </c>
      <c r="H449" s="21" t="s">
        <v>39</v>
      </c>
      <c r="I449" s="21">
        <v>27</v>
      </c>
      <c r="J449" s="21">
        <v>9</v>
      </c>
      <c r="K449" s="21">
        <v>2025</v>
      </c>
      <c r="L449" s="23">
        <v>45927</v>
      </c>
    </row>
    <row r="450" spans="1:12">
      <c r="A450" s="20" t="s">
        <v>31</v>
      </c>
      <c r="B450" s="21" t="s">
        <v>11</v>
      </c>
      <c r="C450" s="21" t="s">
        <v>15</v>
      </c>
      <c r="D450" s="21">
        <v>3</v>
      </c>
      <c r="E450" s="22">
        <v>30000</v>
      </c>
      <c r="F450" s="22">
        <v>90000</v>
      </c>
      <c r="G450" s="21" t="s">
        <v>40</v>
      </c>
      <c r="H450" s="21" t="s">
        <v>39</v>
      </c>
      <c r="I450" s="21">
        <v>23</v>
      </c>
      <c r="J450" s="21">
        <v>9</v>
      </c>
      <c r="K450" s="21">
        <v>2025</v>
      </c>
      <c r="L450" s="23">
        <v>45923</v>
      </c>
    </row>
    <row r="451" spans="1:12">
      <c r="A451" s="20" t="s">
        <v>17</v>
      </c>
      <c r="B451" s="21" t="s">
        <v>11</v>
      </c>
      <c r="C451" s="21" t="s">
        <v>13</v>
      </c>
      <c r="D451" s="21">
        <v>1</v>
      </c>
      <c r="E451" s="22">
        <v>20000</v>
      </c>
      <c r="F451" s="22">
        <v>20000</v>
      </c>
      <c r="G451" s="21" t="s">
        <v>41</v>
      </c>
      <c r="H451" s="21" t="s">
        <v>39</v>
      </c>
      <c r="I451" s="21">
        <v>14</v>
      </c>
      <c r="J451" s="21">
        <v>9</v>
      </c>
      <c r="K451" s="21">
        <v>2025</v>
      </c>
      <c r="L451" s="23">
        <v>45914</v>
      </c>
    </row>
    <row r="452" spans="1:12">
      <c r="A452" s="20" t="s">
        <v>50</v>
      </c>
      <c r="B452" s="21" t="s">
        <v>11</v>
      </c>
      <c r="C452" s="21" t="s">
        <v>16</v>
      </c>
      <c r="D452" s="21">
        <v>5</v>
      </c>
      <c r="E452" s="22">
        <v>28000</v>
      </c>
      <c r="F452" s="22">
        <v>140000</v>
      </c>
      <c r="G452" s="21" t="s">
        <v>42</v>
      </c>
      <c r="H452" s="21" t="s">
        <v>39</v>
      </c>
      <c r="I452" s="21">
        <v>11</v>
      </c>
      <c r="J452" s="21">
        <v>9</v>
      </c>
      <c r="K452" s="21">
        <v>2025</v>
      </c>
      <c r="L452" s="23">
        <v>45911</v>
      </c>
    </row>
    <row r="453" spans="1:12">
      <c r="A453" s="20" t="s">
        <v>52</v>
      </c>
      <c r="B453" s="21" t="s">
        <v>11</v>
      </c>
      <c r="C453" s="21" t="s">
        <v>12</v>
      </c>
      <c r="D453" s="21">
        <v>3</v>
      </c>
      <c r="E453" s="22">
        <v>20000</v>
      </c>
      <c r="F453" s="22">
        <v>60000</v>
      </c>
      <c r="G453" s="21" t="s">
        <v>43</v>
      </c>
      <c r="H453" s="21" t="s">
        <v>44</v>
      </c>
      <c r="I453" s="21">
        <v>1</v>
      </c>
      <c r="J453" s="21">
        <v>9</v>
      </c>
      <c r="K453" s="21">
        <v>2025</v>
      </c>
      <c r="L453" s="23">
        <v>45901</v>
      </c>
    </row>
    <row r="454" spans="1:12">
      <c r="A454" s="20" t="s">
        <v>19</v>
      </c>
      <c r="B454" s="21" t="s">
        <v>11</v>
      </c>
      <c r="C454" s="21" t="s">
        <v>8</v>
      </c>
      <c r="D454" s="21">
        <v>2</v>
      </c>
      <c r="E454" s="22">
        <v>35000</v>
      </c>
      <c r="F454" s="22">
        <v>70000</v>
      </c>
      <c r="G454" s="21" t="s">
        <v>38</v>
      </c>
      <c r="H454" s="21" t="s">
        <v>39</v>
      </c>
      <c r="I454" s="21">
        <v>27</v>
      </c>
      <c r="J454" s="21">
        <v>9</v>
      </c>
      <c r="K454" s="21">
        <v>2025</v>
      </c>
      <c r="L454" s="23">
        <v>45927</v>
      </c>
    </row>
    <row r="455" spans="1:12">
      <c r="A455" s="20" t="s">
        <v>51</v>
      </c>
      <c r="B455" s="21" t="s">
        <v>11</v>
      </c>
      <c r="C455" s="21" t="s">
        <v>15</v>
      </c>
      <c r="D455" s="21">
        <v>3</v>
      </c>
      <c r="E455" s="22">
        <v>30000</v>
      </c>
      <c r="F455" s="22">
        <v>90000</v>
      </c>
      <c r="G455" s="21" t="s">
        <v>40</v>
      </c>
      <c r="H455" s="21" t="s">
        <v>39</v>
      </c>
      <c r="I455" s="21">
        <v>2</v>
      </c>
      <c r="J455" s="21">
        <v>9</v>
      </c>
      <c r="K455" s="21">
        <v>2025</v>
      </c>
      <c r="L455" s="23">
        <v>45902</v>
      </c>
    </row>
    <row r="456" spans="1:12">
      <c r="A456" s="20" t="s">
        <v>22</v>
      </c>
      <c r="B456" s="21" t="s">
        <v>11</v>
      </c>
      <c r="C456" s="21" t="s">
        <v>13</v>
      </c>
      <c r="D456" s="21">
        <v>4</v>
      </c>
      <c r="E456" s="22">
        <v>30000</v>
      </c>
      <c r="F456" s="22">
        <v>120000</v>
      </c>
      <c r="G456" s="21" t="s">
        <v>41</v>
      </c>
      <c r="H456" s="21" t="s">
        <v>39</v>
      </c>
      <c r="I456" s="21">
        <v>16</v>
      </c>
      <c r="J456" s="21">
        <v>9</v>
      </c>
      <c r="K456" s="21">
        <v>2025</v>
      </c>
      <c r="L456" s="23">
        <v>45916</v>
      </c>
    </row>
    <row r="457" spans="1:12">
      <c r="A457" s="20" t="s">
        <v>57</v>
      </c>
      <c r="B457" s="21" t="s">
        <v>11</v>
      </c>
      <c r="C457" s="21" t="s">
        <v>16</v>
      </c>
      <c r="D457" s="21">
        <v>3</v>
      </c>
      <c r="E457" s="22">
        <v>30000</v>
      </c>
      <c r="F457" s="22">
        <v>90000</v>
      </c>
      <c r="G457" s="21" t="s">
        <v>42</v>
      </c>
      <c r="H457" s="21" t="s">
        <v>39</v>
      </c>
      <c r="I457" s="21">
        <v>6</v>
      </c>
      <c r="J457" s="21">
        <v>9</v>
      </c>
      <c r="K457" s="21">
        <v>2025</v>
      </c>
      <c r="L457" s="23">
        <v>45906</v>
      </c>
    </row>
    <row r="458" spans="1:12">
      <c r="A458" s="20" t="s">
        <v>22</v>
      </c>
      <c r="B458" s="21" t="s">
        <v>11</v>
      </c>
      <c r="C458" s="21" t="s">
        <v>12</v>
      </c>
      <c r="D458" s="21">
        <v>3</v>
      </c>
      <c r="E458" s="22">
        <v>28000</v>
      </c>
      <c r="F458" s="22">
        <v>84000</v>
      </c>
      <c r="G458" s="21" t="s">
        <v>43</v>
      </c>
      <c r="H458" s="21" t="s">
        <v>44</v>
      </c>
      <c r="I458" s="21">
        <v>16</v>
      </c>
      <c r="J458" s="21">
        <v>9</v>
      </c>
      <c r="K458" s="21">
        <v>2025</v>
      </c>
      <c r="L458" s="23">
        <v>45916</v>
      </c>
    </row>
    <row r="459" spans="1:12">
      <c r="A459" s="20" t="s">
        <v>28</v>
      </c>
      <c r="B459" s="21" t="s">
        <v>11</v>
      </c>
      <c r="C459" s="21" t="s">
        <v>8</v>
      </c>
      <c r="D459" s="21">
        <v>2</v>
      </c>
      <c r="E459" s="22">
        <v>30000</v>
      </c>
      <c r="F459" s="22">
        <v>60000</v>
      </c>
      <c r="G459" s="21" t="s">
        <v>38</v>
      </c>
      <c r="H459" s="21" t="s">
        <v>39</v>
      </c>
      <c r="I459" s="21">
        <v>30</v>
      </c>
      <c r="J459" s="21">
        <v>9</v>
      </c>
      <c r="K459" s="21">
        <v>2025</v>
      </c>
      <c r="L459" s="23">
        <v>45930</v>
      </c>
    </row>
    <row r="460" spans="1:12">
      <c r="A460" s="20" t="s">
        <v>30</v>
      </c>
      <c r="B460" s="21" t="s">
        <v>11</v>
      </c>
      <c r="C460" s="21" t="s">
        <v>15</v>
      </c>
      <c r="D460" s="21">
        <v>3</v>
      </c>
      <c r="E460" s="22">
        <v>20000</v>
      </c>
      <c r="F460" s="22">
        <v>60000</v>
      </c>
      <c r="G460" s="21" t="s">
        <v>40</v>
      </c>
      <c r="H460" s="21" t="s">
        <v>39</v>
      </c>
      <c r="I460" s="21">
        <v>25</v>
      </c>
      <c r="J460" s="21">
        <v>9</v>
      </c>
      <c r="K460" s="21">
        <v>2025</v>
      </c>
      <c r="L460" s="23">
        <v>45925</v>
      </c>
    </row>
    <row r="461" spans="1:12">
      <c r="A461" s="20" t="s">
        <v>51</v>
      </c>
      <c r="B461" s="21" t="s">
        <v>11</v>
      </c>
      <c r="C461" s="21" t="s">
        <v>13</v>
      </c>
      <c r="D461" s="21">
        <v>1</v>
      </c>
      <c r="E461" s="22">
        <v>35000</v>
      </c>
      <c r="F461" s="22">
        <v>35000</v>
      </c>
      <c r="G461" s="21" t="s">
        <v>41</v>
      </c>
      <c r="H461" s="21" t="s">
        <v>39</v>
      </c>
      <c r="I461" s="21">
        <v>2</v>
      </c>
      <c r="J461" s="21">
        <v>9</v>
      </c>
      <c r="K461" s="21">
        <v>2025</v>
      </c>
      <c r="L461" s="23">
        <v>45902</v>
      </c>
    </row>
    <row r="462" spans="1:12">
      <c r="A462" s="20" t="s">
        <v>22</v>
      </c>
      <c r="B462" s="21" t="s">
        <v>11</v>
      </c>
      <c r="C462" s="21" t="s">
        <v>16</v>
      </c>
      <c r="D462" s="21">
        <v>1</v>
      </c>
      <c r="E462" s="22">
        <v>30000</v>
      </c>
      <c r="F462" s="22">
        <v>30000</v>
      </c>
      <c r="G462" s="21" t="s">
        <v>42</v>
      </c>
      <c r="H462" s="21" t="s">
        <v>39</v>
      </c>
      <c r="I462" s="21">
        <v>16</v>
      </c>
      <c r="J462" s="21">
        <v>9</v>
      </c>
      <c r="K462" s="21">
        <v>2025</v>
      </c>
      <c r="L462" s="23">
        <v>45916</v>
      </c>
    </row>
    <row r="463" spans="1:12">
      <c r="A463" s="20" t="s">
        <v>56</v>
      </c>
      <c r="B463" s="21" t="s">
        <v>11</v>
      </c>
      <c r="C463" s="21" t="s">
        <v>12</v>
      </c>
      <c r="D463" s="21">
        <v>1</v>
      </c>
      <c r="E463" s="22">
        <v>35000</v>
      </c>
      <c r="F463" s="22">
        <v>35000</v>
      </c>
      <c r="G463" s="21" t="s">
        <v>43</v>
      </c>
      <c r="H463" s="21" t="s">
        <v>44</v>
      </c>
      <c r="I463" s="21">
        <v>3</v>
      </c>
      <c r="J463" s="21">
        <v>9</v>
      </c>
      <c r="K463" s="21">
        <v>2025</v>
      </c>
      <c r="L463" s="23">
        <v>45903</v>
      </c>
    </row>
    <row r="464" spans="1:12">
      <c r="A464" s="20" t="s">
        <v>22</v>
      </c>
      <c r="B464" s="21" t="s">
        <v>11</v>
      </c>
      <c r="C464" s="21" t="s">
        <v>8</v>
      </c>
      <c r="D464" s="21">
        <v>3</v>
      </c>
      <c r="E464" s="22">
        <v>25000</v>
      </c>
      <c r="F464" s="22">
        <v>75000</v>
      </c>
      <c r="G464" s="21" t="s">
        <v>38</v>
      </c>
      <c r="H464" s="21" t="s">
        <v>39</v>
      </c>
      <c r="I464" s="21">
        <v>16</v>
      </c>
      <c r="J464" s="21">
        <v>9</v>
      </c>
      <c r="K464" s="21">
        <v>2025</v>
      </c>
      <c r="L464" s="23">
        <v>45916</v>
      </c>
    </row>
    <row r="465" spans="1:12">
      <c r="A465" s="20" t="s">
        <v>59</v>
      </c>
      <c r="B465" s="21" t="s">
        <v>11</v>
      </c>
      <c r="C465" s="21" t="s">
        <v>15</v>
      </c>
      <c r="D465" s="21">
        <v>4</v>
      </c>
      <c r="E465" s="22">
        <v>30000</v>
      </c>
      <c r="F465" s="22">
        <v>120000</v>
      </c>
      <c r="G465" s="21" t="s">
        <v>40</v>
      </c>
      <c r="H465" s="21" t="s">
        <v>39</v>
      </c>
      <c r="I465" s="21">
        <v>12</v>
      </c>
      <c r="J465" s="21">
        <v>9</v>
      </c>
      <c r="K465" s="21">
        <v>2025</v>
      </c>
      <c r="L465" s="23">
        <v>45912</v>
      </c>
    </row>
    <row r="466" spans="1:12">
      <c r="A466" s="20" t="s">
        <v>20</v>
      </c>
      <c r="B466" s="21" t="s">
        <v>11</v>
      </c>
      <c r="C466" s="21" t="s">
        <v>13</v>
      </c>
      <c r="D466" s="21">
        <v>1</v>
      </c>
      <c r="E466" s="22">
        <v>25000</v>
      </c>
      <c r="F466" s="22">
        <v>25000</v>
      </c>
      <c r="G466" s="21" t="s">
        <v>41</v>
      </c>
      <c r="H466" s="21" t="s">
        <v>39</v>
      </c>
      <c r="I466" s="21">
        <v>26</v>
      </c>
      <c r="J466" s="21">
        <v>9</v>
      </c>
      <c r="K466" s="21">
        <v>2025</v>
      </c>
      <c r="L466" s="23">
        <v>45926</v>
      </c>
    </row>
    <row r="467" spans="1:12">
      <c r="A467" s="20" t="s">
        <v>60</v>
      </c>
      <c r="B467" s="21" t="s">
        <v>11</v>
      </c>
      <c r="C467" s="21" t="s">
        <v>16</v>
      </c>
      <c r="D467" s="21">
        <v>3</v>
      </c>
      <c r="E467" s="22">
        <v>25000</v>
      </c>
      <c r="F467" s="22">
        <v>75000</v>
      </c>
      <c r="G467" s="21" t="s">
        <v>42</v>
      </c>
      <c r="H467" s="21" t="s">
        <v>39</v>
      </c>
      <c r="I467" s="21">
        <v>4</v>
      </c>
      <c r="J467" s="21">
        <v>9</v>
      </c>
      <c r="K467" s="21">
        <v>2025</v>
      </c>
      <c r="L467" s="23">
        <v>45904</v>
      </c>
    </row>
    <row r="468" spans="1:12">
      <c r="A468" s="20" t="s">
        <v>25</v>
      </c>
      <c r="B468" s="21" t="s">
        <v>11</v>
      </c>
      <c r="C468" s="21" t="s">
        <v>12</v>
      </c>
      <c r="D468" s="21">
        <v>4</v>
      </c>
      <c r="E468" s="22">
        <v>28000</v>
      </c>
      <c r="F468" s="22">
        <v>112000</v>
      </c>
      <c r="G468" s="21" t="s">
        <v>43</v>
      </c>
      <c r="H468" s="21" t="s">
        <v>44</v>
      </c>
      <c r="I468" s="21">
        <v>18</v>
      </c>
      <c r="J468" s="21">
        <v>9</v>
      </c>
      <c r="K468" s="21">
        <v>2025</v>
      </c>
      <c r="L468" s="23">
        <v>45918</v>
      </c>
    </row>
    <row r="469" spans="1:12">
      <c r="A469" s="20" t="s">
        <v>31</v>
      </c>
      <c r="B469" s="21" t="s">
        <v>11</v>
      </c>
      <c r="C469" s="21" t="s">
        <v>8</v>
      </c>
      <c r="D469" s="21">
        <v>1</v>
      </c>
      <c r="E469" s="22">
        <v>20000</v>
      </c>
      <c r="F469" s="22">
        <v>20000</v>
      </c>
      <c r="G469" s="21" t="s">
        <v>38</v>
      </c>
      <c r="H469" s="21" t="s">
        <v>39</v>
      </c>
      <c r="I469" s="21">
        <v>23</v>
      </c>
      <c r="J469" s="21">
        <v>9</v>
      </c>
      <c r="K469" s="21">
        <v>2025</v>
      </c>
      <c r="L469" s="23">
        <v>45923</v>
      </c>
    </row>
    <row r="470" spans="1:12">
      <c r="A470" s="20" t="s">
        <v>59</v>
      </c>
      <c r="B470" s="21" t="s">
        <v>11</v>
      </c>
      <c r="C470" s="21" t="s">
        <v>15</v>
      </c>
      <c r="D470" s="21">
        <v>5</v>
      </c>
      <c r="E470" s="22">
        <v>30000</v>
      </c>
      <c r="F470" s="22">
        <v>150000</v>
      </c>
      <c r="G470" s="21" t="s">
        <v>40</v>
      </c>
      <c r="H470" s="21" t="s">
        <v>39</v>
      </c>
      <c r="I470" s="21">
        <v>12</v>
      </c>
      <c r="J470" s="21">
        <v>9</v>
      </c>
      <c r="K470" s="21">
        <v>2025</v>
      </c>
      <c r="L470" s="23">
        <v>45912</v>
      </c>
    </row>
    <row r="471" spans="1:12">
      <c r="A471" s="20" t="s">
        <v>25</v>
      </c>
      <c r="B471" s="21" t="s">
        <v>11</v>
      </c>
      <c r="C471" s="21" t="s">
        <v>13</v>
      </c>
      <c r="D471" s="21">
        <v>3</v>
      </c>
      <c r="E471" s="22">
        <v>20000</v>
      </c>
      <c r="F471" s="22">
        <v>60000</v>
      </c>
      <c r="G471" s="21" t="s">
        <v>41</v>
      </c>
      <c r="H471" s="21" t="s">
        <v>39</v>
      </c>
      <c r="I471" s="21">
        <v>18</v>
      </c>
      <c r="J471" s="21">
        <v>9</v>
      </c>
      <c r="K471" s="21">
        <v>2025</v>
      </c>
      <c r="L471" s="23">
        <v>45918</v>
      </c>
    </row>
    <row r="472" spans="1:12">
      <c r="A472" s="20" t="s">
        <v>27</v>
      </c>
      <c r="B472" s="21" t="s">
        <v>11</v>
      </c>
      <c r="C472" s="21" t="s">
        <v>16</v>
      </c>
      <c r="D472" s="21">
        <v>1</v>
      </c>
      <c r="E472" s="22">
        <v>28000</v>
      </c>
      <c r="F472" s="22">
        <v>28000</v>
      </c>
      <c r="G472" s="21" t="s">
        <v>42</v>
      </c>
      <c r="H472" s="21" t="s">
        <v>39</v>
      </c>
      <c r="I472" s="21">
        <v>15</v>
      </c>
      <c r="J472" s="21">
        <v>9</v>
      </c>
      <c r="K472" s="21">
        <v>2025</v>
      </c>
      <c r="L472" s="23">
        <v>45915</v>
      </c>
    </row>
    <row r="473" spans="1:12">
      <c r="A473" s="20" t="s">
        <v>17</v>
      </c>
      <c r="B473" s="21" t="s">
        <v>11</v>
      </c>
      <c r="C473" s="21" t="s">
        <v>12</v>
      </c>
      <c r="D473" s="21">
        <v>1</v>
      </c>
      <c r="E473" s="22">
        <v>35000</v>
      </c>
      <c r="F473" s="22">
        <v>35000</v>
      </c>
      <c r="G473" s="21" t="s">
        <v>43</v>
      </c>
      <c r="H473" s="21" t="s">
        <v>44</v>
      </c>
      <c r="I473" s="21">
        <v>14</v>
      </c>
      <c r="J473" s="21">
        <v>9</v>
      </c>
      <c r="K473" s="21">
        <v>2025</v>
      </c>
      <c r="L473" s="23">
        <v>45914</v>
      </c>
    </row>
    <row r="474" spans="1:12">
      <c r="A474" s="20" t="s">
        <v>17</v>
      </c>
      <c r="B474" s="21" t="s">
        <v>11</v>
      </c>
      <c r="C474" s="21" t="s">
        <v>8</v>
      </c>
      <c r="D474" s="21">
        <v>3</v>
      </c>
      <c r="E474" s="22">
        <v>28000</v>
      </c>
      <c r="F474" s="22">
        <v>84000</v>
      </c>
      <c r="G474" s="21" t="s">
        <v>38</v>
      </c>
      <c r="H474" s="21" t="s">
        <v>39</v>
      </c>
      <c r="I474" s="21">
        <v>14</v>
      </c>
      <c r="J474" s="21">
        <v>9</v>
      </c>
      <c r="K474" s="21">
        <v>2025</v>
      </c>
      <c r="L474" s="23">
        <v>45914</v>
      </c>
    </row>
    <row r="475" spans="1:12">
      <c r="A475" s="20" t="s">
        <v>31</v>
      </c>
      <c r="B475" s="21" t="s">
        <v>11</v>
      </c>
      <c r="C475" s="21" t="s">
        <v>15</v>
      </c>
      <c r="D475" s="21">
        <v>4</v>
      </c>
      <c r="E475" s="22">
        <v>20000</v>
      </c>
      <c r="F475" s="22">
        <v>80000</v>
      </c>
      <c r="G475" s="21" t="s">
        <v>40</v>
      </c>
      <c r="H475" s="21" t="s">
        <v>39</v>
      </c>
      <c r="I475" s="21">
        <v>23</v>
      </c>
      <c r="J475" s="21">
        <v>9</v>
      </c>
      <c r="K475" s="21">
        <v>2025</v>
      </c>
      <c r="L475" s="23">
        <v>45923</v>
      </c>
    </row>
    <row r="476" spans="1:12">
      <c r="A476" s="20" t="s">
        <v>53</v>
      </c>
      <c r="B476" s="21" t="s">
        <v>11</v>
      </c>
      <c r="C476" s="21" t="s">
        <v>13</v>
      </c>
      <c r="D476" s="21">
        <v>1</v>
      </c>
      <c r="E476" s="22">
        <v>20000</v>
      </c>
      <c r="F476" s="22">
        <v>20000</v>
      </c>
      <c r="G476" s="21" t="s">
        <v>41</v>
      </c>
      <c r="H476" s="21" t="s">
        <v>39</v>
      </c>
      <c r="I476" s="21">
        <v>7</v>
      </c>
      <c r="J476" s="21">
        <v>9</v>
      </c>
      <c r="K476" s="21">
        <v>2025</v>
      </c>
      <c r="L476" s="23">
        <v>45907</v>
      </c>
    </row>
    <row r="477" spans="1:12">
      <c r="A477" s="20" t="s">
        <v>59</v>
      </c>
      <c r="B477" s="21" t="s">
        <v>11</v>
      </c>
      <c r="C477" s="21" t="s">
        <v>16</v>
      </c>
      <c r="D477" s="21">
        <v>3</v>
      </c>
      <c r="E477" s="22">
        <v>20000</v>
      </c>
      <c r="F477" s="22">
        <v>60000</v>
      </c>
      <c r="G477" s="21" t="s">
        <v>42</v>
      </c>
      <c r="H477" s="21" t="s">
        <v>39</v>
      </c>
      <c r="I477" s="21">
        <v>12</v>
      </c>
      <c r="J477" s="21">
        <v>9</v>
      </c>
      <c r="K477" s="21">
        <v>2025</v>
      </c>
      <c r="L477" s="23">
        <v>45912</v>
      </c>
    </row>
    <row r="478" spans="1:12">
      <c r="A478" s="20" t="s">
        <v>55</v>
      </c>
      <c r="B478" s="21" t="s">
        <v>11</v>
      </c>
      <c r="C478" s="21" t="s">
        <v>12</v>
      </c>
      <c r="D478" s="21">
        <v>4</v>
      </c>
      <c r="E478" s="22">
        <v>28000</v>
      </c>
      <c r="F478" s="22">
        <v>112000</v>
      </c>
      <c r="G478" s="21" t="s">
        <v>43</v>
      </c>
      <c r="H478" s="21" t="s">
        <v>44</v>
      </c>
      <c r="I478" s="21">
        <v>10</v>
      </c>
      <c r="J478" s="21">
        <v>9</v>
      </c>
      <c r="K478" s="21">
        <v>2025</v>
      </c>
      <c r="L478" s="23">
        <v>45910</v>
      </c>
    </row>
    <row r="479" spans="1:12">
      <c r="A479" s="20" t="s">
        <v>6</v>
      </c>
      <c r="B479" s="21" t="s">
        <v>11</v>
      </c>
      <c r="C479" s="21" t="s">
        <v>13</v>
      </c>
      <c r="D479" s="21">
        <v>1</v>
      </c>
      <c r="E479" s="22">
        <v>20000</v>
      </c>
      <c r="F479" s="22">
        <v>20000</v>
      </c>
      <c r="G479" s="21" t="s">
        <v>41</v>
      </c>
      <c r="H479" s="21" t="s">
        <v>39</v>
      </c>
      <c r="I479" s="21">
        <v>17</v>
      </c>
      <c r="J479" s="21">
        <v>9</v>
      </c>
      <c r="K479" s="21">
        <v>2025</v>
      </c>
      <c r="L479" s="23">
        <v>45917</v>
      </c>
    </row>
    <row r="480" spans="1:12">
      <c r="A480" s="20" t="s">
        <v>27</v>
      </c>
      <c r="B480" s="21" t="s">
        <v>11</v>
      </c>
      <c r="C480" s="21" t="s">
        <v>16</v>
      </c>
      <c r="D480" s="21">
        <v>1</v>
      </c>
      <c r="E480" s="22">
        <v>20000</v>
      </c>
      <c r="F480" s="22">
        <v>20000</v>
      </c>
      <c r="G480" s="21" t="s">
        <v>42</v>
      </c>
      <c r="H480" s="21" t="s">
        <v>39</v>
      </c>
      <c r="I480" s="21">
        <v>15</v>
      </c>
      <c r="J480" s="21">
        <v>9</v>
      </c>
      <c r="K480" s="21">
        <v>2025</v>
      </c>
      <c r="L480" s="23">
        <v>45915</v>
      </c>
    </row>
    <row r="481" spans="1:12">
      <c r="A481" s="20" t="s">
        <v>25</v>
      </c>
      <c r="B481" s="21" t="s">
        <v>11</v>
      </c>
      <c r="C481" s="21" t="s">
        <v>12</v>
      </c>
      <c r="D481" s="21">
        <v>4</v>
      </c>
      <c r="E481" s="22">
        <v>28000</v>
      </c>
      <c r="F481" s="22">
        <v>112000</v>
      </c>
      <c r="G481" s="21" t="s">
        <v>43</v>
      </c>
      <c r="H481" s="21" t="s">
        <v>44</v>
      </c>
      <c r="I481" s="21">
        <v>18</v>
      </c>
      <c r="J481" s="21">
        <v>9</v>
      </c>
      <c r="K481" s="21">
        <v>2025</v>
      </c>
      <c r="L481" s="23">
        <v>45918</v>
      </c>
    </row>
    <row r="482" spans="1:12">
      <c r="A482" s="20" t="s">
        <v>20</v>
      </c>
      <c r="B482" s="21" t="s">
        <v>34</v>
      </c>
      <c r="C482" s="21" t="s">
        <v>8</v>
      </c>
      <c r="D482" s="21">
        <v>3</v>
      </c>
      <c r="E482" s="22">
        <v>28000</v>
      </c>
      <c r="F482" s="22">
        <v>84000</v>
      </c>
      <c r="G482" s="21" t="s">
        <v>38</v>
      </c>
      <c r="H482" s="21" t="s">
        <v>39</v>
      </c>
      <c r="I482" s="21">
        <v>26</v>
      </c>
      <c r="J482" s="21">
        <v>9</v>
      </c>
      <c r="K482" s="21">
        <v>2025</v>
      </c>
      <c r="L482" s="23">
        <v>45926</v>
      </c>
    </row>
    <row r="483" spans="1:12">
      <c r="A483" s="20" t="s">
        <v>30</v>
      </c>
      <c r="B483" s="21" t="s">
        <v>34</v>
      </c>
      <c r="C483" s="21" t="s">
        <v>15</v>
      </c>
      <c r="D483" s="21">
        <v>2</v>
      </c>
      <c r="E483" s="22">
        <v>30000</v>
      </c>
      <c r="F483" s="22">
        <v>60000</v>
      </c>
      <c r="G483" s="21" t="s">
        <v>40</v>
      </c>
      <c r="H483" s="21" t="s">
        <v>39</v>
      </c>
      <c r="I483" s="21">
        <v>25</v>
      </c>
      <c r="J483" s="21">
        <v>9</v>
      </c>
      <c r="K483" s="21">
        <v>2025</v>
      </c>
      <c r="L483" s="23">
        <v>45925</v>
      </c>
    </row>
    <row r="484" spans="1:12">
      <c r="A484" s="20" t="s">
        <v>57</v>
      </c>
      <c r="B484" s="21" t="s">
        <v>34</v>
      </c>
      <c r="C484" s="21" t="s">
        <v>13</v>
      </c>
      <c r="D484" s="21">
        <v>2</v>
      </c>
      <c r="E484" s="22">
        <v>30000</v>
      </c>
      <c r="F484" s="22">
        <v>60000</v>
      </c>
      <c r="G484" s="21" t="s">
        <v>41</v>
      </c>
      <c r="H484" s="21" t="s">
        <v>39</v>
      </c>
      <c r="I484" s="21">
        <v>6</v>
      </c>
      <c r="J484" s="21">
        <v>9</v>
      </c>
      <c r="K484" s="21">
        <v>2025</v>
      </c>
      <c r="L484" s="23">
        <v>45906</v>
      </c>
    </row>
    <row r="485" spans="1:12">
      <c r="A485" s="20" t="s">
        <v>17</v>
      </c>
      <c r="B485" s="21" t="s">
        <v>34</v>
      </c>
      <c r="C485" s="21" t="s">
        <v>16</v>
      </c>
      <c r="D485" s="21">
        <v>1</v>
      </c>
      <c r="E485" s="22">
        <v>20000</v>
      </c>
      <c r="F485" s="22">
        <v>20000</v>
      </c>
      <c r="G485" s="21" t="s">
        <v>42</v>
      </c>
      <c r="H485" s="21" t="s">
        <v>39</v>
      </c>
      <c r="I485" s="21">
        <v>14</v>
      </c>
      <c r="J485" s="21">
        <v>9</v>
      </c>
      <c r="K485" s="21">
        <v>2025</v>
      </c>
      <c r="L485" s="23">
        <v>45914</v>
      </c>
    </row>
    <row r="486" spans="1:12">
      <c r="A486" s="20" t="s">
        <v>31</v>
      </c>
      <c r="B486" s="21" t="s">
        <v>34</v>
      </c>
      <c r="C486" s="21" t="s">
        <v>12</v>
      </c>
      <c r="D486" s="21">
        <v>2</v>
      </c>
      <c r="E486" s="22">
        <v>35000</v>
      </c>
      <c r="F486" s="22">
        <v>70000</v>
      </c>
      <c r="G486" s="21" t="s">
        <v>43</v>
      </c>
      <c r="H486" s="21" t="s">
        <v>44</v>
      </c>
      <c r="I486" s="21">
        <v>23</v>
      </c>
      <c r="J486" s="21">
        <v>9</v>
      </c>
      <c r="K486" s="21">
        <v>2025</v>
      </c>
      <c r="L486" s="23">
        <v>45923</v>
      </c>
    </row>
    <row r="487" spans="1:12">
      <c r="A487" s="20" t="s">
        <v>23</v>
      </c>
      <c r="B487" s="21" t="s">
        <v>34</v>
      </c>
      <c r="C487" s="21" t="s">
        <v>8</v>
      </c>
      <c r="D487" s="21">
        <v>5</v>
      </c>
      <c r="E487" s="22">
        <v>25000</v>
      </c>
      <c r="F487" s="22">
        <v>125000</v>
      </c>
      <c r="G487" s="21" t="s">
        <v>38</v>
      </c>
      <c r="H487" s="21" t="s">
        <v>39</v>
      </c>
      <c r="I487" s="21">
        <v>24</v>
      </c>
      <c r="J487" s="21">
        <v>9</v>
      </c>
      <c r="K487" s="21">
        <v>2025</v>
      </c>
      <c r="L487" s="23">
        <v>45924</v>
      </c>
    </row>
    <row r="488" spans="1:12">
      <c r="A488" s="20" t="s">
        <v>20</v>
      </c>
      <c r="B488" s="21" t="s">
        <v>34</v>
      </c>
      <c r="C488" s="21" t="s">
        <v>15</v>
      </c>
      <c r="D488" s="21">
        <v>3</v>
      </c>
      <c r="E488" s="22">
        <v>20000</v>
      </c>
      <c r="F488" s="22">
        <v>60000</v>
      </c>
      <c r="G488" s="21" t="s">
        <v>40</v>
      </c>
      <c r="H488" s="21" t="s">
        <v>39</v>
      </c>
      <c r="I488" s="21">
        <v>26</v>
      </c>
      <c r="J488" s="21">
        <v>9</v>
      </c>
      <c r="K488" s="21">
        <v>2025</v>
      </c>
      <c r="L488" s="23">
        <v>45926</v>
      </c>
    </row>
    <row r="489" spans="1:12">
      <c r="A489" s="20" t="s">
        <v>61</v>
      </c>
      <c r="B489" s="21" t="s">
        <v>34</v>
      </c>
      <c r="C489" s="21" t="s">
        <v>13</v>
      </c>
      <c r="D489" s="21">
        <v>4</v>
      </c>
      <c r="E489" s="22">
        <v>35000</v>
      </c>
      <c r="F489" s="22">
        <v>140000</v>
      </c>
      <c r="G489" s="21" t="s">
        <v>41</v>
      </c>
      <c r="H489" s="21" t="s">
        <v>39</v>
      </c>
      <c r="I489" s="21">
        <v>9</v>
      </c>
      <c r="J489" s="21">
        <v>9</v>
      </c>
      <c r="K489" s="21">
        <v>2025</v>
      </c>
      <c r="L489" s="23">
        <v>45909</v>
      </c>
    </row>
    <row r="490" spans="1:12">
      <c r="A490" s="20" t="s">
        <v>56</v>
      </c>
      <c r="B490" s="21" t="s">
        <v>34</v>
      </c>
      <c r="C490" s="21" t="s">
        <v>16</v>
      </c>
      <c r="D490" s="21">
        <v>3</v>
      </c>
      <c r="E490" s="22">
        <v>30000</v>
      </c>
      <c r="F490" s="22">
        <v>90000</v>
      </c>
      <c r="G490" s="21" t="s">
        <v>42</v>
      </c>
      <c r="H490" s="21" t="s">
        <v>39</v>
      </c>
      <c r="I490" s="21">
        <v>3</v>
      </c>
      <c r="J490" s="21">
        <v>9</v>
      </c>
      <c r="K490" s="21">
        <v>2025</v>
      </c>
      <c r="L490" s="23">
        <v>45903</v>
      </c>
    </row>
    <row r="491" spans="1:12">
      <c r="A491" s="20" t="s">
        <v>26</v>
      </c>
      <c r="B491" s="21" t="s">
        <v>34</v>
      </c>
      <c r="C491" s="21" t="s">
        <v>12</v>
      </c>
      <c r="D491" s="21">
        <v>5</v>
      </c>
      <c r="E491" s="22">
        <v>25000</v>
      </c>
      <c r="F491" s="22">
        <v>125000</v>
      </c>
      <c r="G491" s="21" t="s">
        <v>43</v>
      </c>
      <c r="H491" s="21" t="s">
        <v>44</v>
      </c>
      <c r="I491" s="21">
        <v>21</v>
      </c>
      <c r="J491" s="21">
        <v>9</v>
      </c>
      <c r="K491" s="21">
        <v>2025</v>
      </c>
      <c r="L491" s="23">
        <v>45921</v>
      </c>
    </row>
    <row r="492" spans="1:12">
      <c r="A492" s="20" t="s">
        <v>30</v>
      </c>
      <c r="B492" s="21" t="s">
        <v>34</v>
      </c>
      <c r="C492" s="21" t="s">
        <v>8</v>
      </c>
      <c r="D492" s="21">
        <v>4</v>
      </c>
      <c r="E492" s="22">
        <v>25000</v>
      </c>
      <c r="F492" s="22">
        <v>100000</v>
      </c>
      <c r="G492" s="21" t="s">
        <v>38</v>
      </c>
      <c r="H492" s="21" t="s">
        <v>39</v>
      </c>
      <c r="I492" s="21">
        <v>25</v>
      </c>
      <c r="J492" s="21">
        <v>9</v>
      </c>
      <c r="K492" s="21">
        <v>2025</v>
      </c>
      <c r="L492" s="23">
        <v>45925</v>
      </c>
    </row>
    <row r="493" spans="1:12">
      <c r="A493" s="20" t="s">
        <v>20</v>
      </c>
      <c r="B493" s="21" t="s">
        <v>34</v>
      </c>
      <c r="C493" s="21" t="s">
        <v>15</v>
      </c>
      <c r="D493" s="21">
        <v>2</v>
      </c>
      <c r="E493" s="22">
        <v>35000</v>
      </c>
      <c r="F493" s="22">
        <v>70000</v>
      </c>
      <c r="G493" s="21" t="s">
        <v>40</v>
      </c>
      <c r="H493" s="21" t="s">
        <v>39</v>
      </c>
      <c r="I493" s="21">
        <v>26</v>
      </c>
      <c r="J493" s="21">
        <v>9</v>
      </c>
      <c r="K493" s="21">
        <v>2025</v>
      </c>
      <c r="L493" s="23">
        <v>45926</v>
      </c>
    </row>
    <row r="494" spans="1:12">
      <c r="A494" s="20" t="s">
        <v>25</v>
      </c>
      <c r="B494" s="21" t="s">
        <v>34</v>
      </c>
      <c r="C494" s="21" t="s">
        <v>13</v>
      </c>
      <c r="D494" s="21">
        <v>3</v>
      </c>
      <c r="E494" s="22">
        <v>30000</v>
      </c>
      <c r="F494" s="22">
        <v>90000</v>
      </c>
      <c r="G494" s="21" t="s">
        <v>41</v>
      </c>
      <c r="H494" s="21" t="s">
        <v>39</v>
      </c>
      <c r="I494" s="21">
        <v>18</v>
      </c>
      <c r="J494" s="21">
        <v>9</v>
      </c>
      <c r="K494" s="21">
        <v>2025</v>
      </c>
      <c r="L494" s="23">
        <v>45918</v>
      </c>
    </row>
    <row r="495" spans="1:12">
      <c r="A495" s="20" t="s">
        <v>20</v>
      </c>
      <c r="B495" s="21" t="s">
        <v>34</v>
      </c>
      <c r="C495" s="21" t="s">
        <v>16</v>
      </c>
      <c r="D495" s="21">
        <v>1</v>
      </c>
      <c r="E495" s="22">
        <v>25000</v>
      </c>
      <c r="F495" s="22">
        <v>25000</v>
      </c>
      <c r="G495" s="21" t="s">
        <v>42</v>
      </c>
      <c r="H495" s="21" t="s">
        <v>39</v>
      </c>
      <c r="I495" s="21">
        <v>26</v>
      </c>
      <c r="J495" s="21">
        <v>9</v>
      </c>
      <c r="K495" s="21">
        <v>2025</v>
      </c>
      <c r="L495" s="23">
        <v>45926</v>
      </c>
    </row>
    <row r="496" spans="1:12">
      <c r="A496" s="20" t="s">
        <v>25</v>
      </c>
      <c r="B496" s="21" t="s">
        <v>34</v>
      </c>
      <c r="C496" s="21" t="s">
        <v>12</v>
      </c>
      <c r="D496" s="21">
        <v>3</v>
      </c>
      <c r="E496" s="22">
        <v>30000</v>
      </c>
      <c r="F496" s="22">
        <v>90000</v>
      </c>
      <c r="G496" s="21" t="s">
        <v>43</v>
      </c>
      <c r="H496" s="21" t="s">
        <v>44</v>
      </c>
      <c r="I496" s="21">
        <v>18</v>
      </c>
      <c r="J496" s="21">
        <v>9</v>
      </c>
      <c r="K496" s="21">
        <v>2025</v>
      </c>
      <c r="L496" s="23">
        <v>45918</v>
      </c>
    </row>
    <row r="497" spans="1:12">
      <c r="A497" s="20" t="s">
        <v>25</v>
      </c>
      <c r="B497" s="21" t="s">
        <v>34</v>
      </c>
      <c r="C497" s="21" t="s">
        <v>8</v>
      </c>
      <c r="D497" s="21">
        <v>1</v>
      </c>
      <c r="E497" s="22">
        <v>20000</v>
      </c>
      <c r="F497" s="22">
        <v>20000</v>
      </c>
      <c r="G497" s="21" t="s">
        <v>38</v>
      </c>
      <c r="H497" s="21" t="s">
        <v>39</v>
      </c>
      <c r="I497" s="21">
        <v>18</v>
      </c>
      <c r="J497" s="21">
        <v>9</v>
      </c>
      <c r="K497" s="21">
        <v>2025</v>
      </c>
      <c r="L497" s="23">
        <v>45918</v>
      </c>
    </row>
    <row r="498" spans="1:12">
      <c r="A498" s="20" t="s">
        <v>52</v>
      </c>
      <c r="B498" s="21" t="s">
        <v>34</v>
      </c>
      <c r="C498" s="21" t="s">
        <v>15</v>
      </c>
      <c r="D498" s="21">
        <v>2</v>
      </c>
      <c r="E498" s="22">
        <v>30000</v>
      </c>
      <c r="F498" s="22">
        <v>60000</v>
      </c>
      <c r="G498" s="21" t="s">
        <v>40</v>
      </c>
      <c r="H498" s="21" t="s">
        <v>39</v>
      </c>
      <c r="I498" s="21">
        <v>1</v>
      </c>
      <c r="J498" s="21">
        <v>9</v>
      </c>
      <c r="K498" s="21">
        <v>2025</v>
      </c>
      <c r="L498" s="23">
        <v>45901</v>
      </c>
    </row>
    <row r="499" spans="1:12">
      <c r="A499" s="20" t="s">
        <v>54</v>
      </c>
      <c r="B499" s="21" t="s">
        <v>34</v>
      </c>
      <c r="C499" s="21" t="s">
        <v>13</v>
      </c>
      <c r="D499" s="21">
        <v>1</v>
      </c>
      <c r="E499" s="22">
        <v>25000</v>
      </c>
      <c r="F499" s="22">
        <v>25000</v>
      </c>
      <c r="G499" s="21" t="s">
        <v>41</v>
      </c>
      <c r="H499" s="21" t="s">
        <v>39</v>
      </c>
      <c r="I499" s="21">
        <v>8</v>
      </c>
      <c r="J499" s="21">
        <v>9</v>
      </c>
      <c r="K499" s="21">
        <v>2025</v>
      </c>
      <c r="L499" s="23">
        <v>45908</v>
      </c>
    </row>
    <row r="500" spans="1:12">
      <c r="A500" s="20" t="s">
        <v>51</v>
      </c>
      <c r="B500" s="21" t="s">
        <v>34</v>
      </c>
      <c r="C500" s="21" t="s">
        <v>16</v>
      </c>
      <c r="D500" s="21">
        <v>2</v>
      </c>
      <c r="E500" s="22">
        <v>20000</v>
      </c>
      <c r="F500" s="22">
        <v>40000</v>
      </c>
      <c r="G500" s="21" t="s">
        <v>42</v>
      </c>
      <c r="H500" s="21" t="s">
        <v>39</v>
      </c>
      <c r="I500" s="21">
        <v>2</v>
      </c>
      <c r="J500" s="21">
        <v>9</v>
      </c>
      <c r="K500" s="21">
        <v>2025</v>
      </c>
      <c r="L500" s="23">
        <v>45902</v>
      </c>
    </row>
    <row r="501" spans="1:12">
      <c r="A501" s="20" t="s">
        <v>23</v>
      </c>
      <c r="B501" s="21" t="s">
        <v>34</v>
      </c>
      <c r="C501" s="21" t="s">
        <v>12</v>
      </c>
      <c r="D501" s="21">
        <v>5</v>
      </c>
      <c r="E501" s="22">
        <v>28000</v>
      </c>
      <c r="F501" s="22">
        <v>140000</v>
      </c>
      <c r="G501" s="21" t="s">
        <v>43</v>
      </c>
      <c r="H501" s="21" t="s">
        <v>44</v>
      </c>
      <c r="I501" s="21">
        <v>24</v>
      </c>
      <c r="J501" s="21">
        <v>9</v>
      </c>
      <c r="K501" s="21">
        <v>2025</v>
      </c>
      <c r="L501" s="23">
        <v>45924</v>
      </c>
    </row>
    <row r="502" spans="1:12">
      <c r="A502" s="20" t="s">
        <v>27</v>
      </c>
      <c r="B502" s="21" t="s">
        <v>34</v>
      </c>
      <c r="C502" s="21" t="s">
        <v>13</v>
      </c>
      <c r="D502" s="21">
        <v>1</v>
      </c>
      <c r="E502" s="22">
        <v>35000</v>
      </c>
      <c r="F502" s="22">
        <v>35000</v>
      </c>
      <c r="G502" s="21" t="s">
        <v>41</v>
      </c>
      <c r="H502" s="21" t="s">
        <v>39</v>
      </c>
      <c r="I502" s="21">
        <v>15</v>
      </c>
      <c r="J502" s="21">
        <v>9</v>
      </c>
      <c r="K502" s="21">
        <v>2025</v>
      </c>
      <c r="L502" s="23">
        <v>45915</v>
      </c>
    </row>
    <row r="503" spans="1:12">
      <c r="A503" s="20" t="s">
        <v>20</v>
      </c>
      <c r="B503" s="21" t="s">
        <v>34</v>
      </c>
      <c r="C503" s="21" t="s">
        <v>16</v>
      </c>
      <c r="D503" s="21">
        <v>5</v>
      </c>
      <c r="E503" s="22">
        <v>30000</v>
      </c>
      <c r="F503" s="22">
        <v>150000</v>
      </c>
      <c r="G503" s="21" t="s">
        <v>42</v>
      </c>
      <c r="H503" s="21" t="s">
        <v>39</v>
      </c>
      <c r="I503" s="21">
        <v>26</v>
      </c>
      <c r="J503" s="21">
        <v>9</v>
      </c>
      <c r="K503" s="21">
        <v>2025</v>
      </c>
      <c r="L503" s="23">
        <v>45926</v>
      </c>
    </row>
    <row r="504" spans="1:12">
      <c r="A504" s="20" t="s">
        <v>55</v>
      </c>
      <c r="B504" s="21" t="s">
        <v>34</v>
      </c>
      <c r="C504" s="21" t="s">
        <v>12</v>
      </c>
      <c r="D504" s="21">
        <v>3</v>
      </c>
      <c r="E504" s="22">
        <v>30000</v>
      </c>
      <c r="F504" s="22">
        <v>90000</v>
      </c>
      <c r="G504" s="21" t="s">
        <v>43</v>
      </c>
      <c r="H504" s="21" t="s">
        <v>44</v>
      </c>
      <c r="I504" s="21">
        <v>10</v>
      </c>
      <c r="J504" s="21">
        <v>9</v>
      </c>
      <c r="K504" s="21">
        <v>2025</v>
      </c>
      <c r="L504" s="23">
        <v>45910</v>
      </c>
    </row>
    <row r="505" spans="1:12">
      <c r="A505" s="20" t="s">
        <v>29</v>
      </c>
      <c r="B505" s="21" t="s">
        <v>34</v>
      </c>
      <c r="C505" s="21" t="s">
        <v>8</v>
      </c>
      <c r="D505" s="21">
        <v>4</v>
      </c>
      <c r="E505" s="22">
        <v>20000</v>
      </c>
      <c r="F505" s="22">
        <v>80000</v>
      </c>
      <c r="G505" s="21" t="s">
        <v>38</v>
      </c>
      <c r="H505" s="21" t="s">
        <v>39</v>
      </c>
      <c r="I505" s="21">
        <v>22</v>
      </c>
      <c r="J505" s="21">
        <v>9</v>
      </c>
      <c r="K505" s="21">
        <v>2025</v>
      </c>
      <c r="L505" s="23">
        <v>45922</v>
      </c>
    </row>
    <row r="506" spans="1:12">
      <c r="A506" s="20" t="s">
        <v>61</v>
      </c>
      <c r="B506" s="21" t="s">
        <v>34</v>
      </c>
      <c r="C506" s="21" t="s">
        <v>15</v>
      </c>
      <c r="D506" s="21">
        <v>3</v>
      </c>
      <c r="E506" s="22">
        <v>35000</v>
      </c>
      <c r="F506" s="22">
        <v>105000</v>
      </c>
      <c r="G506" s="21" t="s">
        <v>40</v>
      </c>
      <c r="H506" s="21" t="s">
        <v>39</v>
      </c>
      <c r="I506" s="21">
        <v>9</v>
      </c>
      <c r="J506" s="21">
        <v>9</v>
      </c>
      <c r="K506" s="21">
        <v>2025</v>
      </c>
      <c r="L506" s="23">
        <v>45909</v>
      </c>
    </row>
    <row r="507" spans="1:12">
      <c r="A507" s="20" t="s">
        <v>32</v>
      </c>
      <c r="B507" s="21" t="s">
        <v>34</v>
      </c>
      <c r="C507" s="21" t="s">
        <v>13</v>
      </c>
      <c r="D507" s="21">
        <v>2</v>
      </c>
      <c r="E507" s="22">
        <v>20000</v>
      </c>
      <c r="F507" s="22">
        <v>40000</v>
      </c>
      <c r="G507" s="21" t="s">
        <v>41</v>
      </c>
      <c r="H507" s="21" t="s">
        <v>39</v>
      </c>
      <c r="I507" s="21">
        <v>28</v>
      </c>
      <c r="J507" s="21">
        <v>9</v>
      </c>
      <c r="K507" s="21">
        <v>2025</v>
      </c>
      <c r="L507" s="23">
        <v>45928</v>
      </c>
    </row>
    <row r="508" spans="1:12">
      <c r="A508" s="20" t="s">
        <v>21</v>
      </c>
      <c r="B508" s="21" t="s">
        <v>34</v>
      </c>
      <c r="C508" s="21" t="s">
        <v>16</v>
      </c>
      <c r="D508" s="21">
        <v>5</v>
      </c>
      <c r="E508" s="22">
        <v>20000</v>
      </c>
      <c r="F508" s="22">
        <v>100000</v>
      </c>
      <c r="G508" s="21" t="s">
        <v>42</v>
      </c>
      <c r="H508" s="21" t="s">
        <v>39</v>
      </c>
      <c r="I508" s="21">
        <v>19</v>
      </c>
      <c r="J508" s="21">
        <v>9</v>
      </c>
      <c r="K508" s="21">
        <v>2025</v>
      </c>
      <c r="L508" s="23">
        <v>45919</v>
      </c>
    </row>
    <row r="509" spans="1:12">
      <c r="A509" s="20" t="s">
        <v>25</v>
      </c>
      <c r="B509" s="21" t="s">
        <v>34</v>
      </c>
      <c r="C509" s="21" t="s">
        <v>12</v>
      </c>
      <c r="D509" s="21">
        <v>4</v>
      </c>
      <c r="E509" s="22">
        <v>35000</v>
      </c>
      <c r="F509" s="22">
        <v>140000</v>
      </c>
      <c r="G509" s="21" t="s">
        <v>43</v>
      </c>
      <c r="H509" s="21" t="s">
        <v>44</v>
      </c>
      <c r="I509" s="21">
        <v>18</v>
      </c>
      <c r="J509" s="21">
        <v>9</v>
      </c>
      <c r="K509" s="21">
        <v>2025</v>
      </c>
      <c r="L509" s="23">
        <v>45918</v>
      </c>
    </row>
    <row r="510" spans="1:12">
      <c r="A510" s="20" t="s">
        <v>52</v>
      </c>
      <c r="B510" s="21" t="s">
        <v>34</v>
      </c>
      <c r="C510" s="21" t="s">
        <v>8</v>
      </c>
      <c r="D510" s="21">
        <v>2</v>
      </c>
      <c r="E510" s="22">
        <v>20000</v>
      </c>
      <c r="F510" s="22">
        <v>40000</v>
      </c>
      <c r="G510" s="21" t="s">
        <v>38</v>
      </c>
      <c r="H510" s="21" t="s">
        <v>39</v>
      </c>
      <c r="I510" s="21">
        <v>1</v>
      </c>
      <c r="J510" s="21">
        <v>9</v>
      </c>
      <c r="K510" s="21">
        <v>2025</v>
      </c>
      <c r="L510" s="23">
        <v>45901</v>
      </c>
    </row>
    <row r="511" spans="1:12">
      <c r="A511" s="20" t="s">
        <v>24</v>
      </c>
      <c r="B511" s="21" t="s">
        <v>34</v>
      </c>
      <c r="C511" s="21" t="s">
        <v>15</v>
      </c>
      <c r="D511" s="21">
        <v>1</v>
      </c>
      <c r="E511" s="22">
        <v>28000</v>
      </c>
      <c r="F511" s="22">
        <v>28000</v>
      </c>
      <c r="G511" s="21" t="s">
        <v>40</v>
      </c>
      <c r="H511" s="21" t="s">
        <v>39</v>
      </c>
      <c r="I511" s="21">
        <v>13</v>
      </c>
      <c r="J511" s="21">
        <v>9</v>
      </c>
      <c r="K511" s="21">
        <v>2025</v>
      </c>
      <c r="L511" s="23">
        <v>45913</v>
      </c>
    </row>
    <row r="512" spans="1:12">
      <c r="A512" s="20" t="s">
        <v>17</v>
      </c>
      <c r="B512" s="21" t="s">
        <v>34</v>
      </c>
      <c r="C512" s="21" t="s">
        <v>13</v>
      </c>
      <c r="D512" s="21">
        <v>1</v>
      </c>
      <c r="E512" s="22">
        <v>28000</v>
      </c>
      <c r="F512" s="22">
        <v>28000</v>
      </c>
      <c r="G512" s="21" t="s">
        <v>41</v>
      </c>
      <c r="H512" s="21" t="s">
        <v>39</v>
      </c>
      <c r="I512" s="21">
        <v>14</v>
      </c>
      <c r="J512" s="21">
        <v>9</v>
      </c>
      <c r="K512" s="21">
        <v>2025</v>
      </c>
      <c r="L512" s="23">
        <v>45914</v>
      </c>
    </row>
    <row r="513" spans="1:12">
      <c r="A513" s="20" t="s">
        <v>17</v>
      </c>
      <c r="B513" s="21" t="s">
        <v>34</v>
      </c>
      <c r="C513" s="21" t="s">
        <v>16</v>
      </c>
      <c r="D513" s="21">
        <v>5</v>
      </c>
      <c r="E513" s="22">
        <v>20000</v>
      </c>
      <c r="F513" s="22">
        <v>100000</v>
      </c>
      <c r="G513" s="21" t="s">
        <v>42</v>
      </c>
      <c r="H513" s="21" t="s">
        <v>39</v>
      </c>
      <c r="I513" s="21">
        <v>14</v>
      </c>
      <c r="J513" s="21">
        <v>9</v>
      </c>
      <c r="K513" s="21">
        <v>2025</v>
      </c>
      <c r="L513" s="23">
        <v>45914</v>
      </c>
    </row>
    <row r="514" spans="1:12">
      <c r="A514" s="20" t="s">
        <v>19</v>
      </c>
      <c r="B514" s="21" t="s">
        <v>34</v>
      </c>
      <c r="C514" s="21" t="s">
        <v>12</v>
      </c>
      <c r="D514" s="21">
        <v>5</v>
      </c>
      <c r="E514" s="22">
        <v>20000</v>
      </c>
      <c r="F514" s="22">
        <v>100000</v>
      </c>
      <c r="G514" s="21" t="s">
        <v>43</v>
      </c>
      <c r="H514" s="21" t="s">
        <v>44</v>
      </c>
      <c r="I514" s="21">
        <v>27</v>
      </c>
      <c r="J514" s="21">
        <v>9</v>
      </c>
      <c r="K514" s="21">
        <v>2025</v>
      </c>
      <c r="L514" s="23">
        <v>45927</v>
      </c>
    </row>
    <row r="515" spans="1:12">
      <c r="A515" s="20" t="s">
        <v>58</v>
      </c>
      <c r="B515" s="21" t="s">
        <v>34</v>
      </c>
      <c r="C515" s="21" t="s">
        <v>16</v>
      </c>
      <c r="D515" s="21">
        <v>1</v>
      </c>
      <c r="E515" s="22">
        <v>28000</v>
      </c>
      <c r="F515" s="22">
        <v>28000</v>
      </c>
      <c r="G515" s="21" t="s">
        <v>42</v>
      </c>
      <c r="H515" s="21" t="s">
        <v>39</v>
      </c>
      <c r="I515" s="21">
        <v>5</v>
      </c>
      <c r="J515" s="21">
        <v>9</v>
      </c>
      <c r="K515" s="21">
        <v>2025</v>
      </c>
      <c r="L515" s="23">
        <v>45905</v>
      </c>
    </row>
    <row r="516" spans="1:12">
      <c r="A516" s="20" t="s">
        <v>50</v>
      </c>
      <c r="B516" s="21" t="s">
        <v>34</v>
      </c>
      <c r="C516" s="21" t="s">
        <v>12</v>
      </c>
      <c r="D516" s="21">
        <v>1</v>
      </c>
      <c r="E516" s="22">
        <v>30000</v>
      </c>
      <c r="F516" s="22">
        <v>30000</v>
      </c>
      <c r="G516" s="21" t="s">
        <v>43</v>
      </c>
      <c r="H516" s="21" t="s">
        <v>44</v>
      </c>
      <c r="I516" s="21">
        <v>11</v>
      </c>
      <c r="J516" s="21">
        <v>9</v>
      </c>
      <c r="K516" s="21">
        <v>2025</v>
      </c>
      <c r="L516" s="23">
        <v>45911</v>
      </c>
    </row>
    <row r="517" spans="1:12">
      <c r="A517" s="20" t="s">
        <v>60</v>
      </c>
      <c r="B517" s="21" t="s">
        <v>34</v>
      </c>
      <c r="C517" s="21" t="s">
        <v>8</v>
      </c>
      <c r="D517" s="21">
        <v>3</v>
      </c>
      <c r="E517" s="22">
        <v>20000</v>
      </c>
      <c r="F517" s="22">
        <v>60000</v>
      </c>
      <c r="G517" s="21" t="s">
        <v>38</v>
      </c>
      <c r="H517" s="21" t="s">
        <v>39</v>
      </c>
      <c r="I517" s="21">
        <v>4</v>
      </c>
      <c r="J517" s="21">
        <v>9</v>
      </c>
      <c r="K517" s="21">
        <v>2025</v>
      </c>
      <c r="L517" s="23">
        <v>45904</v>
      </c>
    </row>
    <row r="518" spans="1:12">
      <c r="A518" s="20" t="s">
        <v>6</v>
      </c>
      <c r="B518" s="21" t="s">
        <v>34</v>
      </c>
      <c r="C518" s="21" t="s">
        <v>15</v>
      </c>
      <c r="D518" s="21">
        <v>2</v>
      </c>
      <c r="E518" s="22">
        <v>20000</v>
      </c>
      <c r="F518" s="22">
        <v>40000</v>
      </c>
      <c r="G518" s="21" t="s">
        <v>40</v>
      </c>
      <c r="H518" s="21" t="s">
        <v>39</v>
      </c>
      <c r="I518" s="21">
        <v>17</v>
      </c>
      <c r="J518" s="21">
        <v>9</v>
      </c>
      <c r="K518" s="21">
        <v>2025</v>
      </c>
      <c r="L518" s="23">
        <v>45917</v>
      </c>
    </row>
    <row r="519" spans="1:12">
      <c r="A519" s="20" t="s">
        <v>32</v>
      </c>
      <c r="B519" s="21" t="s">
        <v>34</v>
      </c>
      <c r="C519" s="21" t="s">
        <v>13</v>
      </c>
      <c r="D519" s="21">
        <v>4</v>
      </c>
      <c r="E519" s="22">
        <v>25000</v>
      </c>
      <c r="F519" s="22">
        <v>100000</v>
      </c>
      <c r="G519" s="21" t="s">
        <v>41</v>
      </c>
      <c r="H519" s="21" t="s">
        <v>39</v>
      </c>
      <c r="I519" s="21">
        <v>28</v>
      </c>
      <c r="J519" s="21">
        <v>9</v>
      </c>
      <c r="K519" s="21">
        <v>2025</v>
      </c>
      <c r="L519" s="23">
        <v>45928</v>
      </c>
    </row>
    <row r="520" spans="1:12">
      <c r="A520" s="20" t="s">
        <v>60</v>
      </c>
      <c r="B520" s="21" t="s">
        <v>34</v>
      </c>
      <c r="C520" s="21" t="s">
        <v>16</v>
      </c>
      <c r="D520" s="21">
        <v>4</v>
      </c>
      <c r="E520" s="22">
        <v>25000</v>
      </c>
      <c r="F520" s="22">
        <v>100000</v>
      </c>
      <c r="G520" s="21" t="s">
        <v>42</v>
      </c>
      <c r="H520" s="21" t="s">
        <v>39</v>
      </c>
      <c r="I520" s="21">
        <v>4</v>
      </c>
      <c r="J520" s="21">
        <v>9</v>
      </c>
      <c r="K520" s="21">
        <v>2025</v>
      </c>
      <c r="L520" s="23">
        <v>45904</v>
      </c>
    </row>
    <row r="521" spans="1:12">
      <c r="A521" s="20" t="s">
        <v>10</v>
      </c>
      <c r="B521" s="21" t="s">
        <v>34</v>
      </c>
      <c r="C521" s="21" t="s">
        <v>12</v>
      </c>
      <c r="D521" s="21">
        <v>3</v>
      </c>
      <c r="E521" s="22">
        <v>25000</v>
      </c>
      <c r="F521" s="22">
        <v>75000</v>
      </c>
      <c r="G521" s="21" t="s">
        <v>43</v>
      </c>
      <c r="H521" s="21" t="s">
        <v>44</v>
      </c>
      <c r="I521" s="21">
        <v>20</v>
      </c>
      <c r="J521" s="21">
        <v>9</v>
      </c>
      <c r="K521" s="21">
        <v>2025</v>
      </c>
      <c r="L521" s="23">
        <v>45920</v>
      </c>
    </row>
    <row r="522" spans="1:12">
      <c r="A522" s="20" t="s">
        <v>54</v>
      </c>
      <c r="B522" s="21" t="s">
        <v>34</v>
      </c>
      <c r="C522" s="21" t="s">
        <v>13</v>
      </c>
      <c r="D522" s="21">
        <v>1</v>
      </c>
      <c r="E522" s="22">
        <v>20000</v>
      </c>
      <c r="F522" s="22">
        <v>20000</v>
      </c>
      <c r="G522" s="21" t="s">
        <v>41</v>
      </c>
      <c r="H522" s="21" t="s">
        <v>39</v>
      </c>
      <c r="I522" s="21">
        <v>8</v>
      </c>
      <c r="J522" s="21">
        <v>9</v>
      </c>
      <c r="K522" s="21">
        <v>2025</v>
      </c>
      <c r="L522" s="23">
        <v>45908</v>
      </c>
    </row>
    <row r="523" spans="1:12">
      <c r="A523" s="20" t="s">
        <v>52</v>
      </c>
      <c r="B523" s="21" t="s">
        <v>34</v>
      </c>
      <c r="C523" s="21" t="s">
        <v>16</v>
      </c>
      <c r="D523" s="21">
        <v>3</v>
      </c>
      <c r="E523" s="22">
        <v>25000</v>
      </c>
      <c r="F523" s="22">
        <v>75000</v>
      </c>
      <c r="G523" s="21" t="s">
        <v>42</v>
      </c>
      <c r="H523" s="21" t="s">
        <v>39</v>
      </c>
      <c r="I523" s="21">
        <v>1</v>
      </c>
      <c r="J523" s="21">
        <v>9</v>
      </c>
      <c r="K523" s="21">
        <v>2025</v>
      </c>
      <c r="L523" s="23">
        <v>45901</v>
      </c>
    </row>
    <row r="524" spans="1:12">
      <c r="A524" s="20" t="s">
        <v>59</v>
      </c>
      <c r="B524" s="21" t="s">
        <v>34</v>
      </c>
      <c r="C524" s="21" t="s">
        <v>12</v>
      </c>
      <c r="D524" s="21">
        <v>1</v>
      </c>
      <c r="E524" s="22">
        <v>30000</v>
      </c>
      <c r="F524" s="22">
        <v>30000</v>
      </c>
      <c r="G524" s="21" t="s">
        <v>43</v>
      </c>
      <c r="H524" s="21" t="s">
        <v>44</v>
      </c>
      <c r="I524" s="21">
        <v>12</v>
      </c>
      <c r="J524" s="21">
        <v>9</v>
      </c>
      <c r="K524" s="21">
        <v>2025</v>
      </c>
      <c r="L524" s="23">
        <v>45912</v>
      </c>
    </row>
    <row r="525" spans="1:12">
      <c r="A525" s="20" t="s">
        <v>60</v>
      </c>
      <c r="B525" s="21" t="s">
        <v>34</v>
      </c>
      <c r="C525" s="21" t="s">
        <v>8</v>
      </c>
      <c r="D525" s="21">
        <v>3</v>
      </c>
      <c r="E525" s="22">
        <v>25000</v>
      </c>
      <c r="F525" s="22">
        <v>75000</v>
      </c>
      <c r="G525" s="21" t="s">
        <v>38</v>
      </c>
      <c r="H525" s="21" t="s">
        <v>39</v>
      </c>
      <c r="I525" s="21">
        <v>4</v>
      </c>
      <c r="J525" s="21">
        <v>9</v>
      </c>
      <c r="K525" s="21">
        <v>2025</v>
      </c>
      <c r="L525" s="23">
        <v>45904</v>
      </c>
    </row>
    <row r="526" spans="1:12">
      <c r="A526" s="20" t="s">
        <v>53</v>
      </c>
      <c r="B526" s="21" t="s">
        <v>34</v>
      </c>
      <c r="C526" s="21" t="s">
        <v>15</v>
      </c>
      <c r="D526" s="21">
        <v>5</v>
      </c>
      <c r="E526" s="22">
        <v>28000</v>
      </c>
      <c r="F526" s="22">
        <v>140000</v>
      </c>
      <c r="G526" s="21" t="s">
        <v>40</v>
      </c>
      <c r="H526" s="21" t="s">
        <v>39</v>
      </c>
      <c r="I526" s="21">
        <v>7</v>
      </c>
      <c r="J526" s="21">
        <v>9</v>
      </c>
      <c r="K526" s="21">
        <v>2025</v>
      </c>
      <c r="L526" s="23">
        <v>45907</v>
      </c>
    </row>
    <row r="527" spans="1:12">
      <c r="A527" s="20" t="s">
        <v>21</v>
      </c>
      <c r="B527" s="21" t="s">
        <v>34</v>
      </c>
      <c r="C527" s="21" t="s">
        <v>13</v>
      </c>
      <c r="D527" s="21">
        <v>4</v>
      </c>
      <c r="E527" s="22">
        <v>20000</v>
      </c>
      <c r="F527" s="22">
        <v>80000</v>
      </c>
      <c r="G527" s="21" t="s">
        <v>41</v>
      </c>
      <c r="H527" s="21" t="s">
        <v>39</v>
      </c>
      <c r="I527" s="21">
        <v>19</v>
      </c>
      <c r="J527" s="21">
        <v>9</v>
      </c>
      <c r="K527" s="21">
        <v>2025</v>
      </c>
      <c r="L527" s="23">
        <v>45919</v>
      </c>
    </row>
    <row r="528" spans="1:12">
      <c r="A528" s="20" t="s">
        <v>61</v>
      </c>
      <c r="B528" s="21" t="s">
        <v>34</v>
      </c>
      <c r="C528" s="21" t="s">
        <v>16</v>
      </c>
      <c r="D528" s="21">
        <v>4</v>
      </c>
      <c r="E528" s="22">
        <v>20000</v>
      </c>
      <c r="F528" s="22">
        <v>80000</v>
      </c>
      <c r="G528" s="21" t="s">
        <v>42</v>
      </c>
      <c r="H528" s="21" t="s">
        <v>39</v>
      </c>
      <c r="I528" s="21">
        <v>9</v>
      </c>
      <c r="J528" s="21">
        <v>9</v>
      </c>
      <c r="K528" s="21">
        <v>2025</v>
      </c>
      <c r="L528" s="23">
        <v>45909</v>
      </c>
    </row>
    <row r="529" spans="1:12">
      <c r="A529" s="20" t="s">
        <v>20</v>
      </c>
      <c r="B529" s="21" t="s">
        <v>34</v>
      </c>
      <c r="C529" s="21" t="s">
        <v>12</v>
      </c>
      <c r="D529" s="21">
        <v>4</v>
      </c>
      <c r="E529" s="22">
        <v>25000</v>
      </c>
      <c r="F529" s="22">
        <v>100000</v>
      </c>
      <c r="G529" s="21" t="s">
        <v>43</v>
      </c>
      <c r="H529" s="21" t="s">
        <v>44</v>
      </c>
      <c r="I529" s="21">
        <v>26</v>
      </c>
      <c r="J529" s="21">
        <v>9</v>
      </c>
      <c r="K529" s="21">
        <v>2025</v>
      </c>
      <c r="L529" s="23">
        <v>45926</v>
      </c>
    </row>
    <row r="530" spans="1:12">
      <c r="A530" s="20" t="s">
        <v>32</v>
      </c>
      <c r="B530" s="21" t="s">
        <v>34</v>
      </c>
      <c r="C530" s="21" t="s">
        <v>8</v>
      </c>
      <c r="D530" s="21">
        <v>4</v>
      </c>
      <c r="E530" s="22">
        <v>28000</v>
      </c>
      <c r="F530" s="22">
        <v>112000</v>
      </c>
      <c r="G530" s="21" t="s">
        <v>38</v>
      </c>
      <c r="H530" s="21" t="s">
        <v>39</v>
      </c>
      <c r="I530" s="21">
        <v>28</v>
      </c>
      <c r="J530" s="21">
        <v>9</v>
      </c>
      <c r="K530" s="21">
        <v>2025</v>
      </c>
      <c r="L530" s="23">
        <v>45928</v>
      </c>
    </row>
    <row r="531" spans="1:12">
      <c r="A531" s="20" t="s">
        <v>30</v>
      </c>
      <c r="B531" s="21" t="s">
        <v>34</v>
      </c>
      <c r="C531" s="21" t="s">
        <v>15</v>
      </c>
      <c r="D531" s="21">
        <v>1</v>
      </c>
      <c r="E531" s="22">
        <v>25000</v>
      </c>
      <c r="F531" s="22">
        <v>25000</v>
      </c>
      <c r="G531" s="21" t="s">
        <v>40</v>
      </c>
      <c r="H531" s="21" t="s">
        <v>39</v>
      </c>
      <c r="I531" s="21">
        <v>25</v>
      </c>
      <c r="J531" s="21">
        <v>9</v>
      </c>
      <c r="K531" s="21">
        <v>2025</v>
      </c>
      <c r="L531" s="23">
        <v>45925</v>
      </c>
    </row>
    <row r="532" spans="1:12">
      <c r="A532" s="20" t="s">
        <v>29</v>
      </c>
      <c r="B532" s="21" t="s">
        <v>34</v>
      </c>
      <c r="C532" s="21" t="s">
        <v>13</v>
      </c>
      <c r="D532" s="21">
        <v>1</v>
      </c>
      <c r="E532" s="22">
        <v>25000</v>
      </c>
      <c r="F532" s="22">
        <v>25000</v>
      </c>
      <c r="G532" s="21" t="s">
        <v>41</v>
      </c>
      <c r="H532" s="21" t="s">
        <v>39</v>
      </c>
      <c r="I532" s="21">
        <v>22</v>
      </c>
      <c r="J532" s="21">
        <v>9</v>
      </c>
      <c r="K532" s="21">
        <v>2025</v>
      </c>
      <c r="L532" s="23">
        <v>45922</v>
      </c>
    </row>
    <row r="533" spans="1:12">
      <c r="A533" s="20" t="s">
        <v>6</v>
      </c>
      <c r="B533" s="21" t="s">
        <v>34</v>
      </c>
      <c r="C533" s="21" t="s">
        <v>16</v>
      </c>
      <c r="D533" s="21">
        <v>3</v>
      </c>
      <c r="E533" s="22">
        <v>20000</v>
      </c>
      <c r="F533" s="22">
        <v>60000</v>
      </c>
      <c r="G533" s="21" t="s">
        <v>42</v>
      </c>
      <c r="H533" s="21" t="s">
        <v>39</v>
      </c>
      <c r="I533" s="21">
        <v>17</v>
      </c>
      <c r="J533" s="21">
        <v>9</v>
      </c>
      <c r="K533" s="21">
        <v>2025</v>
      </c>
      <c r="L533" s="23">
        <v>45917</v>
      </c>
    </row>
    <row r="534" spans="1:12">
      <c r="A534" s="20" t="s">
        <v>20</v>
      </c>
      <c r="B534" s="21" t="s">
        <v>34</v>
      </c>
      <c r="C534" s="21" t="s">
        <v>12</v>
      </c>
      <c r="D534" s="21">
        <v>1</v>
      </c>
      <c r="E534" s="22">
        <v>20000</v>
      </c>
      <c r="F534" s="22">
        <v>20000</v>
      </c>
      <c r="G534" s="21" t="s">
        <v>43</v>
      </c>
      <c r="H534" s="21" t="s">
        <v>44</v>
      </c>
      <c r="I534" s="21">
        <v>26</v>
      </c>
      <c r="J534" s="21">
        <v>9</v>
      </c>
      <c r="K534" s="21">
        <v>2025</v>
      </c>
      <c r="L534" s="23">
        <v>45926</v>
      </c>
    </row>
    <row r="535" spans="1:12">
      <c r="A535" s="20" t="s">
        <v>17</v>
      </c>
      <c r="B535" s="21" t="s">
        <v>34</v>
      </c>
      <c r="C535" s="21" t="s">
        <v>8</v>
      </c>
      <c r="D535" s="21">
        <v>2</v>
      </c>
      <c r="E535" s="22">
        <v>28000</v>
      </c>
      <c r="F535" s="22">
        <v>56000</v>
      </c>
      <c r="G535" s="21" t="s">
        <v>38</v>
      </c>
      <c r="H535" s="21" t="s">
        <v>39</v>
      </c>
      <c r="I535" s="21">
        <v>14</v>
      </c>
      <c r="J535" s="21">
        <v>9</v>
      </c>
      <c r="K535" s="21">
        <v>2025</v>
      </c>
      <c r="L535" s="23">
        <v>45914</v>
      </c>
    </row>
    <row r="536" spans="1:12">
      <c r="A536" s="20" t="s">
        <v>52</v>
      </c>
      <c r="B536" s="21" t="s">
        <v>34</v>
      </c>
      <c r="C536" s="21" t="s">
        <v>15</v>
      </c>
      <c r="D536" s="21">
        <v>1</v>
      </c>
      <c r="E536" s="22">
        <v>28000</v>
      </c>
      <c r="F536" s="22">
        <v>28000</v>
      </c>
      <c r="G536" s="21" t="s">
        <v>40</v>
      </c>
      <c r="H536" s="21" t="s">
        <v>39</v>
      </c>
      <c r="I536" s="21">
        <v>1</v>
      </c>
      <c r="J536" s="21">
        <v>9</v>
      </c>
      <c r="K536" s="21">
        <v>2025</v>
      </c>
      <c r="L536" s="23">
        <v>45901</v>
      </c>
    </row>
    <row r="537" spans="1:12">
      <c r="A537" s="20" t="s">
        <v>23</v>
      </c>
      <c r="B537" s="21" t="s">
        <v>34</v>
      </c>
      <c r="C537" s="21" t="s">
        <v>13</v>
      </c>
      <c r="D537" s="21">
        <v>2</v>
      </c>
      <c r="E537" s="22">
        <v>35000</v>
      </c>
      <c r="F537" s="22">
        <v>70000</v>
      </c>
      <c r="G537" s="21" t="s">
        <v>41</v>
      </c>
      <c r="H537" s="21" t="s">
        <v>39</v>
      </c>
      <c r="I537" s="21">
        <v>24</v>
      </c>
      <c r="J537" s="21">
        <v>9</v>
      </c>
      <c r="K537" s="21">
        <v>2025</v>
      </c>
      <c r="L537" s="23">
        <v>45924</v>
      </c>
    </row>
    <row r="538" spans="1:12">
      <c r="A538" s="20" t="s">
        <v>19</v>
      </c>
      <c r="B538" s="21" t="s">
        <v>34</v>
      </c>
      <c r="C538" s="21" t="s">
        <v>16</v>
      </c>
      <c r="D538" s="21">
        <v>1</v>
      </c>
      <c r="E538" s="22">
        <v>28000</v>
      </c>
      <c r="F538" s="22">
        <v>28000</v>
      </c>
      <c r="G538" s="21" t="s">
        <v>42</v>
      </c>
      <c r="H538" s="21" t="s">
        <v>39</v>
      </c>
      <c r="I538" s="21">
        <v>27</v>
      </c>
      <c r="J538" s="21">
        <v>9</v>
      </c>
      <c r="K538" s="21">
        <v>2025</v>
      </c>
      <c r="L538" s="23">
        <v>45927</v>
      </c>
    </row>
    <row r="539" spans="1:12">
      <c r="A539" s="20" t="s">
        <v>26</v>
      </c>
      <c r="B539" s="21" t="s">
        <v>34</v>
      </c>
      <c r="C539" s="21" t="s">
        <v>12</v>
      </c>
      <c r="D539" s="21">
        <v>1</v>
      </c>
      <c r="E539" s="22">
        <v>28000</v>
      </c>
      <c r="F539" s="22">
        <v>28000</v>
      </c>
      <c r="G539" s="21" t="s">
        <v>43</v>
      </c>
      <c r="H539" s="21" t="s">
        <v>44</v>
      </c>
      <c r="I539" s="21">
        <v>21</v>
      </c>
      <c r="J539" s="21">
        <v>9</v>
      </c>
      <c r="K539" s="21">
        <v>2025</v>
      </c>
      <c r="L539" s="23">
        <v>45921</v>
      </c>
    </row>
    <row r="540" spans="1:12">
      <c r="A540" s="20" t="s">
        <v>32</v>
      </c>
      <c r="B540" s="21" t="s">
        <v>34</v>
      </c>
      <c r="C540" s="21" t="s">
        <v>8</v>
      </c>
      <c r="D540" s="21">
        <v>1</v>
      </c>
      <c r="E540" s="22">
        <v>30000</v>
      </c>
      <c r="F540" s="22">
        <v>30000</v>
      </c>
      <c r="G540" s="21" t="s">
        <v>38</v>
      </c>
      <c r="H540" s="21" t="s">
        <v>39</v>
      </c>
      <c r="I540" s="21">
        <v>28</v>
      </c>
      <c r="J540" s="21">
        <v>9</v>
      </c>
      <c r="K540" s="21">
        <v>2025</v>
      </c>
      <c r="L540" s="23">
        <v>45928</v>
      </c>
    </row>
    <row r="541" spans="1:12">
      <c r="A541" s="20" t="s">
        <v>6</v>
      </c>
      <c r="B541" s="21" t="s">
        <v>34</v>
      </c>
      <c r="C541" s="21" t="s">
        <v>15</v>
      </c>
      <c r="D541" s="21">
        <v>3</v>
      </c>
      <c r="E541" s="22">
        <v>25000</v>
      </c>
      <c r="F541" s="22">
        <v>75000</v>
      </c>
      <c r="G541" s="21" t="s">
        <v>40</v>
      </c>
      <c r="H541" s="21" t="s">
        <v>39</v>
      </c>
      <c r="I541" s="21">
        <v>17</v>
      </c>
      <c r="J541" s="21">
        <v>9</v>
      </c>
      <c r="K541" s="21">
        <v>2025</v>
      </c>
      <c r="L541" s="23">
        <v>45917</v>
      </c>
    </row>
    <row r="542" spans="1:12">
      <c r="A542" s="20" t="s">
        <v>22</v>
      </c>
      <c r="B542" s="21" t="s">
        <v>34</v>
      </c>
      <c r="C542" s="21" t="s">
        <v>13</v>
      </c>
      <c r="D542" s="21">
        <v>2</v>
      </c>
      <c r="E542" s="22">
        <v>25000</v>
      </c>
      <c r="F542" s="22">
        <v>50000</v>
      </c>
      <c r="G542" s="21" t="s">
        <v>41</v>
      </c>
      <c r="H542" s="21" t="s">
        <v>39</v>
      </c>
      <c r="I542" s="21">
        <v>16</v>
      </c>
      <c r="J542" s="21">
        <v>9</v>
      </c>
      <c r="K542" s="21">
        <v>2025</v>
      </c>
      <c r="L542" s="23">
        <v>45916</v>
      </c>
    </row>
    <row r="543" spans="1:12">
      <c r="A543" s="20" t="s">
        <v>22</v>
      </c>
      <c r="B543" s="21" t="s">
        <v>34</v>
      </c>
      <c r="C543" s="21" t="s">
        <v>16</v>
      </c>
      <c r="D543" s="21">
        <v>4</v>
      </c>
      <c r="E543" s="22">
        <v>28000</v>
      </c>
      <c r="F543" s="22">
        <v>112000</v>
      </c>
      <c r="G543" s="21" t="s">
        <v>42</v>
      </c>
      <c r="H543" s="21" t="s">
        <v>39</v>
      </c>
      <c r="I543" s="21">
        <v>16</v>
      </c>
      <c r="J543" s="21">
        <v>9</v>
      </c>
      <c r="K543" s="21">
        <v>2025</v>
      </c>
      <c r="L543" s="23">
        <v>45916</v>
      </c>
    </row>
    <row r="544" spans="1:12">
      <c r="A544" s="20" t="s">
        <v>25</v>
      </c>
      <c r="B544" s="21" t="s">
        <v>34</v>
      </c>
      <c r="C544" s="21" t="s">
        <v>12</v>
      </c>
      <c r="D544" s="21">
        <v>2</v>
      </c>
      <c r="E544" s="22">
        <v>30000</v>
      </c>
      <c r="F544" s="22">
        <v>60000</v>
      </c>
      <c r="G544" s="21" t="s">
        <v>43</v>
      </c>
      <c r="H544" s="21" t="s">
        <v>44</v>
      </c>
      <c r="I544" s="21">
        <v>18</v>
      </c>
      <c r="J544" s="21">
        <v>9</v>
      </c>
      <c r="K544" s="21">
        <v>2025</v>
      </c>
      <c r="L544" s="23">
        <v>45918</v>
      </c>
    </row>
    <row r="545" spans="1:12">
      <c r="A545" s="20" t="s">
        <v>25</v>
      </c>
      <c r="B545" s="21" t="s">
        <v>34</v>
      </c>
      <c r="C545" s="21" t="s">
        <v>8</v>
      </c>
      <c r="D545" s="21">
        <v>5</v>
      </c>
      <c r="E545" s="22">
        <v>20000</v>
      </c>
      <c r="F545" s="22">
        <v>100000</v>
      </c>
      <c r="G545" s="21" t="s">
        <v>38</v>
      </c>
      <c r="H545" s="21" t="s">
        <v>39</v>
      </c>
      <c r="I545" s="21">
        <v>18</v>
      </c>
      <c r="J545" s="21">
        <v>9</v>
      </c>
      <c r="K545" s="21">
        <v>2025</v>
      </c>
      <c r="L545" s="23">
        <v>45918</v>
      </c>
    </row>
    <row r="546" spans="1:12">
      <c r="A546" s="20" t="s">
        <v>26</v>
      </c>
      <c r="B546" s="21" t="s">
        <v>34</v>
      </c>
      <c r="C546" s="21" t="s">
        <v>15</v>
      </c>
      <c r="D546" s="21">
        <v>2</v>
      </c>
      <c r="E546" s="22">
        <v>20000</v>
      </c>
      <c r="F546" s="22">
        <v>40000</v>
      </c>
      <c r="G546" s="21" t="s">
        <v>40</v>
      </c>
      <c r="H546" s="21" t="s">
        <v>39</v>
      </c>
      <c r="I546" s="21">
        <v>21</v>
      </c>
      <c r="J546" s="21">
        <v>9</v>
      </c>
      <c r="K546" s="21">
        <v>2025</v>
      </c>
      <c r="L546" s="23">
        <v>45921</v>
      </c>
    </row>
    <row r="547" spans="1:12">
      <c r="A547" s="20" t="s">
        <v>20</v>
      </c>
      <c r="B547" s="21" t="s">
        <v>34</v>
      </c>
      <c r="C547" s="21" t="s">
        <v>13</v>
      </c>
      <c r="D547" s="21">
        <v>5</v>
      </c>
      <c r="E547" s="22">
        <v>30000</v>
      </c>
      <c r="F547" s="22">
        <v>150000</v>
      </c>
      <c r="G547" s="21" t="s">
        <v>41</v>
      </c>
      <c r="H547" s="21" t="s">
        <v>39</v>
      </c>
      <c r="I547" s="21">
        <v>26</v>
      </c>
      <c r="J547" s="21">
        <v>9</v>
      </c>
      <c r="K547" s="21">
        <v>2025</v>
      </c>
      <c r="L547" s="23">
        <v>45926</v>
      </c>
    </row>
    <row r="548" spans="1:12">
      <c r="A548" s="20" t="s">
        <v>22</v>
      </c>
      <c r="B548" s="21" t="s">
        <v>34</v>
      </c>
      <c r="C548" s="21" t="s">
        <v>16</v>
      </c>
      <c r="D548" s="21">
        <v>4</v>
      </c>
      <c r="E548" s="22">
        <v>25000</v>
      </c>
      <c r="F548" s="22">
        <v>100000</v>
      </c>
      <c r="G548" s="21" t="s">
        <v>42</v>
      </c>
      <c r="H548" s="21" t="s">
        <v>39</v>
      </c>
      <c r="I548" s="21">
        <v>16</v>
      </c>
      <c r="J548" s="21">
        <v>9</v>
      </c>
      <c r="K548" s="21">
        <v>2025</v>
      </c>
      <c r="L548" s="23">
        <v>45916</v>
      </c>
    </row>
    <row r="549" spans="1:12">
      <c r="A549" s="20" t="s">
        <v>22</v>
      </c>
      <c r="B549" s="21" t="s">
        <v>34</v>
      </c>
      <c r="C549" s="21" t="s">
        <v>12</v>
      </c>
      <c r="D549" s="21">
        <v>2</v>
      </c>
      <c r="E549" s="22">
        <v>20000</v>
      </c>
      <c r="F549" s="22">
        <v>40000</v>
      </c>
      <c r="G549" s="21" t="s">
        <v>43</v>
      </c>
      <c r="H549" s="21" t="s">
        <v>44</v>
      </c>
      <c r="I549" s="21">
        <v>16</v>
      </c>
      <c r="J549" s="21">
        <v>9</v>
      </c>
      <c r="K549" s="21">
        <v>2025</v>
      </c>
      <c r="L549" s="23">
        <v>45916</v>
      </c>
    </row>
    <row r="550" spans="1:12">
      <c r="A550" s="20" t="s">
        <v>23</v>
      </c>
      <c r="B550" s="21" t="s">
        <v>34</v>
      </c>
      <c r="C550" s="21" t="s">
        <v>8</v>
      </c>
      <c r="D550" s="21">
        <v>2</v>
      </c>
      <c r="E550" s="22">
        <v>30000</v>
      </c>
      <c r="F550" s="22">
        <v>60000</v>
      </c>
      <c r="G550" s="21" t="s">
        <v>38</v>
      </c>
      <c r="H550" s="21" t="s">
        <v>39</v>
      </c>
      <c r="I550" s="21">
        <v>24</v>
      </c>
      <c r="J550" s="21">
        <v>9</v>
      </c>
      <c r="K550" s="21">
        <v>2025</v>
      </c>
      <c r="L550" s="23">
        <v>45924</v>
      </c>
    </row>
    <row r="551" spans="1:12">
      <c r="A551" s="20" t="s">
        <v>6</v>
      </c>
      <c r="B551" s="21" t="s">
        <v>34</v>
      </c>
      <c r="C551" s="21" t="s">
        <v>15</v>
      </c>
      <c r="D551" s="21">
        <v>4</v>
      </c>
      <c r="E551" s="22">
        <v>25000</v>
      </c>
      <c r="F551" s="22">
        <v>100000</v>
      </c>
      <c r="G551" s="21" t="s">
        <v>40</v>
      </c>
      <c r="H551" s="21" t="s">
        <v>39</v>
      </c>
      <c r="I551" s="21">
        <v>17</v>
      </c>
      <c r="J551" s="21">
        <v>9</v>
      </c>
      <c r="K551" s="21">
        <v>2025</v>
      </c>
      <c r="L551" s="23">
        <v>45917</v>
      </c>
    </row>
    <row r="552" spans="1:12">
      <c r="A552" s="20" t="s">
        <v>59</v>
      </c>
      <c r="B552" s="21" t="s">
        <v>34</v>
      </c>
      <c r="C552" s="21" t="s">
        <v>13</v>
      </c>
      <c r="D552" s="21">
        <v>1</v>
      </c>
      <c r="E552" s="22">
        <v>25000</v>
      </c>
      <c r="F552" s="22">
        <v>25000</v>
      </c>
      <c r="G552" s="21" t="s">
        <v>41</v>
      </c>
      <c r="H552" s="21" t="s">
        <v>39</v>
      </c>
      <c r="I552" s="21">
        <v>12</v>
      </c>
      <c r="J552" s="21">
        <v>9</v>
      </c>
      <c r="K552" s="21">
        <v>2025</v>
      </c>
      <c r="L552" s="23">
        <v>45912</v>
      </c>
    </row>
    <row r="553" spans="1:12">
      <c r="A553" s="20" t="s">
        <v>19</v>
      </c>
      <c r="B553" s="21" t="s">
        <v>34</v>
      </c>
      <c r="C553" s="21" t="s">
        <v>16</v>
      </c>
      <c r="D553" s="21">
        <v>5</v>
      </c>
      <c r="E553" s="22">
        <v>30000</v>
      </c>
      <c r="F553" s="22">
        <v>150000</v>
      </c>
      <c r="G553" s="21" t="s">
        <v>42</v>
      </c>
      <c r="H553" s="21" t="s">
        <v>39</v>
      </c>
      <c r="I553" s="21">
        <v>27</v>
      </c>
      <c r="J553" s="21">
        <v>9</v>
      </c>
      <c r="K553" s="21">
        <v>2025</v>
      </c>
      <c r="L553" s="23">
        <v>45927</v>
      </c>
    </row>
    <row r="554" spans="1:12">
      <c r="A554" s="20" t="s">
        <v>31</v>
      </c>
      <c r="B554" s="21" t="s">
        <v>34</v>
      </c>
      <c r="C554" s="21" t="s">
        <v>12</v>
      </c>
      <c r="D554" s="21">
        <v>2</v>
      </c>
      <c r="E554" s="22">
        <v>25000</v>
      </c>
      <c r="F554" s="22">
        <v>50000</v>
      </c>
      <c r="G554" s="21" t="s">
        <v>43</v>
      </c>
      <c r="H554" s="21" t="s">
        <v>44</v>
      </c>
      <c r="I554" s="21">
        <v>23</v>
      </c>
      <c r="J554" s="21">
        <v>9</v>
      </c>
      <c r="K554" s="21">
        <v>2025</v>
      </c>
      <c r="L554" s="23">
        <v>45923</v>
      </c>
    </row>
    <row r="555" spans="1:12">
      <c r="A555" s="20" t="s">
        <v>50</v>
      </c>
      <c r="B555" s="21" t="s">
        <v>34</v>
      </c>
      <c r="C555" s="21" t="s">
        <v>13</v>
      </c>
      <c r="D555" s="21">
        <v>2</v>
      </c>
      <c r="E555" s="22">
        <v>30000</v>
      </c>
      <c r="F555" s="22">
        <v>60000</v>
      </c>
      <c r="G555" s="21" t="s">
        <v>41</v>
      </c>
      <c r="H555" s="21" t="s">
        <v>39</v>
      </c>
      <c r="I555" s="21">
        <v>11</v>
      </c>
      <c r="J555" s="21">
        <v>9</v>
      </c>
      <c r="K555" s="21">
        <v>2025</v>
      </c>
      <c r="L555" s="23">
        <v>45911</v>
      </c>
    </row>
    <row r="556" spans="1:12">
      <c r="A556" s="20" t="s">
        <v>29</v>
      </c>
      <c r="B556" s="21" t="s">
        <v>34</v>
      </c>
      <c r="C556" s="21" t="s">
        <v>16</v>
      </c>
      <c r="D556" s="21">
        <v>4</v>
      </c>
      <c r="E556" s="22">
        <v>20000</v>
      </c>
      <c r="F556" s="22">
        <v>80000</v>
      </c>
      <c r="G556" s="21" t="s">
        <v>42</v>
      </c>
      <c r="H556" s="21" t="s">
        <v>39</v>
      </c>
      <c r="I556" s="21">
        <v>22</v>
      </c>
      <c r="J556" s="21">
        <v>9</v>
      </c>
      <c r="K556" s="21">
        <v>2025</v>
      </c>
      <c r="L556" s="23">
        <v>45922</v>
      </c>
    </row>
    <row r="557" spans="1:12">
      <c r="A557" s="20" t="s">
        <v>55</v>
      </c>
      <c r="B557" s="21" t="s">
        <v>34</v>
      </c>
      <c r="C557" s="21" t="s">
        <v>12</v>
      </c>
      <c r="D557" s="21">
        <v>2</v>
      </c>
      <c r="E557" s="22">
        <v>20000</v>
      </c>
      <c r="F557" s="22">
        <v>40000</v>
      </c>
      <c r="G557" s="21" t="s">
        <v>43</v>
      </c>
      <c r="H557" s="21" t="s">
        <v>44</v>
      </c>
      <c r="I557" s="21">
        <v>10</v>
      </c>
      <c r="J557" s="21">
        <v>9</v>
      </c>
      <c r="K557" s="21">
        <v>2025</v>
      </c>
      <c r="L557" s="23">
        <v>45910</v>
      </c>
    </row>
    <row r="558" spans="1:12">
      <c r="A558" s="20" t="s">
        <v>50</v>
      </c>
      <c r="B558" s="21" t="s">
        <v>34</v>
      </c>
      <c r="C558" s="21" t="s">
        <v>8</v>
      </c>
      <c r="D558" s="21">
        <v>2</v>
      </c>
      <c r="E558" s="22">
        <v>35000</v>
      </c>
      <c r="F558" s="22">
        <v>70000</v>
      </c>
      <c r="G558" s="21" t="s">
        <v>38</v>
      </c>
      <c r="H558" s="21" t="s">
        <v>39</v>
      </c>
      <c r="I558" s="21">
        <v>11</v>
      </c>
      <c r="J558" s="21">
        <v>9</v>
      </c>
      <c r="K558" s="21">
        <v>2025</v>
      </c>
      <c r="L558" s="23">
        <v>45911</v>
      </c>
    </row>
    <row r="559" spans="1:12">
      <c r="A559" s="20" t="s">
        <v>27</v>
      </c>
      <c r="B559" s="21" t="s">
        <v>34</v>
      </c>
      <c r="C559" s="21" t="s">
        <v>15</v>
      </c>
      <c r="D559" s="21">
        <v>5</v>
      </c>
      <c r="E559" s="22">
        <v>30000</v>
      </c>
      <c r="F559" s="22">
        <v>150000</v>
      </c>
      <c r="G559" s="21" t="s">
        <v>40</v>
      </c>
      <c r="H559" s="21" t="s">
        <v>39</v>
      </c>
      <c r="I559" s="21">
        <v>15</v>
      </c>
      <c r="J559" s="21">
        <v>9</v>
      </c>
      <c r="K559" s="21">
        <v>2025</v>
      </c>
      <c r="L559" s="23">
        <v>45915</v>
      </c>
    </row>
    <row r="560" spans="1:12">
      <c r="A560" s="20" t="s">
        <v>32</v>
      </c>
      <c r="B560" s="21" t="s">
        <v>34</v>
      </c>
      <c r="C560" s="21" t="s">
        <v>13</v>
      </c>
      <c r="D560" s="21">
        <v>4</v>
      </c>
      <c r="E560" s="22">
        <v>30000</v>
      </c>
      <c r="F560" s="22">
        <v>120000</v>
      </c>
      <c r="G560" s="21" t="s">
        <v>41</v>
      </c>
      <c r="H560" s="21" t="s">
        <v>39</v>
      </c>
      <c r="I560" s="21">
        <v>28</v>
      </c>
      <c r="J560" s="21">
        <v>9</v>
      </c>
      <c r="K560" s="21">
        <v>2025</v>
      </c>
      <c r="L560" s="23">
        <v>45928</v>
      </c>
    </row>
    <row r="561" spans="1:12">
      <c r="A561" s="20" t="s">
        <v>24</v>
      </c>
      <c r="B561" s="21" t="s">
        <v>34</v>
      </c>
      <c r="C561" s="21" t="s">
        <v>16</v>
      </c>
      <c r="D561" s="21">
        <v>3</v>
      </c>
      <c r="E561" s="22">
        <v>28000</v>
      </c>
      <c r="F561" s="22">
        <v>84000</v>
      </c>
      <c r="G561" s="21" t="s">
        <v>42</v>
      </c>
      <c r="H561" s="21" t="s">
        <v>39</v>
      </c>
      <c r="I561" s="21">
        <v>13</v>
      </c>
      <c r="J561" s="21">
        <v>9</v>
      </c>
      <c r="K561" s="21">
        <v>2025</v>
      </c>
      <c r="L561" s="23">
        <v>45913</v>
      </c>
    </row>
    <row r="562" spans="1:12">
      <c r="A562" s="20" t="s">
        <v>23</v>
      </c>
      <c r="B562" s="21" t="s">
        <v>34</v>
      </c>
      <c r="C562" s="21" t="s">
        <v>12</v>
      </c>
      <c r="D562" s="21">
        <v>5</v>
      </c>
      <c r="E562" s="22">
        <v>20000</v>
      </c>
      <c r="F562" s="22">
        <v>100000</v>
      </c>
      <c r="G562" s="21" t="s">
        <v>43</v>
      </c>
      <c r="H562" s="21" t="s">
        <v>44</v>
      </c>
      <c r="I562" s="21">
        <v>24</v>
      </c>
      <c r="J562" s="21">
        <v>9</v>
      </c>
      <c r="K562" s="21">
        <v>2025</v>
      </c>
      <c r="L562" s="23">
        <v>45924</v>
      </c>
    </row>
    <row r="563" spans="1:12">
      <c r="A563" s="20" t="s">
        <v>50</v>
      </c>
      <c r="B563" s="21" t="s">
        <v>34</v>
      </c>
      <c r="C563" s="21" t="s">
        <v>8</v>
      </c>
      <c r="D563" s="21">
        <v>2</v>
      </c>
      <c r="E563" s="22">
        <v>25000</v>
      </c>
      <c r="F563" s="22">
        <v>50000</v>
      </c>
      <c r="G563" s="21" t="s">
        <v>38</v>
      </c>
      <c r="H563" s="21" t="s">
        <v>39</v>
      </c>
      <c r="I563" s="21">
        <v>11</v>
      </c>
      <c r="J563" s="21">
        <v>9</v>
      </c>
      <c r="K563" s="21">
        <v>2025</v>
      </c>
      <c r="L563" s="23">
        <v>45911</v>
      </c>
    </row>
    <row r="564" spans="1:12">
      <c r="A564" s="20" t="s">
        <v>19</v>
      </c>
      <c r="B564" s="21" t="s">
        <v>34</v>
      </c>
      <c r="C564" s="21" t="s">
        <v>15</v>
      </c>
      <c r="D564" s="21">
        <v>3</v>
      </c>
      <c r="E564" s="22">
        <v>28000</v>
      </c>
      <c r="F564" s="22">
        <v>84000</v>
      </c>
      <c r="G564" s="21" t="s">
        <v>40</v>
      </c>
      <c r="H564" s="21" t="s">
        <v>39</v>
      </c>
      <c r="I564" s="21">
        <v>27</v>
      </c>
      <c r="J564" s="21">
        <v>9</v>
      </c>
      <c r="K564" s="21">
        <v>2025</v>
      </c>
      <c r="L564" s="23">
        <v>45927</v>
      </c>
    </row>
    <row r="565" spans="1:12">
      <c r="A565" s="20" t="s">
        <v>6</v>
      </c>
      <c r="B565" s="21" t="s">
        <v>34</v>
      </c>
      <c r="C565" s="21" t="s">
        <v>13</v>
      </c>
      <c r="D565" s="21">
        <v>1</v>
      </c>
      <c r="E565" s="22">
        <v>20000</v>
      </c>
      <c r="F565" s="22">
        <v>20000</v>
      </c>
      <c r="G565" s="21" t="s">
        <v>41</v>
      </c>
      <c r="H565" s="21" t="s">
        <v>39</v>
      </c>
      <c r="I565" s="21">
        <v>17</v>
      </c>
      <c r="J565" s="21">
        <v>9</v>
      </c>
      <c r="K565" s="21">
        <v>2025</v>
      </c>
      <c r="L565" s="23">
        <v>45917</v>
      </c>
    </row>
    <row r="566" spans="1:12">
      <c r="A566" s="20" t="s">
        <v>57</v>
      </c>
      <c r="B566" s="21" t="s">
        <v>34</v>
      </c>
      <c r="C566" s="21" t="s">
        <v>16</v>
      </c>
      <c r="D566" s="21">
        <v>5</v>
      </c>
      <c r="E566" s="22">
        <v>30000</v>
      </c>
      <c r="F566" s="22">
        <v>150000</v>
      </c>
      <c r="G566" s="21" t="s">
        <v>42</v>
      </c>
      <c r="H566" s="21" t="s">
        <v>39</v>
      </c>
      <c r="I566" s="21">
        <v>6</v>
      </c>
      <c r="J566" s="21">
        <v>9</v>
      </c>
      <c r="K566" s="21">
        <v>2025</v>
      </c>
      <c r="L566" s="23">
        <v>45906</v>
      </c>
    </row>
    <row r="567" spans="1:12">
      <c r="A567" s="20" t="s">
        <v>60</v>
      </c>
      <c r="B567" s="21" t="s">
        <v>34</v>
      </c>
      <c r="C567" s="21" t="s">
        <v>12</v>
      </c>
      <c r="D567" s="21">
        <v>4</v>
      </c>
      <c r="E567" s="22">
        <v>20000</v>
      </c>
      <c r="F567" s="22">
        <v>80000</v>
      </c>
      <c r="G567" s="21" t="s">
        <v>43</v>
      </c>
      <c r="H567" s="21" t="s">
        <v>44</v>
      </c>
      <c r="I567" s="21">
        <v>4</v>
      </c>
      <c r="J567" s="21">
        <v>9</v>
      </c>
      <c r="K567" s="21">
        <v>2025</v>
      </c>
      <c r="L567" s="23">
        <v>45904</v>
      </c>
    </row>
    <row r="568" spans="1:12">
      <c r="A568" s="20" t="s">
        <v>27</v>
      </c>
      <c r="B568" s="21" t="s">
        <v>34</v>
      </c>
      <c r="C568" s="21" t="s">
        <v>16</v>
      </c>
      <c r="D568" s="21">
        <v>1</v>
      </c>
      <c r="E568" s="22">
        <v>25000</v>
      </c>
      <c r="F568" s="22">
        <v>25000</v>
      </c>
      <c r="G568" s="21" t="s">
        <v>42</v>
      </c>
      <c r="H568" s="21" t="s">
        <v>39</v>
      </c>
      <c r="I568" s="21">
        <v>15</v>
      </c>
      <c r="J568" s="21">
        <v>9</v>
      </c>
      <c r="K568" s="21">
        <v>2025</v>
      </c>
      <c r="L568" s="23">
        <v>45915</v>
      </c>
    </row>
    <row r="569" spans="1:12">
      <c r="A569" s="20" t="s">
        <v>57</v>
      </c>
      <c r="B569" s="21" t="s">
        <v>34</v>
      </c>
      <c r="C569" s="21" t="s">
        <v>12</v>
      </c>
      <c r="D569" s="21">
        <v>2</v>
      </c>
      <c r="E569" s="22">
        <v>30000</v>
      </c>
      <c r="F569" s="22">
        <v>60000</v>
      </c>
      <c r="G569" s="21" t="s">
        <v>43</v>
      </c>
      <c r="H569" s="21" t="s">
        <v>44</v>
      </c>
      <c r="I569" s="21">
        <v>6</v>
      </c>
      <c r="J569" s="21">
        <v>9</v>
      </c>
      <c r="K569" s="21">
        <v>2025</v>
      </c>
      <c r="L569" s="23">
        <v>45906</v>
      </c>
    </row>
    <row r="570" spans="1:12">
      <c r="A570" s="20" t="s">
        <v>19</v>
      </c>
      <c r="B570" s="21" t="s">
        <v>34</v>
      </c>
      <c r="C570" s="21" t="s">
        <v>8</v>
      </c>
      <c r="D570" s="21">
        <v>1</v>
      </c>
      <c r="E570" s="22">
        <v>35000</v>
      </c>
      <c r="F570" s="22">
        <v>35000</v>
      </c>
      <c r="G570" s="21" t="s">
        <v>38</v>
      </c>
      <c r="H570" s="21" t="s">
        <v>39</v>
      </c>
      <c r="I570" s="21">
        <v>27</v>
      </c>
      <c r="J570" s="21">
        <v>9</v>
      </c>
      <c r="K570" s="21">
        <v>2025</v>
      </c>
      <c r="L570" s="23">
        <v>45927</v>
      </c>
    </row>
    <row r="571" spans="1:12">
      <c r="A571" s="20" t="s">
        <v>25</v>
      </c>
      <c r="B571" s="21" t="s">
        <v>34</v>
      </c>
      <c r="C571" s="21" t="s">
        <v>15</v>
      </c>
      <c r="D571" s="21">
        <v>1</v>
      </c>
      <c r="E571" s="22">
        <v>35000</v>
      </c>
      <c r="F571" s="22">
        <v>35000</v>
      </c>
      <c r="G571" s="21" t="s">
        <v>40</v>
      </c>
      <c r="H571" s="21" t="s">
        <v>39</v>
      </c>
      <c r="I571" s="21">
        <v>18</v>
      </c>
      <c r="J571" s="21">
        <v>9</v>
      </c>
      <c r="K571" s="21">
        <v>2025</v>
      </c>
      <c r="L571" s="23">
        <v>45918</v>
      </c>
    </row>
    <row r="572" spans="1:12">
      <c r="A572" s="20" t="s">
        <v>61</v>
      </c>
      <c r="B572" s="21" t="s">
        <v>34</v>
      </c>
      <c r="C572" s="21" t="s">
        <v>13</v>
      </c>
      <c r="D572" s="21">
        <v>4</v>
      </c>
      <c r="E572" s="22">
        <v>25000</v>
      </c>
      <c r="F572" s="22">
        <v>100000</v>
      </c>
      <c r="G572" s="21" t="s">
        <v>41</v>
      </c>
      <c r="H572" s="21" t="s">
        <v>39</v>
      </c>
      <c r="I572" s="21">
        <v>9</v>
      </c>
      <c r="J572" s="21">
        <v>9</v>
      </c>
      <c r="K572" s="21">
        <v>2025</v>
      </c>
      <c r="L572" s="23">
        <v>45909</v>
      </c>
    </row>
    <row r="573" spans="1:12">
      <c r="A573" s="20" t="s">
        <v>26</v>
      </c>
      <c r="B573" s="21" t="s">
        <v>34</v>
      </c>
      <c r="C573" s="21" t="s">
        <v>16</v>
      </c>
      <c r="D573" s="21">
        <v>2</v>
      </c>
      <c r="E573" s="22">
        <v>35000</v>
      </c>
      <c r="F573" s="22">
        <v>70000</v>
      </c>
      <c r="G573" s="21" t="s">
        <v>42</v>
      </c>
      <c r="H573" s="21" t="s">
        <v>39</v>
      </c>
      <c r="I573" s="21">
        <v>21</v>
      </c>
      <c r="J573" s="21">
        <v>9</v>
      </c>
      <c r="K573" s="21">
        <v>2025</v>
      </c>
      <c r="L573" s="23">
        <v>45921</v>
      </c>
    </row>
    <row r="574" spans="1:12">
      <c r="A574" s="20" t="s">
        <v>20</v>
      </c>
      <c r="B574" s="21" t="s">
        <v>34</v>
      </c>
      <c r="C574" s="21" t="s">
        <v>12</v>
      </c>
      <c r="D574" s="21">
        <v>5</v>
      </c>
      <c r="E574" s="22">
        <v>30000</v>
      </c>
      <c r="F574" s="22">
        <v>150000</v>
      </c>
      <c r="G574" s="21" t="s">
        <v>43</v>
      </c>
      <c r="H574" s="21" t="s">
        <v>44</v>
      </c>
      <c r="I574" s="21">
        <v>26</v>
      </c>
      <c r="J574" s="21">
        <v>9</v>
      </c>
      <c r="K574" s="21">
        <v>2025</v>
      </c>
      <c r="L574" s="23">
        <v>45926</v>
      </c>
    </row>
    <row r="575" spans="1:12">
      <c r="A575" s="20" t="s">
        <v>10</v>
      </c>
      <c r="B575" s="21" t="s">
        <v>34</v>
      </c>
      <c r="C575" s="21" t="s">
        <v>13</v>
      </c>
      <c r="D575" s="21">
        <v>1</v>
      </c>
      <c r="E575" s="22">
        <v>28000</v>
      </c>
      <c r="F575" s="22">
        <v>28000</v>
      </c>
      <c r="G575" s="21" t="s">
        <v>41</v>
      </c>
      <c r="H575" s="21" t="s">
        <v>39</v>
      </c>
      <c r="I575" s="21">
        <v>20</v>
      </c>
      <c r="J575" s="21">
        <v>9</v>
      </c>
      <c r="K575" s="21">
        <v>2025</v>
      </c>
      <c r="L575" s="23">
        <v>45920</v>
      </c>
    </row>
    <row r="576" spans="1:12">
      <c r="A576" s="20" t="s">
        <v>51</v>
      </c>
      <c r="B576" s="21" t="s">
        <v>34</v>
      </c>
      <c r="C576" s="21" t="s">
        <v>16</v>
      </c>
      <c r="D576" s="21">
        <v>2</v>
      </c>
      <c r="E576" s="22">
        <v>30000</v>
      </c>
      <c r="F576" s="22">
        <v>60000</v>
      </c>
      <c r="G576" s="21" t="s">
        <v>42</v>
      </c>
      <c r="H576" s="21" t="s">
        <v>39</v>
      </c>
      <c r="I576" s="21">
        <v>2</v>
      </c>
      <c r="J576" s="21">
        <v>9</v>
      </c>
      <c r="K576" s="21">
        <v>2025</v>
      </c>
      <c r="L576" s="23">
        <v>45902</v>
      </c>
    </row>
    <row r="577" spans="1:12">
      <c r="A577" s="20" t="s">
        <v>19</v>
      </c>
      <c r="B577" s="21" t="s">
        <v>34</v>
      </c>
      <c r="C577" s="21" t="s">
        <v>12</v>
      </c>
      <c r="D577" s="21">
        <v>1</v>
      </c>
      <c r="E577" s="22">
        <v>20000</v>
      </c>
      <c r="F577" s="22">
        <v>20000</v>
      </c>
      <c r="G577" s="21" t="s">
        <v>43</v>
      </c>
      <c r="H577" s="21" t="s">
        <v>44</v>
      </c>
      <c r="I577" s="21">
        <v>27</v>
      </c>
      <c r="J577" s="21">
        <v>9</v>
      </c>
      <c r="K577" s="21">
        <v>2025</v>
      </c>
      <c r="L577" s="23">
        <v>45927</v>
      </c>
    </row>
    <row r="578" spans="1:12">
      <c r="A578" s="20" t="s">
        <v>54</v>
      </c>
      <c r="B578" s="21" t="s">
        <v>34</v>
      </c>
      <c r="C578" s="21" t="s">
        <v>8</v>
      </c>
      <c r="D578" s="21">
        <v>2</v>
      </c>
      <c r="E578" s="22">
        <v>25000</v>
      </c>
      <c r="F578" s="22">
        <v>50000</v>
      </c>
      <c r="G578" s="21" t="s">
        <v>38</v>
      </c>
      <c r="H578" s="21" t="s">
        <v>39</v>
      </c>
      <c r="I578" s="21">
        <v>8</v>
      </c>
      <c r="J578" s="21">
        <v>9</v>
      </c>
      <c r="K578" s="21">
        <v>2025</v>
      </c>
      <c r="L578" s="23">
        <v>45908</v>
      </c>
    </row>
    <row r="579" spans="1:12">
      <c r="A579" s="20" t="s">
        <v>54</v>
      </c>
      <c r="B579" s="21" t="s">
        <v>34</v>
      </c>
      <c r="C579" s="21" t="s">
        <v>15</v>
      </c>
      <c r="D579" s="21">
        <v>4</v>
      </c>
      <c r="E579" s="22">
        <v>35000</v>
      </c>
      <c r="F579" s="22">
        <v>140000</v>
      </c>
      <c r="G579" s="21" t="s">
        <v>40</v>
      </c>
      <c r="H579" s="21" t="s">
        <v>39</v>
      </c>
      <c r="I579" s="21">
        <v>8</v>
      </c>
      <c r="J579" s="21">
        <v>9</v>
      </c>
      <c r="K579" s="21">
        <v>2025</v>
      </c>
      <c r="L579" s="23">
        <v>45908</v>
      </c>
    </row>
    <row r="580" spans="1:12">
      <c r="A580" s="20" t="s">
        <v>30</v>
      </c>
      <c r="B580" s="21" t="s">
        <v>34</v>
      </c>
      <c r="C580" s="21" t="s">
        <v>13</v>
      </c>
      <c r="D580" s="21">
        <v>3</v>
      </c>
      <c r="E580" s="22">
        <v>28000</v>
      </c>
      <c r="F580" s="22">
        <v>84000</v>
      </c>
      <c r="G580" s="21" t="s">
        <v>41</v>
      </c>
      <c r="H580" s="21" t="s">
        <v>39</v>
      </c>
      <c r="I580" s="21">
        <v>25</v>
      </c>
      <c r="J580" s="21">
        <v>9</v>
      </c>
      <c r="K580" s="21">
        <v>2025</v>
      </c>
      <c r="L580" s="23">
        <v>45925</v>
      </c>
    </row>
    <row r="581" spans="1:12">
      <c r="A581" s="20" t="s">
        <v>55</v>
      </c>
      <c r="B581" s="21" t="s">
        <v>34</v>
      </c>
      <c r="C581" s="21" t="s">
        <v>16</v>
      </c>
      <c r="D581" s="21">
        <v>3</v>
      </c>
      <c r="E581" s="22">
        <v>30000</v>
      </c>
      <c r="F581" s="22">
        <v>90000</v>
      </c>
      <c r="G581" s="21" t="s">
        <v>42</v>
      </c>
      <c r="H581" s="21" t="s">
        <v>39</v>
      </c>
      <c r="I581" s="21">
        <v>10</v>
      </c>
      <c r="J581" s="21">
        <v>9</v>
      </c>
      <c r="K581" s="21">
        <v>2025</v>
      </c>
      <c r="L581" s="23">
        <v>45910</v>
      </c>
    </row>
    <row r="582" spans="1:12">
      <c r="A582" s="20" t="s">
        <v>26</v>
      </c>
      <c r="B582" s="21" t="s">
        <v>34</v>
      </c>
      <c r="C582" s="21" t="s">
        <v>12</v>
      </c>
      <c r="D582" s="21">
        <v>1</v>
      </c>
      <c r="E582" s="22">
        <v>25000</v>
      </c>
      <c r="F582" s="22">
        <v>25000</v>
      </c>
      <c r="G582" s="21" t="s">
        <v>43</v>
      </c>
      <c r="H582" s="21" t="s">
        <v>44</v>
      </c>
      <c r="I582" s="21">
        <v>21</v>
      </c>
      <c r="J582" s="21">
        <v>9</v>
      </c>
      <c r="K582" s="21">
        <v>2025</v>
      </c>
      <c r="L582" s="23">
        <v>45921</v>
      </c>
    </row>
    <row r="583" spans="1:12">
      <c r="A583" s="20" t="s">
        <v>58</v>
      </c>
      <c r="B583" s="21" t="s">
        <v>34</v>
      </c>
      <c r="C583" s="21" t="s">
        <v>8</v>
      </c>
      <c r="D583" s="21">
        <v>1</v>
      </c>
      <c r="E583" s="22">
        <v>35000</v>
      </c>
      <c r="F583" s="22">
        <v>35000</v>
      </c>
      <c r="G583" s="21" t="s">
        <v>38</v>
      </c>
      <c r="H583" s="21" t="s">
        <v>39</v>
      </c>
      <c r="I583" s="21">
        <v>5</v>
      </c>
      <c r="J583" s="21">
        <v>9</v>
      </c>
      <c r="K583" s="21">
        <v>2025</v>
      </c>
      <c r="L583" s="23">
        <v>45905</v>
      </c>
    </row>
    <row r="584" spans="1:12">
      <c r="A584" s="20" t="s">
        <v>52</v>
      </c>
      <c r="B584" s="21" t="s">
        <v>34</v>
      </c>
      <c r="C584" s="21" t="s">
        <v>15</v>
      </c>
      <c r="D584" s="21">
        <v>4</v>
      </c>
      <c r="E584" s="22">
        <v>20000</v>
      </c>
      <c r="F584" s="22">
        <v>80000</v>
      </c>
      <c r="G584" s="21" t="s">
        <v>40</v>
      </c>
      <c r="H584" s="21" t="s">
        <v>39</v>
      </c>
      <c r="I584" s="21">
        <v>1</v>
      </c>
      <c r="J584" s="21">
        <v>9</v>
      </c>
      <c r="K584" s="21">
        <v>2025</v>
      </c>
      <c r="L584" s="23">
        <v>45901</v>
      </c>
    </row>
    <row r="585" spans="1:12">
      <c r="A585" s="20" t="s">
        <v>28</v>
      </c>
      <c r="B585" s="21" t="s">
        <v>34</v>
      </c>
      <c r="C585" s="21" t="s">
        <v>13</v>
      </c>
      <c r="D585" s="21">
        <v>5</v>
      </c>
      <c r="E585" s="22">
        <v>20000</v>
      </c>
      <c r="F585" s="22">
        <v>100000</v>
      </c>
      <c r="G585" s="21" t="s">
        <v>41</v>
      </c>
      <c r="H585" s="21" t="s">
        <v>39</v>
      </c>
      <c r="I585" s="21">
        <v>30</v>
      </c>
      <c r="J585" s="21">
        <v>9</v>
      </c>
      <c r="K585" s="21">
        <v>2025</v>
      </c>
      <c r="L585" s="23">
        <v>45930</v>
      </c>
    </row>
    <row r="586" spans="1:12">
      <c r="A586" s="20" t="s">
        <v>56</v>
      </c>
      <c r="B586" s="21" t="s">
        <v>34</v>
      </c>
      <c r="C586" s="21" t="s">
        <v>16</v>
      </c>
      <c r="D586" s="21">
        <v>3</v>
      </c>
      <c r="E586" s="22">
        <v>20000</v>
      </c>
      <c r="F586" s="22">
        <v>60000</v>
      </c>
      <c r="G586" s="21" t="s">
        <v>42</v>
      </c>
      <c r="H586" s="21" t="s">
        <v>39</v>
      </c>
      <c r="I586" s="21">
        <v>3</v>
      </c>
      <c r="J586" s="21">
        <v>9</v>
      </c>
      <c r="K586" s="21">
        <v>2025</v>
      </c>
      <c r="L586" s="23">
        <v>45903</v>
      </c>
    </row>
    <row r="587" spans="1:12">
      <c r="A587" s="20" t="s">
        <v>57</v>
      </c>
      <c r="B587" s="21" t="s">
        <v>34</v>
      </c>
      <c r="C587" s="21" t="s">
        <v>12</v>
      </c>
      <c r="D587" s="21">
        <v>1</v>
      </c>
      <c r="E587" s="22">
        <v>35000</v>
      </c>
      <c r="F587" s="22">
        <v>35000</v>
      </c>
      <c r="G587" s="21" t="s">
        <v>43</v>
      </c>
      <c r="H587" s="21" t="s">
        <v>44</v>
      </c>
      <c r="I587" s="21">
        <v>6</v>
      </c>
      <c r="J587" s="21">
        <v>9</v>
      </c>
      <c r="K587" s="21">
        <v>2025</v>
      </c>
      <c r="L587" s="23">
        <v>45906</v>
      </c>
    </row>
    <row r="588" spans="1:12">
      <c r="A588" s="20" t="s">
        <v>24</v>
      </c>
      <c r="B588" s="21" t="s">
        <v>34</v>
      </c>
      <c r="C588" s="21" t="s">
        <v>8</v>
      </c>
      <c r="D588" s="21">
        <v>1</v>
      </c>
      <c r="E588" s="22">
        <v>28000</v>
      </c>
      <c r="F588" s="22">
        <v>28000</v>
      </c>
      <c r="G588" s="21" t="s">
        <v>38</v>
      </c>
      <c r="H588" s="21" t="s">
        <v>39</v>
      </c>
      <c r="I588" s="21">
        <v>13</v>
      </c>
      <c r="J588" s="21">
        <v>9</v>
      </c>
      <c r="K588" s="21">
        <v>2025</v>
      </c>
      <c r="L588" s="23">
        <v>45913</v>
      </c>
    </row>
    <row r="589" spans="1:12">
      <c r="A589" s="20" t="s">
        <v>25</v>
      </c>
      <c r="B589" s="21" t="s">
        <v>34</v>
      </c>
      <c r="C589" s="21" t="s">
        <v>15</v>
      </c>
      <c r="D589" s="21">
        <v>5</v>
      </c>
      <c r="E589" s="22">
        <v>30000</v>
      </c>
      <c r="F589" s="22">
        <v>150000</v>
      </c>
      <c r="G589" s="21" t="s">
        <v>40</v>
      </c>
      <c r="H589" s="21" t="s">
        <v>39</v>
      </c>
      <c r="I589" s="21">
        <v>18</v>
      </c>
      <c r="J589" s="21">
        <v>9</v>
      </c>
      <c r="K589" s="21">
        <v>2025</v>
      </c>
      <c r="L589" s="23">
        <v>45918</v>
      </c>
    </row>
    <row r="590" spans="1:12">
      <c r="A590" s="20" t="s">
        <v>20</v>
      </c>
      <c r="B590" s="21" t="s">
        <v>34</v>
      </c>
      <c r="C590" s="21" t="s">
        <v>13</v>
      </c>
      <c r="D590" s="21">
        <v>2</v>
      </c>
      <c r="E590" s="22">
        <v>30000</v>
      </c>
      <c r="F590" s="22">
        <v>60000</v>
      </c>
      <c r="G590" s="21" t="s">
        <v>41</v>
      </c>
      <c r="H590" s="21" t="s">
        <v>39</v>
      </c>
      <c r="I590" s="21">
        <v>26</v>
      </c>
      <c r="J590" s="21">
        <v>9</v>
      </c>
      <c r="K590" s="21">
        <v>2025</v>
      </c>
      <c r="L590" s="23">
        <v>45926</v>
      </c>
    </row>
    <row r="591" spans="1:12">
      <c r="A591" s="20" t="s">
        <v>20</v>
      </c>
      <c r="B591" s="21" t="s">
        <v>34</v>
      </c>
      <c r="C591" s="21" t="s">
        <v>16</v>
      </c>
      <c r="D591" s="21">
        <v>4</v>
      </c>
      <c r="E591" s="22">
        <v>20000</v>
      </c>
      <c r="F591" s="22">
        <v>80000</v>
      </c>
      <c r="G591" s="21" t="s">
        <v>42</v>
      </c>
      <c r="H591" s="21" t="s">
        <v>39</v>
      </c>
      <c r="I591" s="21">
        <v>26</v>
      </c>
      <c r="J591" s="21">
        <v>9</v>
      </c>
      <c r="K591" s="21">
        <v>2025</v>
      </c>
      <c r="L591" s="23">
        <v>45926</v>
      </c>
    </row>
    <row r="592" spans="1:12">
      <c r="A592" s="20" t="s">
        <v>55</v>
      </c>
      <c r="B592" s="21" t="s">
        <v>34</v>
      </c>
      <c r="C592" s="21" t="s">
        <v>12</v>
      </c>
      <c r="D592" s="21">
        <v>1</v>
      </c>
      <c r="E592" s="22">
        <v>20000</v>
      </c>
      <c r="F592" s="22">
        <v>20000</v>
      </c>
      <c r="G592" s="21" t="s">
        <v>43</v>
      </c>
      <c r="H592" s="21" t="s">
        <v>44</v>
      </c>
      <c r="I592" s="21">
        <v>10</v>
      </c>
      <c r="J592" s="21">
        <v>9</v>
      </c>
      <c r="K592" s="21">
        <v>2025</v>
      </c>
      <c r="L592" s="23">
        <v>45910</v>
      </c>
    </row>
    <row r="593" spans="1:12">
      <c r="A593" s="20" t="s">
        <v>18</v>
      </c>
      <c r="B593" s="21" t="s">
        <v>34</v>
      </c>
      <c r="C593" s="21" t="s">
        <v>8</v>
      </c>
      <c r="D593" s="21">
        <v>4</v>
      </c>
      <c r="E593" s="22">
        <v>25000</v>
      </c>
      <c r="F593" s="22">
        <v>100000</v>
      </c>
      <c r="G593" s="21" t="s">
        <v>38</v>
      </c>
      <c r="H593" s="21" t="s">
        <v>39</v>
      </c>
      <c r="I593" s="21">
        <v>29</v>
      </c>
      <c r="J593" s="21">
        <v>9</v>
      </c>
      <c r="K593" s="21">
        <v>2025</v>
      </c>
      <c r="L593" s="23">
        <v>45929</v>
      </c>
    </row>
    <row r="594" spans="1:12">
      <c r="A594" s="20" t="s">
        <v>6</v>
      </c>
      <c r="B594" s="21" t="s">
        <v>34</v>
      </c>
      <c r="C594" s="21" t="s">
        <v>15</v>
      </c>
      <c r="D594" s="21">
        <v>3</v>
      </c>
      <c r="E594" s="22">
        <v>25000</v>
      </c>
      <c r="F594" s="22">
        <v>75000</v>
      </c>
      <c r="G594" s="21" t="s">
        <v>40</v>
      </c>
      <c r="H594" s="21" t="s">
        <v>39</v>
      </c>
      <c r="I594" s="21">
        <v>17</v>
      </c>
      <c r="J594" s="21">
        <v>9</v>
      </c>
      <c r="K594" s="21">
        <v>2025</v>
      </c>
      <c r="L594" s="23">
        <v>45917</v>
      </c>
    </row>
    <row r="595" spans="1:12">
      <c r="A595" s="20" t="s">
        <v>27</v>
      </c>
      <c r="B595" s="21" t="s">
        <v>34</v>
      </c>
      <c r="C595" s="21" t="s">
        <v>13</v>
      </c>
      <c r="D595" s="21">
        <v>1</v>
      </c>
      <c r="E595" s="22">
        <v>25000</v>
      </c>
      <c r="F595" s="22">
        <v>25000</v>
      </c>
      <c r="G595" s="21" t="s">
        <v>41</v>
      </c>
      <c r="H595" s="21" t="s">
        <v>39</v>
      </c>
      <c r="I595" s="21">
        <v>15</v>
      </c>
      <c r="J595" s="21">
        <v>9</v>
      </c>
      <c r="K595" s="21">
        <v>2025</v>
      </c>
      <c r="L595" s="23">
        <v>45915</v>
      </c>
    </row>
    <row r="596" spans="1:12">
      <c r="A596" s="20" t="s">
        <v>30</v>
      </c>
      <c r="B596" s="21" t="s">
        <v>34</v>
      </c>
      <c r="C596" s="21" t="s">
        <v>16</v>
      </c>
      <c r="D596" s="21">
        <v>4</v>
      </c>
      <c r="E596" s="22">
        <v>28000</v>
      </c>
      <c r="F596" s="22">
        <v>112000</v>
      </c>
      <c r="G596" s="21" t="s">
        <v>42</v>
      </c>
      <c r="H596" s="21" t="s">
        <v>39</v>
      </c>
      <c r="I596" s="21">
        <v>25</v>
      </c>
      <c r="J596" s="21">
        <v>9</v>
      </c>
      <c r="K596" s="21">
        <v>2025</v>
      </c>
      <c r="L596" s="23">
        <v>45925</v>
      </c>
    </row>
    <row r="597" spans="1:12">
      <c r="A597" s="20" t="s">
        <v>31</v>
      </c>
      <c r="B597" s="21" t="s">
        <v>34</v>
      </c>
      <c r="C597" s="21" t="s">
        <v>12</v>
      </c>
      <c r="D597" s="21">
        <v>3</v>
      </c>
      <c r="E597" s="22">
        <v>30000</v>
      </c>
      <c r="F597" s="22">
        <v>90000</v>
      </c>
      <c r="G597" s="21" t="s">
        <v>43</v>
      </c>
      <c r="H597" s="21" t="s">
        <v>44</v>
      </c>
      <c r="I597" s="21">
        <v>23</v>
      </c>
      <c r="J597" s="21">
        <v>9</v>
      </c>
      <c r="K597" s="21">
        <v>2025</v>
      </c>
      <c r="L597" s="23">
        <v>45923</v>
      </c>
    </row>
    <row r="598" spans="1:12">
      <c r="A598" s="20" t="s">
        <v>28</v>
      </c>
      <c r="B598" s="21" t="s">
        <v>34</v>
      </c>
      <c r="C598" s="21" t="s">
        <v>8</v>
      </c>
      <c r="D598" s="21">
        <v>1</v>
      </c>
      <c r="E598" s="22">
        <v>30000</v>
      </c>
      <c r="F598" s="22">
        <v>30000</v>
      </c>
      <c r="G598" s="21" t="s">
        <v>38</v>
      </c>
      <c r="H598" s="21" t="s">
        <v>39</v>
      </c>
      <c r="I598" s="21">
        <v>30</v>
      </c>
      <c r="J598" s="21">
        <v>9</v>
      </c>
      <c r="K598" s="21">
        <v>2025</v>
      </c>
      <c r="L598" s="23">
        <v>45930</v>
      </c>
    </row>
    <row r="599" spans="1:12">
      <c r="A599" s="20" t="s">
        <v>24</v>
      </c>
      <c r="B599" s="21" t="s">
        <v>34</v>
      </c>
      <c r="C599" s="21" t="s">
        <v>15</v>
      </c>
      <c r="D599" s="21">
        <v>1</v>
      </c>
      <c r="E599" s="22">
        <v>20000</v>
      </c>
      <c r="F599" s="22">
        <v>20000</v>
      </c>
      <c r="G599" s="21" t="s">
        <v>40</v>
      </c>
      <c r="H599" s="21" t="s">
        <v>39</v>
      </c>
      <c r="I599" s="21">
        <v>13</v>
      </c>
      <c r="J599" s="21">
        <v>9</v>
      </c>
      <c r="K599" s="21">
        <v>2025</v>
      </c>
      <c r="L599" s="23">
        <v>45913</v>
      </c>
    </row>
    <row r="600" spans="1:12">
      <c r="A600" s="20" t="s">
        <v>31</v>
      </c>
      <c r="B600" s="21" t="s">
        <v>34</v>
      </c>
      <c r="C600" s="21" t="s">
        <v>13</v>
      </c>
      <c r="D600" s="21">
        <v>1</v>
      </c>
      <c r="E600" s="22">
        <v>28000</v>
      </c>
      <c r="F600" s="22">
        <v>28000</v>
      </c>
      <c r="G600" s="21" t="s">
        <v>41</v>
      </c>
      <c r="H600" s="21" t="s">
        <v>39</v>
      </c>
      <c r="I600" s="21">
        <v>23</v>
      </c>
      <c r="J600" s="21">
        <v>9</v>
      </c>
      <c r="K600" s="21">
        <v>2025</v>
      </c>
      <c r="L600" s="23">
        <v>45923</v>
      </c>
    </row>
    <row r="601" spans="1:12">
      <c r="A601" s="20" t="s">
        <v>19</v>
      </c>
      <c r="B601" s="21" t="s">
        <v>34</v>
      </c>
      <c r="C601" s="21" t="s">
        <v>16</v>
      </c>
      <c r="D601" s="21">
        <v>5</v>
      </c>
      <c r="E601" s="22">
        <v>30000</v>
      </c>
      <c r="F601" s="22">
        <v>150000</v>
      </c>
      <c r="G601" s="21" t="s">
        <v>42</v>
      </c>
      <c r="H601" s="21" t="s">
        <v>39</v>
      </c>
      <c r="I601" s="21">
        <v>27</v>
      </c>
      <c r="J601" s="21">
        <v>9</v>
      </c>
      <c r="K601" s="21">
        <v>2025</v>
      </c>
      <c r="L601" s="23">
        <v>45927</v>
      </c>
    </row>
    <row r="602" spans="1:12">
      <c r="A602" s="20" t="s">
        <v>30</v>
      </c>
      <c r="B602" s="21" t="s">
        <v>35</v>
      </c>
      <c r="C602" s="21" t="s">
        <v>8</v>
      </c>
      <c r="D602" s="21">
        <v>4</v>
      </c>
      <c r="E602" s="22">
        <v>28000</v>
      </c>
      <c r="F602" s="22">
        <v>112000</v>
      </c>
      <c r="G602" s="21" t="s">
        <v>38</v>
      </c>
      <c r="H602" s="21" t="s">
        <v>39</v>
      </c>
      <c r="I602" s="21">
        <v>25</v>
      </c>
      <c r="J602" s="21">
        <v>9</v>
      </c>
      <c r="K602" s="21">
        <v>2025</v>
      </c>
      <c r="L602" s="23">
        <v>45925</v>
      </c>
    </row>
    <row r="603" spans="1:12">
      <c r="A603" s="20" t="s">
        <v>60</v>
      </c>
      <c r="B603" s="21" t="s">
        <v>35</v>
      </c>
      <c r="C603" s="21" t="s">
        <v>15</v>
      </c>
      <c r="D603" s="21">
        <v>2</v>
      </c>
      <c r="E603" s="22">
        <v>20000</v>
      </c>
      <c r="F603" s="22">
        <v>40000</v>
      </c>
      <c r="G603" s="21" t="s">
        <v>40</v>
      </c>
      <c r="H603" s="21" t="s">
        <v>39</v>
      </c>
      <c r="I603" s="21">
        <v>4</v>
      </c>
      <c r="J603" s="21">
        <v>9</v>
      </c>
      <c r="K603" s="21">
        <v>2025</v>
      </c>
      <c r="L603" s="23">
        <v>45904</v>
      </c>
    </row>
    <row r="604" spans="1:12">
      <c r="A604" s="20" t="s">
        <v>32</v>
      </c>
      <c r="B604" s="21" t="s">
        <v>35</v>
      </c>
      <c r="C604" s="21" t="s">
        <v>13</v>
      </c>
      <c r="D604" s="21">
        <v>1</v>
      </c>
      <c r="E604" s="22">
        <v>25000</v>
      </c>
      <c r="F604" s="22">
        <v>25000</v>
      </c>
      <c r="G604" s="21" t="s">
        <v>41</v>
      </c>
      <c r="H604" s="21" t="s">
        <v>39</v>
      </c>
      <c r="I604" s="21">
        <v>28</v>
      </c>
      <c r="J604" s="21">
        <v>9</v>
      </c>
      <c r="K604" s="21">
        <v>2025</v>
      </c>
      <c r="L604" s="23">
        <v>45928</v>
      </c>
    </row>
    <row r="605" spans="1:12">
      <c r="A605" s="20" t="s">
        <v>59</v>
      </c>
      <c r="B605" s="21" t="s">
        <v>35</v>
      </c>
      <c r="C605" s="21" t="s">
        <v>16</v>
      </c>
      <c r="D605" s="21">
        <v>3</v>
      </c>
      <c r="E605" s="22">
        <v>28000</v>
      </c>
      <c r="F605" s="22">
        <v>84000</v>
      </c>
      <c r="G605" s="21" t="s">
        <v>42</v>
      </c>
      <c r="H605" s="21" t="s">
        <v>39</v>
      </c>
      <c r="I605" s="21">
        <v>12</v>
      </c>
      <c r="J605" s="21">
        <v>9</v>
      </c>
      <c r="K605" s="21">
        <v>2025</v>
      </c>
      <c r="L605" s="23">
        <v>45912</v>
      </c>
    </row>
    <row r="606" spans="1:12">
      <c r="A606" s="20" t="s">
        <v>54</v>
      </c>
      <c r="B606" s="21" t="s">
        <v>35</v>
      </c>
      <c r="C606" s="21" t="s">
        <v>12</v>
      </c>
      <c r="D606" s="21">
        <v>2</v>
      </c>
      <c r="E606" s="22">
        <v>35000</v>
      </c>
      <c r="F606" s="22">
        <v>70000</v>
      </c>
      <c r="G606" s="21" t="s">
        <v>43</v>
      </c>
      <c r="H606" s="21" t="s">
        <v>44</v>
      </c>
      <c r="I606" s="21">
        <v>8</v>
      </c>
      <c r="J606" s="21">
        <v>9</v>
      </c>
      <c r="K606" s="21">
        <v>2025</v>
      </c>
      <c r="L606" s="23">
        <v>45908</v>
      </c>
    </row>
    <row r="607" spans="1:12">
      <c r="A607" s="20" t="s">
        <v>59</v>
      </c>
      <c r="B607" s="21" t="s">
        <v>35</v>
      </c>
      <c r="C607" s="21" t="s">
        <v>12</v>
      </c>
      <c r="D607" s="21">
        <v>1</v>
      </c>
      <c r="E607" s="22">
        <v>28000</v>
      </c>
      <c r="F607" s="22">
        <v>28000</v>
      </c>
      <c r="G607" s="21" t="s">
        <v>43</v>
      </c>
      <c r="H607" s="21" t="s">
        <v>44</v>
      </c>
      <c r="I607" s="21">
        <v>12</v>
      </c>
      <c r="J607" s="21">
        <v>9</v>
      </c>
      <c r="K607" s="21">
        <v>2025</v>
      </c>
      <c r="L607" s="23">
        <v>45912</v>
      </c>
    </row>
    <row r="608" spans="1:12">
      <c r="A608" s="20" t="s">
        <v>54</v>
      </c>
      <c r="B608" s="21" t="s">
        <v>35</v>
      </c>
      <c r="C608" s="21" t="s">
        <v>12</v>
      </c>
      <c r="D608" s="21">
        <v>4</v>
      </c>
      <c r="E608" s="22">
        <v>30000</v>
      </c>
      <c r="F608" s="22">
        <v>120000</v>
      </c>
      <c r="G608" s="21" t="s">
        <v>43</v>
      </c>
      <c r="H608" s="21" t="s">
        <v>44</v>
      </c>
      <c r="I608" s="21">
        <v>8</v>
      </c>
      <c r="J608" s="21">
        <v>9</v>
      </c>
      <c r="K608" s="21">
        <v>2025</v>
      </c>
      <c r="L608" s="23">
        <v>45908</v>
      </c>
    </row>
    <row r="609" spans="1:12">
      <c r="A609" s="20" t="s">
        <v>32</v>
      </c>
      <c r="B609" s="21" t="s">
        <v>35</v>
      </c>
      <c r="C609" s="21" t="s">
        <v>12</v>
      </c>
      <c r="D609" s="21">
        <v>5</v>
      </c>
      <c r="E609" s="22">
        <v>30000</v>
      </c>
      <c r="F609" s="22">
        <v>150000</v>
      </c>
      <c r="G609" s="21" t="s">
        <v>43</v>
      </c>
      <c r="H609" s="21" t="s">
        <v>44</v>
      </c>
      <c r="I609" s="21">
        <v>28</v>
      </c>
      <c r="J609" s="21">
        <v>9</v>
      </c>
      <c r="K609" s="21">
        <v>2025</v>
      </c>
      <c r="L609" s="23">
        <v>45928</v>
      </c>
    </row>
    <row r="610" spans="1:12">
      <c r="A610" s="20" t="s">
        <v>20</v>
      </c>
      <c r="B610" s="21" t="s">
        <v>35</v>
      </c>
      <c r="C610" s="21" t="s">
        <v>12</v>
      </c>
      <c r="D610" s="21">
        <v>3</v>
      </c>
      <c r="E610" s="22">
        <v>20000</v>
      </c>
      <c r="F610" s="22">
        <v>60000</v>
      </c>
      <c r="G610" s="21" t="s">
        <v>43</v>
      </c>
      <c r="H610" s="21" t="s">
        <v>44</v>
      </c>
      <c r="I610" s="21">
        <v>26</v>
      </c>
      <c r="J610" s="21">
        <v>9</v>
      </c>
      <c r="K610" s="21">
        <v>2025</v>
      </c>
      <c r="L610" s="23">
        <v>45926</v>
      </c>
    </row>
    <row r="611" spans="1:12">
      <c r="A611" s="20" t="s">
        <v>31</v>
      </c>
      <c r="B611" s="21" t="s">
        <v>35</v>
      </c>
      <c r="C611" s="21" t="s">
        <v>12</v>
      </c>
      <c r="D611" s="21">
        <v>2</v>
      </c>
      <c r="E611" s="22">
        <v>35000</v>
      </c>
      <c r="F611" s="22">
        <v>70000</v>
      </c>
      <c r="G611" s="21" t="s">
        <v>43</v>
      </c>
      <c r="H611" s="21" t="s">
        <v>44</v>
      </c>
      <c r="I611" s="21">
        <v>23</v>
      </c>
      <c r="J611" s="21">
        <v>9</v>
      </c>
      <c r="K611" s="21">
        <v>2025</v>
      </c>
      <c r="L611" s="23">
        <v>45923</v>
      </c>
    </row>
    <row r="612" spans="1:12">
      <c r="A612" s="20" t="s">
        <v>24</v>
      </c>
      <c r="B612" s="21" t="s">
        <v>35</v>
      </c>
      <c r="C612" s="21" t="s">
        <v>12</v>
      </c>
      <c r="D612" s="21">
        <v>3</v>
      </c>
      <c r="E612" s="22">
        <v>28000</v>
      </c>
      <c r="F612" s="22">
        <v>84000</v>
      </c>
      <c r="G612" s="21" t="s">
        <v>43</v>
      </c>
      <c r="H612" s="21" t="s">
        <v>44</v>
      </c>
      <c r="I612" s="21">
        <v>13</v>
      </c>
      <c r="J612" s="21">
        <v>9</v>
      </c>
      <c r="K612" s="21">
        <v>2025</v>
      </c>
      <c r="L612" s="23">
        <v>45913</v>
      </c>
    </row>
    <row r="613" spans="1:12">
      <c r="A613" s="20" t="s">
        <v>50</v>
      </c>
      <c r="B613" s="21" t="s">
        <v>35</v>
      </c>
      <c r="C613" s="21" t="s">
        <v>12</v>
      </c>
      <c r="D613" s="21">
        <v>3</v>
      </c>
      <c r="E613" s="22">
        <v>28000</v>
      </c>
      <c r="F613" s="22">
        <v>84000</v>
      </c>
      <c r="G613" s="21" t="s">
        <v>43</v>
      </c>
      <c r="H613" s="21" t="s">
        <v>44</v>
      </c>
      <c r="I613" s="21">
        <v>11</v>
      </c>
      <c r="J613" s="21">
        <v>9</v>
      </c>
      <c r="K613" s="21">
        <v>2025</v>
      </c>
      <c r="L613" s="23">
        <v>45911</v>
      </c>
    </row>
    <row r="614" spans="1:12">
      <c r="A614" s="20" t="s">
        <v>26</v>
      </c>
      <c r="B614" s="21" t="s">
        <v>35</v>
      </c>
      <c r="C614" s="21" t="s">
        <v>12</v>
      </c>
      <c r="D614" s="21">
        <v>2</v>
      </c>
      <c r="E614" s="22">
        <v>20000</v>
      </c>
      <c r="F614" s="22">
        <v>40000</v>
      </c>
      <c r="G614" s="21" t="s">
        <v>43</v>
      </c>
      <c r="H614" s="21" t="s">
        <v>44</v>
      </c>
      <c r="I614" s="21">
        <v>21</v>
      </c>
      <c r="J614" s="21">
        <v>9</v>
      </c>
      <c r="K614" s="21">
        <v>2025</v>
      </c>
      <c r="L614" s="23">
        <v>45921</v>
      </c>
    </row>
    <row r="615" spans="1:12">
      <c r="A615" s="20" t="s">
        <v>55</v>
      </c>
      <c r="B615" s="21" t="s">
        <v>35</v>
      </c>
      <c r="C615" s="21" t="s">
        <v>12</v>
      </c>
      <c r="D615" s="21">
        <v>3</v>
      </c>
      <c r="E615" s="22">
        <v>30000</v>
      </c>
      <c r="F615" s="22">
        <v>90000</v>
      </c>
      <c r="G615" s="21" t="s">
        <v>43</v>
      </c>
      <c r="H615" s="21" t="s">
        <v>44</v>
      </c>
      <c r="I615" s="21">
        <v>10</v>
      </c>
      <c r="J615" s="21">
        <v>9</v>
      </c>
      <c r="K615" s="21">
        <v>2025</v>
      </c>
      <c r="L615" s="23">
        <v>45910</v>
      </c>
    </row>
    <row r="616" spans="1:12">
      <c r="A616" s="20" t="s">
        <v>6</v>
      </c>
      <c r="B616" s="21" t="s">
        <v>35</v>
      </c>
      <c r="C616" s="21" t="s">
        <v>12</v>
      </c>
      <c r="D616" s="21">
        <v>1</v>
      </c>
      <c r="E616" s="22">
        <v>35000</v>
      </c>
      <c r="F616" s="22">
        <v>35000</v>
      </c>
      <c r="G616" s="21" t="s">
        <v>43</v>
      </c>
      <c r="H616" s="21" t="s">
        <v>44</v>
      </c>
      <c r="I616" s="21">
        <v>17</v>
      </c>
      <c r="J616" s="21">
        <v>9</v>
      </c>
      <c r="K616" s="21">
        <v>2025</v>
      </c>
      <c r="L616" s="23">
        <v>45917</v>
      </c>
    </row>
    <row r="617" spans="1:12">
      <c r="A617" s="20" t="s">
        <v>30</v>
      </c>
      <c r="B617" s="21" t="s">
        <v>35</v>
      </c>
      <c r="C617" s="21" t="s">
        <v>12</v>
      </c>
      <c r="D617" s="21">
        <v>2</v>
      </c>
      <c r="E617" s="22">
        <v>30000</v>
      </c>
      <c r="F617" s="22">
        <v>60000</v>
      </c>
      <c r="G617" s="21" t="s">
        <v>43</v>
      </c>
      <c r="H617" s="21" t="s">
        <v>44</v>
      </c>
      <c r="I617" s="21">
        <v>25</v>
      </c>
      <c r="J617" s="21">
        <v>9</v>
      </c>
      <c r="K617" s="21">
        <v>2025</v>
      </c>
      <c r="L617" s="23">
        <v>45925</v>
      </c>
    </row>
    <row r="618" spans="1:12">
      <c r="A618" s="20" t="s">
        <v>53</v>
      </c>
      <c r="B618" s="21" t="s">
        <v>35</v>
      </c>
      <c r="C618" s="21" t="s">
        <v>12</v>
      </c>
      <c r="D618" s="21">
        <v>1</v>
      </c>
      <c r="E618" s="22">
        <v>35000</v>
      </c>
      <c r="F618" s="22">
        <v>35000</v>
      </c>
      <c r="G618" s="21" t="s">
        <v>43</v>
      </c>
      <c r="H618" s="21" t="s">
        <v>44</v>
      </c>
      <c r="I618" s="21">
        <v>7</v>
      </c>
      <c r="J618" s="21">
        <v>9</v>
      </c>
      <c r="K618" s="21">
        <v>2025</v>
      </c>
      <c r="L618" s="23">
        <v>45907</v>
      </c>
    </row>
    <row r="619" spans="1:12">
      <c r="A619" s="20" t="s">
        <v>50</v>
      </c>
      <c r="B619" s="21" t="s">
        <v>35</v>
      </c>
      <c r="C619" s="21" t="s">
        <v>12</v>
      </c>
      <c r="D619" s="21">
        <v>1</v>
      </c>
      <c r="E619" s="22">
        <v>30000</v>
      </c>
      <c r="F619" s="22">
        <v>30000</v>
      </c>
      <c r="G619" s="21" t="s">
        <v>43</v>
      </c>
      <c r="H619" s="21" t="s">
        <v>44</v>
      </c>
      <c r="I619" s="21">
        <v>11</v>
      </c>
      <c r="J619" s="21">
        <v>9</v>
      </c>
      <c r="K619" s="21">
        <v>2025</v>
      </c>
      <c r="L619" s="23">
        <v>45911</v>
      </c>
    </row>
    <row r="620" spans="1:12">
      <c r="A620" s="20" t="s">
        <v>52</v>
      </c>
      <c r="B620" s="21" t="s">
        <v>35</v>
      </c>
      <c r="C620" s="21" t="s">
        <v>12</v>
      </c>
      <c r="D620" s="21">
        <v>1</v>
      </c>
      <c r="E620" s="22">
        <v>28000</v>
      </c>
      <c r="F620" s="22">
        <v>28000</v>
      </c>
      <c r="G620" s="21" t="s">
        <v>43</v>
      </c>
      <c r="H620" s="21" t="s">
        <v>44</v>
      </c>
      <c r="I620" s="21">
        <v>1</v>
      </c>
      <c r="J620" s="21">
        <v>9</v>
      </c>
      <c r="K620" s="21">
        <v>2025</v>
      </c>
      <c r="L620" s="23">
        <v>45901</v>
      </c>
    </row>
    <row r="621" spans="1:12">
      <c r="A621" s="20" t="s">
        <v>51</v>
      </c>
      <c r="B621" s="21" t="s">
        <v>35</v>
      </c>
      <c r="C621" s="21" t="s">
        <v>8</v>
      </c>
      <c r="D621" s="21">
        <v>1</v>
      </c>
      <c r="E621" s="22">
        <v>35000</v>
      </c>
      <c r="F621" s="22">
        <v>35000</v>
      </c>
      <c r="G621" s="21" t="s">
        <v>38</v>
      </c>
      <c r="H621" s="21" t="s">
        <v>39</v>
      </c>
      <c r="I621" s="21">
        <v>2</v>
      </c>
      <c r="J621" s="21">
        <v>9</v>
      </c>
      <c r="K621" s="21">
        <v>2025</v>
      </c>
      <c r="L621" s="23">
        <v>45902</v>
      </c>
    </row>
    <row r="622" spans="1:12">
      <c r="A622" s="20" t="s">
        <v>52</v>
      </c>
      <c r="B622" s="21" t="s">
        <v>35</v>
      </c>
      <c r="C622" s="21" t="s">
        <v>15</v>
      </c>
      <c r="D622" s="21">
        <v>2</v>
      </c>
      <c r="E622" s="22">
        <v>25000</v>
      </c>
      <c r="F622" s="22">
        <v>50000</v>
      </c>
      <c r="G622" s="21" t="s">
        <v>40</v>
      </c>
      <c r="H622" s="21" t="s">
        <v>39</v>
      </c>
      <c r="I622" s="21">
        <v>1</v>
      </c>
      <c r="J622" s="21">
        <v>9</v>
      </c>
      <c r="K622" s="21">
        <v>2025</v>
      </c>
      <c r="L622" s="23">
        <v>45901</v>
      </c>
    </row>
    <row r="623" spans="1:12">
      <c r="A623" s="20" t="s">
        <v>19</v>
      </c>
      <c r="B623" s="21" t="s">
        <v>35</v>
      </c>
      <c r="C623" s="21" t="s">
        <v>13</v>
      </c>
      <c r="D623" s="21">
        <v>3</v>
      </c>
      <c r="E623" s="22">
        <v>30000</v>
      </c>
      <c r="F623" s="22">
        <v>90000</v>
      </c>
      <c r="G623" s="21" t="s">
        <v>41</v>
      </c>
      <c r="H623" s="21" t="s">
        <v>39</v>
      </c>
      <c r="I623" s="21">
        <v>27</v>
      </c>
      <c r="J623" s="21">
        <v>9</v>
      </c>
      <c r="K623" s="21">
        <v>2025</v>
      </c>
      <c r="L623" s="23">
        <v>45927</v>
      </c>
    </row>
    <row r="624" spans="1:12">
      <c r="A624" s="20" t="s">
        <v>55</v>
      </c>
      <c r="B624" s="21" t="s">
        <v>35</v>
      </c>
      <c r="C624" s="21" t="s">
        <v>16</v>
      </c>
      <c r="D624" s="21">
        <v>4</v>
      </c>
      <c r="E624" s="22">
        <v>20000</v>
      </c>
      <c r="F624" s="22">
        <v>80000</v>
      </c>
      <c r="G624" s="21" t="s">
        <v>42</v>
      </c>
      <c r="H624" s="21" t="s">
        <v>39</v>
      </c>
      <c r="I624" s="21">
        <v>10</v>
      </c>
      <c r="J624" s="21">
        <v>9</v>
      </c>
      <c r="K624" s="21">
        <v>2025</v>
      </c>
      <c r="L624" s="23">
        <v>45910</v>
      </c>
    </row>
    <row r="625" spans="1:12">
      <c r="A625" s="20" t="s">
        <v>17</v>
      </c>
      <c r="B625" s="21" t="s">
        <v>35</v>
      </c>
      <c r="C625" s="21" t="s">
        <v>12</v>
      </c>
      <c r="D625" s="21">
        <v>4</v>
      </c>
      <c r="E625" s="22">
        <v>20000</v>
      </c>
      <c r="F625" s="22">
        <v>80000</v>
      </c>
      <c r="G625" s="21" t="s">
        <v>43</v>
      </c>
      <c r="H625" s="21" t="s">
        <v>44</v>
      </c>
      <c r="I625" s="21">
        <v>14</v>
      </c>
      <c r="J625" s="21">
        <v>9</v>
      </c>
      <c r="K625" s="21">
        <v>2025</v>
      </c>
      <c r="L625" s="23">
        <v>45914</v>
      </c>
    </row>
    <row r="626" spans="1:12">
      <c r="A626" s="20" t="s">
        <v>56</v>
      </c>
      <c r="B626" s="21" t="s">
        <v>35</v>
      </c>
      <c r="C626" s="21" t="s">
        <v>12</v>
      </c>
      <c r="D626" s="21">
        <v>1</v>
      </c>
      <c r="E626" s="22">
        <v>28000</v>
      </c>
      <c r="F626" s="22">
        <v>28000</v>
      </c>
      <c r="G626" s="21" t="s">
        <v>43</v>
      </c>
      <c r="H626" s="21" t="s">
        <v>44</v>
      </c>
      <c r="I626" s="21">
        <v>3</v>
      </c>
      <c r="J626" s="21">
        <v>9</v>
      </c>
      <c r="K626" s="21">
        <v>2025</v>
      </c>
      <c r="L626" s="23">
        <v>45903</v>
      </c>
    </row>
    <row r="627" spans="1:12">
      <c r="A627" s="20" t="s">
        <v>28</v>
      </c>
      <c r="B627" s="21" t="s">
        <v>35</v>
      </c>
      <c r="C627" s="21" t="s">
        <v>12</v>
      </c>
      <c r="D627" s="21">
        <v>4</v>
      </c>
      <c r="E627" s="22">
        <v>25000</v>
      </c>
      <c r="F627" s="22">
        <v>100000</v>
      </c>
      <c r="G627" s="21" t="s">
        <v>43</v>
      </c>
      <c r="H627" s="21" t="s">
        <v>44</v>
      </c>
      <c r="I627" s="21">
        <v>30</v>
      </c>
      <c r="J627" s="21">
        <v>9</v>
      </c>
      <c r="K627" s="21">
        <v>2025</v>
      </c>
      <c r="L627" s="23">
        <v>45930</v>
      </c>
    </row>
    <row r="628" spans="1:12">
      <c r="A628" s="20" t="s">
        <v>57</v>
      </c>
      <c r="B628" s="21" t="s">
        <v>35</v>
      </c>
      <c r="C628" s="21" t="s">
        <v>12</v>
      </c>
      <c r="D628" s="21">
        <v>4</v>
      </c>
      <c r="E628" s="22">
        <v>25000</v>
      </c>
      <c r="F628" s="22">
        <v>100000</v>
      </c>
      <c r="G628" s="21" t="s">
        <v>43</v>
      </c>
      <c r="H628" s="21" t="s">
        <v>44</v>
      </c>
      <c r="I628" s="21">
        <v>6</v>
      </c>
      <c r="J628" s="21">
        <v>9</v>
      </c>
      <c r="K628" s="21">
        <v>2025</v>
      </c>
      <c r="L628" s="23">
        <v>45906</v>
      </c>
    </row>
    <row r="629" spans="1:12">
      <c r="A629" s="20" t="s">
        <v>24</v>
      </c>
      <c r="B629" s="21" t="s">
        <v>35</v>
      </c>
      <c r="C629" s="21" t="s">
        <v>12</v>
      </c>
      <c r="D629" s="21">
        <v>1</v>
      </c>
      <c r="E629" s="22">
        <v>30000</v>
      </c>
      <c r="F629" s="22">
        <v>30000</v>
      </c>
      <c r="G629" s="21" t="s">
        <v>43</v>
      </c>
      <c r="H629" s="21" t="s">
        <v>44</v>
      </c>
      <c r="I629" s="21">
        <v>13</v>
      </c>
      <c r="J629" s="21">
        <v>9</v>
      </c>
      <c r="K629" s="21">
        <v>2025</v>
      </c>
      <c r="L629" s="23">
        <v>45913</v>
      </c>
    </row>
    <row r="630" spans="1:12">
      <c r="A630" s="20" t="s">
        <v>17</v>
      </c>
      <c r="B630" s="21" t="s">
        <v>35</v>
      </c>
      <c r="C630" s="21" t="s">
        <v>12</v>
      </c>
      <c r="D630" s="21">
        <v>1</v>
      </c>
      <c r="E630" s="22">
        <v>30000</v>
      </c>
      <c r="F630" s="22">
        <v>30000</v>
      </c>
      <c r="G630" s="21" t="s">
        <v>43</v>
      </c>
      <c r="H630" s="21" t="s">
        <v>44</v>
      </c>
      <c r="I630" s="21">
        <v>14</v>
      </c>
      <c r="J630" s="21">
        <v>9</v>
      </c>
      <c r="K630" s="21">
        <v>2025</v>
      </c>
      <c r="L630" s="23">
        <v>45914</v>
      </c>
    </row>
    <row r="631" spans="1:12">
      <c r="A631" s="20" t="s">
        <v>50</v>
      </c>
      <c r="B631" s="21" t="s">
        <v>35</v>
      </c>
      <c r="C631" s="21" t="s">
        <v>12</v>
      </c>
      <c r="D631" s="21">
        <v>4</v>
      </c>
      <c r="E631" s="22">
        <v>35000</v>
      </c>
      <c r="F631" s="22">
        <v>140000</v>
      </c>
      <c r="G631" s="21" t="s">
        <v>43</v>
      </c>
      <c r="H631" s="21" t="s">
        <v>44</v>
      </c>
      <c r="I631" s="21">
        <v>11</v>
      </c>
      <c r="J631" s="21">
        <v>9</v>
      </c>
      <c r="K631" s="21">
        <v>2025</v>
      </c>
      <c r="L631" s="23">
        <v>45911</v>
      </c>
    </row>
    <row r="632" spans="1:12">
      <c r="A632" s="20" t="s">
        <v>17</v>
      </c>
      <c r="B632" s="21" t="s">
        <v>35</v>
      </c>
      <c r="C632" s="21" t="s">
        <v>12</v>
      </c>
      <c r="D632" s="21">
        <v>4</v>
      </c>
      <c r="E632" s="22">
        <v>30000</v>
      </c>
      <c r="F632" s="22">
        <v>120000</v>
      </c>
      <c r="G632" s="21" t="s">
        <v>43</v>
      </c>
      <c r="H632" s="21" t="s">
        <v>44</v>
      </c>
      <c r="I632" s="21">
        <v>14</v>
      </c>
      <c r="J632" s="21">
        <v>9</v>
      </c>
      <c r="K632" s="21">
        <v>2025</v>
      </c>
      <c r="L632" s="23">
        <v>45914</v>
      </c>
    </row>
    <row r="633" spans="1:12">
      <c r="A633" s="20" t="s">
        <v>6</v>
      </c>
      <c r="B633" s="21" t="s">
        <v>35</v>
      </c>
      <c r="C633" s="21" t="s">
        <v>12</v>
      </c>
      <c r="D633" s="21">
        <v>1</v>
      </c>
      <c r="E633" s="22">
        <v>35000</v>
      </c>
      <c r="F633" s="22">
        <v>35000</v>
      </c>
      <c r="G633" s="21" t="s">
        <v>43</v>
      </c>
      <c r="H633" s="21" t="s">
        <v>44</v>
      </c>
      <c r="I633" s="21">
        <v>17</v>
      </c>
      <c r="J633" s="21">
        <v>9</v>
      </c>
      <c r="K633" s="21">
        <v>2025</v>
      </c>
      <c r="L633" s="23">
        <v>45917</v>
      </c>
    </row>
    <row r="634" spans="1:12">
      <c r="A634" s="20" t="s">
        <v>32</v>
      </c>
      <c r="B634" s="21" t="s">
        <v>35</v>
      </c>
      <c r="C634" s="21" t="s">
        <v>12</v>
      </c>
      <c r="D634" s="21">
        <v>1</v>
      </c>
      <c r="E634" s="22">
        <v>30000</v>
      </c>
      <c r="F634" s="22">
        <v>30000</v>
      </c>
      <c r="G634" s="21" t="s">
        <v>43</v>
      </c>
      <c r="H634" s="21" t="s">
        <v>44</v>
      </c>
      <c r="I634" s="21">
        <v>28</v>
      </c>
      <c r="J634" s="21">
        <v>9</v>
      </c>
      <c r="K634" s="21">
        <v>2025</v>
      </c>
      <c r="L634" s="23">
        <v>45928</v>
      </c>
    </row>
    <row r="635" spans="1:12">
      <c r="A635" s="20" t="s">
        <v>57</v>
      </c>
      <c r="B635" s="21" t="s">
        <v>35</v>
      </c>
      <c r="C635" s="21" t="s">
        <v>12</v>
      </c>
      <c r="D635" s="21">
        <v>4</v>
      </c>
      <c r="E635" s="22">
        <v>20000</v>
      </c>
      <c r="F635" s="22">
        <v>80000</v>
      </c>
      <c r="G635" s="21" t="s">
        <v>43</v>
      </c>
      <c r="H635" s="21" t="s">
        <v>44</v>
      </c>
      <c r="I635" s="21">
        <v>6</v>
      </c>
      <c r="J635" s="21">
        <v>9</v>
      </c>
      <c r="K635" s="21">
        <v>2025</v>
      </c>
      <c r="L635" s="23">
        <v>45906</v>
      </c>
    </row>
    <row r="636" spans="1:12">
      <c r="A636" s="20" t="s">
        <v>28</v>
      </c>
      <c r="B636" s="21" t="s">
        <v>35</v>
      </c>
      <c r="C636" s="21" t="s">
        <v>12</v>
      </c>
      <c r="D636" s="21">
        <v>1</v>
      </c>
      <c r="E636" s="22">
        <v>30000</v>
      </c>
      <c r="F636" s="22">
        <v>30000</v>
      </c>
      <c r="G636" s="21" t="s">
        <v>43</v>
      </c>
      <c r="H636" s="21" t="s">
        <v>44</v>
      </c>
      <c r="I636" s="21">
        <v>30</v>
      </c>
      <c r="J636" s="21">
        <v>9</v>
      </c>
      <c r="K636" s="21">
        <v>2025</v>
      </c>
      <c r="L636" s="23">
        <v>45930</v>
      </c>
    </row>
    <row r="637" spans="1:12">
      <c r="A637" s="20" t="s">
        <v>21</v>
      </c>
      <c r="B637" s="21" t="s">
        <v>35</v>
      </c>
      <c r="C637" s="21" t="s">
        <v>12</v>
      </c>
      <c r="D637" s="21">
        <v>1</v>
      </c>
      <c r="E637" s="22">
        <v>25000</v>
      </c>
      <c r="F637" s="22">
        <v>25000</v>
      </c>
      <c r="G637" s="21" t="s">
        <v>43</v>
      </c>
      <c r="H637" s="21" t="s">
        <v>44</v>
      </c>
      <c r="I637" s="21">
        <v>19</v>
      </c>
      <c r="J637" s="21">
        <v>9</v>
      </c>
      <c r="K637" s="21">
        <v>2025</v>
      </c>
      <c r="L637" s="23">
        <v>45919</v>
      </c>
    </row>
    <row r="638" spans="1:12">
      <c r="A638" s="20" t="s">
        <v>32</v>
      </c>
      <c r="B638" s="21" t="s">
        <v>35</v>
      </c>
      <c r="C638" s="21" t="s">
        <v>12</v>
      </c>
      <c r="D638" s="21">
        <v>3</v>
      </c>
      <c r="E638" s="22">
        <v>35000</v>
      </c>
      <c r="F638" s="22">
        <v>105000</v>
      </c>
      <c r="G638" s="21" t="s">
        <v>43</v>
      </c>
      <c r="H638" s="21" t="s">
        <v>44</v>
      </c>
      <c r="I638" s="21">
        <v>28</v>
      </c>
      <c r="J638" s="21">
        <v>9</v>
      </c>
      <c r="K638" s="21">
        <v>2025</v>
      </c>
      <c r="L638" s="23">
        <v>45928</v>
      </c>
    </row>
    <row r="639" spans="1:12">
      <c r="A639" s="20" t="s">
        <v>30</v>
      </c>
      <c r="B639" s="21" t="s">
        <v>35</v>
      </c>
      <c r="C639" s="21" t="s">
        <v>12</v>
      </c>
      <c r="D639" s="21">
        <v>1</v>
      </c>
      <c r="E639" s="22">
        <v>35000</v>
      </c>
      <c r="F639" s="22">
        <v>35000</v>
      </c>
      <c r="G639" s="21" t="s">
        <v>43</v>
      </c>
      <c r="H639" s="21" t="s">
        <v>44</v>
      </c>
      <c r="I639" s="21">
        <v>25</v>
      </c>
      <c r="J639" s="21">
        <v>9</v>
      </c>
      <c r="K639" s="21">
        <v>2025</v>
      </c>
      <c r="L639" s="23">
        <v>45925</v>
      </c>
    </row>
    <row r="640" spans="1:12">
      <c r="A640" s="20" t="s">
        <v>18</v>
      </c>
      <c r="B640" s="21" t="s">
        <v>35</v>
      </c>
      <c r="C640" s="21" t="s">
        <v>8</v>
      </c>
      <c r="D640" s="21">
        <v>5</v>
      </c>
      <c r="E640" s="22">
        <v>35000</v>
      </c>
      <c r="F640" s="22">
        <v>175000</v>
      </c>
      <c r="G640" s="21" t="s">
        <v>38</v>
      </c>
      <c r="H640" s="21" t="s">
        <v>39</v>
      </c>
      <c r="I640" s="21">
        <v>29</v>
      </c>
      <c r="J640" s="21">
        <v>9</v>
      </c>
      <c r="K640" s="21">
        <v>2025</v>
      </c>
      <c r="L640" s="23">
        <v>45929</v>
      </c>
    </row>
    <row r="641" spans="1:12">
      <c r="A641" s="20" t="s">
        <v>32</v>
      </c>
      <c r="B641" s="21" t="s">
        <v>35</v>
      </c>
      <c r="C641" s="21" t="s">
        <v>15</v>
      </c>
      <c r="D641" s="21">
        <v>1</v>
      </c>
      <c r="E641" s="22">
        <v>30000</v>
      </c>
      <c r="F641" s="22">
        <v>30000</v>
      </c>
      <c r="G641" s="21" t="s">
        <v>40</v>
      </c>
      <c r="H641" s="21" t="s">
        <v>39</v>
      </c>
      <c r="I641" s="21">
        <v>28</v>
      </c>
      <c r="J641" s="21">
        <v>9</v>
      </c>
      <c r="K641" s="21">
        <v>2025</v>
      </c>
      <c r="L641" s="23">
        <v>45928</v>
      </c>
    </row>
    <row r="642" spans="1:12">
      <c r="A642" s="20" t="s">
        <v>18</v>
      </c>
      <c r="B642" s="21" t="s">
        <v>35</v>
      </c>
      <c r="C642" s="21" t="s">
        <v>13</v>
      </c>
      <c r="D642" s="21">
        <v>1</v>
      </c>
      <c r="E642" s="22">
        <v>20000</v>
      </c>
      <c r="F642" s="22">
        <v>20000</v>
      </c>
      <c r="G642" s="21" t="s">
        <v>41</v>
      </c>
      <c r="H642" s="21" t="s">
        <v>39</v>
      </c>
      <c r="I642" s="21">
        <v>29</v>
      </c>
      <c r="J642" s="21">
        <v>9</v>
      </c>
      <c r="K642" s="21">
        <v>2025</v>
      </c>
      <c r="L642" s="23">
        <v>45929</v>
      </c>
    </row>
    <row r="643" spans="1:12">
      <c r="A643" s="20" t="s">
        <v>52</v>
      </c>
      <c r="B643" s="21" t="s">
        <v>35</v>
      </c>
      <c r="C643" s="21" t="s">
        <v>16</v>
      </c>
      <c r="D643" s="21">
        <v>2</v>
      </c>
      <c r="E643" s="22">
        <v>30000</v>
      </c>
      <c r="F643" s="22">
        <v>60000</v>
      </c>
      <c r="G643" s="21" t="s">
        <v>42</v>
      </c>
      <c r="H643" s="21" t="s">
        <v>39</v>
      </c>
      <c r="I643" s="21">
        <v>1</v>
      </c>
      <c r="J643" s="21">
        <v>9</v>
      </c>
      <c r="K643" s="21">
        <v>2025</v>
      </c>
      <c r="L643" s="23">
        <v>45901</v>
      </c>
    </row>
    <row r="644" spans="1:12">
      <c r="A644" s="20" t="s">
        <v>51</v>
      </c>
      <c r="B644" s="21" t="s">
        <v>35</v>
      </c>
      <c r="C644" s="21" t="s">
        <v>12</v>
      </c>
      <c r="D644" s="21">
        <v>2</v>
      </c>
      <c r="E644" s="22">
        <v>35000</v>
      </c>
      <c r="F644" s="22">
        <v>70000</v>
      </c>
      <c r="G644" s="21" t="s">
        <v>43</v>
      </c>
      <c r="H644" s="21" t="s">
        <v>44</v>
      </c>
      <c r="I644" s="21">
        <v>2</v>
      </c>
      <c r="J644" s="21">
        <v>9</v>
      </c>
      <c r="K644" s="21">
        <v>2025</v>
      </c>
      <c r="L644" s="23">
        <v>45902</v>
      </c>
    </row>
    <row r="645" spans="1:12">
      <c r="A645" s="20" t="s">
        <v>24</v>
      </c>
      <c r="B645" s="21" t="s">
        <v>35</v>
      </c>
      <c r="C645" s="21" t="s">
        <v>8</v>
      </c>
      <c r="D645" s="21">
        <v>5</v>
      </c>
      <c r="E645" s="22">
        <v>28000</v>
      </c>
      <c r="F645" s="22">
        <v>140000</v>
      </c>
      <c r="G645" s="21" t="s">
        <v>38</v>
      </c>
      <c r="H645" s="21" t="s">
        <v>39</v>
      </c>
      <c r="I645" s="21">
        <v>13</v>
      </c>
      <c r="J645" s="21">
        <v>9</v>
      </c>
      <c r="K645" s="21">
        <v>2025</v>
      </c>
      <c r="L645" s="23">
        <v>45913</v>
      </c>
    </row>
    <row r="646" spans="1:12">
      <c r="A646" s="20" t="s">
        <v>23</v>
      </c>
      <c r="B646" s="21" t="s">
        <v>35</v>
      </c>
      <c r="C646" s="21" t="s">
        <v>15</v>
      </c>
      <c r="D646" s="21">
        <v>1</v>
      </c>
      <c r="E646" s="22">
        <v>25000</v>
      </c>
      <c r="F646" s="22">
        <v>25000</v>
      </c>
      <c r="G646" s="21" t="s">
        <v>40</v>
      </c>
      <c r="H646" s="21" t="s">
        <v>39</v>
      </c>
      <c r="I646" s="21">
        <v>24</v>
      </c>
      <c r="J646" s="21">
        <v>9</v>
      </c>
      <c r="K646" s="21">
        <v>2025</v>
      </c>
      <c r="L646" s="23">
        <v>45924</v>
      </c>
    </row>
    <row r="647" spans="1:12">
      <c r="A647" s="20" t="s">
        <v>56</v>
      </c>
      <c r="B647" s="21" t="s">
        <v>35</v>
      </c>
      <c r="C647" s="21" t="s">
        <v>13</v>
      </c>
      <c r="D647" s="21">
        <v>1</v>
      </c>
      <c r="E647" s="22">
        <v>35000</v>
      </c>
      <c r="F647" s="22">
        <v>35000</v>
      </c>
      <c r="G647" s="21" t="s">
        <v>41</v>
      </c>
      <c r="H647" s="21" t="s">
        <v>39</v>
      </c>
      <c r="I647" s="21">
        <v>3</v>
      </c>
      <c r="J647" s="21">
        <v>9</v>
      </c>
      <c r="K647" s="21">
        <v>2025</v>
      </c>
      <c r="L647" s="23">
        <v>45903</v>
      </c>
    </row>
    <row r="648" spans="1:12">
      <c r="A648" s="20" t="s">
        <v>56</v>
      </c>
      <c r="B648" s="21" t="s">
        <v>35</v>
      </c>
      <c r="C648" s="21" t="s">
        <v>16</v>
      </c>
      <c r="D648" s="21">
        <v>2</v>
      </c>
      <c r="E648" s="22">
        <v>28000</v>
      </c>
      <c r="F648" s="22">
        <v>56000</v>
      </c>
      <c r="G648" s="21" t="s">
        <v>42</v>
      </c>
      <c r="H648" s="21" t="s">
        <v>39</v>
      </c>
      <c r="I648" s="21">
        <v>3</v>
      </c>
      <c r="J648" s="21">
        <v>9</v>
      </c>
      <c r="K648" s="21">
        <v>2025</v>
      </c>
      <c r="L648" s="23">
        <v>45903</v>
      </c>
    </row>
    <row r="649" spans="1:12">
      <c r="A649" s="20" t="s">
        <v>52</v>
      </c>
      <c r="B649" s="21" t="s">
        <v>35</v>
      </c>
      <c r="C649" s="21" t="s">
        <v>12</v>
      </c>
      <c r="D649" s="21">
        <v>3</v>
      </c>
      <c r="E649" s="22">
        <v>28000</v>
      </c>
      <c r="F649" s="22">
        <v>84000</v>
      </c>
      <c r="G649" s="21" t="s">
        <v>43</v>
      </c>
      <c r="H649" s="21" t="s">
        <v>44</v>
      </c>
      <c r="I649" s="21">
        <v>1</v>
      </c>
      <c r="J649" s="21">
        <v>9</v>
      </c>
      <c r="K649" s="21">
        <v>2025</v>
      </c>
      <c r="L649" s="23">
        <v>45901</v>
      </c>
    </row>
    <row r="650" spans="1:12">
      <c r="A650" s="20" t="s">
        <v>10</v>
      </c>
      <c r="B650" s="21" t="s">
        <v>35</v>
      </c>
      <c r="C650" s="21" t="s">
        <v>8</v>
      </c>
      <c r="D650" s="21">
        <v>1</v>
      </c>
      <c r="E650" s="22">
        <v>25000</v>
      </c>
      <c r="F650" s="22">
        <v>25000</v>
      </c>
      <c r="G650" s="21" t="s">
        <v>38</v>
      </c>
      <c r="H650" s="21" t="s">
        <v>39</v>
      </c>
      <c r="I650" s="21">
        <v>20</v>
      </c>
      <c r="J650" s="21">
        <v>9</v>
      </c>
      <c r="K650" s="21">
        <v>2025</v>
      </c>
      <c r="L650" s="23">
        <v>45920</v>
      </c>
    </row>
    <row r="651" spans="1:12">
      <c r="A651" s="20" t="s">
        <v>19</v>
      </c>
      <c r="B651" s="21" t="s">
        <v>35</v>
      </c>
      <c r="C651" s="21" t="s">
        <v>15</v>
      </c>
      <c r="D651" s="21">
        <v>2</v>
      </c>
      <c r="E651" s="22">
        <v>30000</v>
      </c>
      <c r="F651" s="22">
        <v>60000</v>
      </c>
      <c r="G651" s="21" t="s">
        <v>40</v>
      </c>
      <c r="H651" s="21" t="s">
        <v>39</v>
      </c>
      <c r="I651" s="21">
        <v>27</v>
      </c>
      <c r="J651" s="21">
        <v>9</v>
      </c>
      <c r="K651" s="21">
        <v>2025</v>
      </c>
      <c r="L651" s="23">
        <v>45927</v>
      </c>
    </row>
    <row r="652" spans="1:12">
      <c r="A652" s="20" t="s">
        <v>56</v>
      </c>
      <c r="B652" s="21" t="s">
        <v>35</v>
      </c>
      <c r="C652" s="21" t="s">
        <v>13</v>
      </c>
      <c r="D652" s="21">
        <v>1</v>
      </c>
      <c r="E652" s="22">
        <v>30000</v>
      </c>
      <c r="F652" s="22">
        <v>30000</v>
      </c>
      <c r="G652" s="21" t="s">
        <v>41</v>
      </c>
      <c r="H652" s="21" t="s">
        <v>39</v>
      </c>
      <c r="I652" s="21">
        <v>3</v>
      </c>
      <c r="J652" s="21">
        <v>9</v>
      </c>
      <c r="K652" s="21">
        <v>2025</v>
      </c>
      <c r="L652" s="23">
        <v>45903</v>
      </c>
    </row>
    <row r="653" spans="1:12">
      <c r="A653" s="20" t="s">
        <v>6</v>
      </c>
      <c r="B653" s="21" t="s">
        <v>35</v>
      </c>
      <c r="C653" s="21" t="s">
        <v>16</v>
      </c>
      <c r="D653" s="21">
        <v>1</v>
      </c>
      <c r="E653" s="22">
        <v>35000</v>
      </c>
      <c r="F653" s="22">
        <v>35000</v>
      </c>
      <c r="G653" s="21" t="s">
        <v>42</v>
      </c>
      <c r="H653" s="21" t="s">
        <v>39</v>
      </c>
      <c r="I653" s="21">
        <v>17</v>
      </c>
      <c r="J653" s="21">
        <v>9</v>
      </c>
      <c r="K653" s="21">
        <v>2025</v>
      </c>
      <c r="L653" s="23">
        <v>45917</v>
      </c>
    </row>
    <row r="654" spans="1:12">
      <c r="A654" s="20" t="s">
        <v>19</v>
      </c>
      <c r="B654" s="21" t="s">
        <v>35</v>
      </c>
      <c r="C654" s="21" t="s">
        <v>12</v>
      </c>
      <c r="D654" s="21">
        <v>3</v>
      </c>
      <c r="E654" s="22">
        <v>30000</v>
      </c>
      <c r="F654" s="22">
        <v>90000</v>
      </c>
      <c r="G654" s="21" t="s">
        <v>43</v>
      </c>
      <c r="H654" s="21" t="s">
        <v>44</v>
      </c>
      <c r="I654" s="21">
        <v>27</v>
      </c>
      <c r="J654" s="21">
        <v>9</v>
      </c>
      <c r="K654" s="21">
        <v>2025</v>
      </c>
      <c r="L654" s="23">
        <v>45927</v>
      </c>
    </row>
    <row r="655" spans="1:12">
      <c r="A655" s="20" t="s">
        <v>18</v>
      </c>
      <c r="B655" s="21" t="s">
        <v>35</v>
      </c>
      <c r="C655" s="21" t="s">
        <v>8</v>
      </c>
      <c r="D655" s="21">
        <v>1</v>
      </c>
      <c r="E655" s="22">
        <v>20000</v>
      </c>
      <c r="F655" s="22">
        <v>20000</v>
      </c>
      <c r="G655" s="21" t="s">
        <v>38</v>
      </c>
      <c r="H655" s="21" t="s">
        <v>39</v>
      </c>
      <c r="I655" s="21">
        <v>29</v>
      </c>
      <c r="J655" s="21">
        <v>9</v>
      </c>
      <c r="K655" s="21">
        <v>2025</v>
      </c>
      <c r="L655" s="23">
        <v>45929</v>
      </c>
    </row>
    <row r="656" spans="1:12">
      <c r="A656" s="20" t="s">
        <v>31</v>
      </c>
      <c r="B656" s="21" t="s">
        <v>35</v>
      </c>
      <c r="C656" s="21" t="s">
        <v>15</v>
      </c>
      <c r="D656" s="21">
        <v>2</v>
      </c>
      <c r="E656" s="22">
        <v>35000</v>
      </c>
      <c r="F656" s="22">
        <v>70000</v>
      </c>
      <c r="G656" s="21" t="s">
        <v>40</v>
      </c>
      <c r="H656" s="21" t="s">
        <v>39</v>
      </c>
      <c r="I656" s="21">
        <v>23</v>
      </c>
      <c r="J656" s="21">
        <v>9</v>
      </c>
      <c r="K656" s="21">
        <v>2025</v>
      </c>
      <c r="L656" s="23">
        <v>45923</v>
      </c>
    </row>
    <row r="657" spans="1:12">
      <c r="A657" s="20" t="s">
        <v>10</v>
      </c>
      <c r="B657" s="21" t="s">
        <v>35</v>
      </c>
      <c r="C657" s="21" t="s">
        <v>13</v>
      </c>
      <c r="D657" s="21">
        <v>1</v>
      </c>
      <c r="E657" s="22">
        <v>25000</v>
      </c>
      <c r="F657" s="22">
        <v>25000</v>
      </c>
      <c r="G657" s="21" t="s">
        <v>41</v>
      </c>
      <c r="H657" s="21" t="s">
        <v>39</v>
      </c>
      <c r="I657" s="21">
        <v>20</v>
      </c>
      <c r="J657" s="21">
        <v>9</v>
      </c>
      <c r="K657" s="21">
        <v>2025</v>
      </c>
      <c r="L657" s="23">
        <v>45920</v>
      </c>
    </row>
    <row r="658" spans="1:12">
      <c r="A658" s="20" t="s">
        <v>52</v>
      </c>
      <c r="B658" s="21" t="s">
        <v>35</v>
      </c>
      <c r="C658" s="21" t="s">
        <v>16</v>
      </c>
      <c r="D658" s="21">
        <v>5</v>
      </c>
      <c r="E658" s="22">
        <v>20000</v>
      </c>
      <c r="F658" s="22">
        <v>100000</v>
      </c>
      <c r="G658" s="21" t="s">
        <v>42</v>
      </c>
      <c r="H658" s="21" t="s">
        <v>39</v>
      </c>
      <c r="I658" s="21">
        <v>1</v>
      </c>
      <c r="J658" s="21">
        <v>9</v>
      </c>
      <c r="K658" s="21">
        <v>2025</v>
      </c>
      <c r="L658" s="23">
        <v>45901</v>
      </c>
    </row>
    <row r="659" spans="1:12">
      <c r="A659" s="20" t="s">
        <v>57</v>
      </c>
      <c r="B659" s="21" t="s">
        <v>35</v>
      </c>
      <c r="C659" s="21" t="s">
        <v>12</v>
      </c>
      <c r="D659" s="21">
        <v>1</v>
      </c>
      <c r="E659" s="22">
        <v>30000</v>
      </c>
      <c r="F659" s="22">
        <v>30000</v>
      </c>
      <c r="G659" s="21" t="s">
        <v>43</v>
      </c>
      <c r="H659" s="21" t="s">
        <v>44</v>
      </c>
      <c r="I659" s="21">
        <v>6</v>
      </c>
      <c r="J659" s="21">
        <v>9</v>
      </c>
      <c r="K659" s="21">
        <v>2025</v>
      </c>
      <c r="L659" s="23">
        <v>45906</v>
      </c>
    </row>
    <row r="660" spans="1:12">
      <c r="A660" s="20" t="s">
        <v>32</v>
      </c>
      <c r="B660" s="21" t="s">
        <v>35</v>
      </c>
      <c r="C660" s="21" t="s">
        <v>13</v>
      </c>
      <c r="D660" s="21">
        <v>5</v>
      </c>
      <c r="E660" s="22">
        <v>25000</v>
      </c>
      <c r="F660" s="22">
        <v>125000</v>
      </c>
      <c r="G660" s="21" t="s">
        <v>41</v>
      </c>
      <c r="H660" s="21" t="s">
        <v>39</v>
      </c>
      <c r="I660" s="21">
        <v>28</v>
      </c>
      <c r="J660" s="21">
        <v>9</v>
      </c>
      <c r="K660" s="21">
        <v>2025</v>
      </c>
      <c r="L660" s="23">
        <v>45928</v>
      </c>
    </row>
    <row r="661" spans="1:12">
      <c r="A661" s="20" t="s">
        <v>18</v>
      </c>
      <c r="B661" s="21" t="s">
        <v>35</v>
      </c>
      <c r="C661" s="21" t="s">
        <v>16</v>
      </c>
      <c r="D661" s="21">
        <v>1</v>
      </c>
      <c r="E661" s="22">
        <v>20000</v>
      </c>
      <c r="F661" s="22">
        <v>20000</v>
      </c>
      <c r="G661" s="21" t="s">
        <v>42</v>
      </c>
      <c r="H661" s="21" t="s">
        <v>39</v>
      </c>
      <c r="I661" s="21">
        <v>29</v>
      </c>
      <c r="J661" s="21">
        <v>9</v>
      </c>
      <c r="K661" s="21">
        <v>2025</v>
      </c>
      <c r="L661" s="23">
        <v>45929</v>
      </c>
    </row>
    <row r="662" spans="1:12">
      <c r="A662" s="20" t="s">
        <v>59</v>
      </c>
      <c r="B662" s="21" t="s">
        <v>35</v>
      </c>
      <c r="C662" s="21" t="s">
        <v>12</v>
      </c>
      <c r="D662" s="21">
        <v>1</v>
      </c>
      <c r="E662" s="22">
        <v>28000</v>
      </c>
      <c r="F662" s="22">
        <v>28000</v>
      </c>
      <c r="G662" s="21" t="s">
        <v>43</v>
      </c>
      <c r="H662" s="21" t="s">
        <v>44</v>
      </c>
      <c r="I662" s="21">
        <v>12</v>
      </c>
      <c r="J662" s="21">
        <v>9</v>
      </c>
      <c r="K662" s="21">
        <v>2025</v>
      </c>
      <c r="L662" s="23">
        <v>45912</v>
      </c>
    </row>
    <row r="663" spans="1:12">
      <c r="A663" s="20" t="s">
        <v>17</v>
      </c>
      <c r="B663" s="21" t="s">
        <v>35</v>
      </c>
      <c r="C663" s="21" t="s">
        <v>8</v>
      </c>
      <c r="D663" s="21">
        <v>2</v>
      </c>
      <c r="E663" s="22">
        <v>25000</v>
      </c>
      <c r="F663" s="22">
        <v>50000</v>
      </c>
      <c r="G663" s="21" t="s">
        <v>38</v>
      </c>
      <c r="H663" s="21" t="s">
        <v>39</v>
      </c>
      <c r="I663" s="21">
        <v>14</v>
      </c>
      <c r="J663" s="21">
        <v>9</v>
      </c>
      <c r="K663" s="21">
        <v>2025</v>
      </c>
      <c r="L663" s="23">
        <v>45914</v>
      </c>
    </row>
    <row r="664" spans="1:12">
      <c r="A664" s="20" t="s">
        <v>56</v>
      </c>
      <c r="B664" s="21" t="s">
        <v>35</v>
      </c>
      <c r="C664" s="21" t="s">
        <v>15</v>
      </c>
      <c r="D664" s="21">
        <v>1</v>
      </c>
      <c r="E664" s="22">
        <v>35000</v>
      </c>
      <c r="F664" s="22">
        <v>35000</v>
      </c>
      <c r="G664" s="21" t="s">
        <v>40</v>
      </c>
      <c r="H664" s="21" t="s">
        <v>39</v>
      </c>
      <c r="I664" s="21">
        <v>3</v>
      </c>
      <c r="J664" s="21">
        <v>9</v>
      </c>
      <c r="K664" s="21">
        <v>2025</v>
      </c>
      <c r="L664" s="23">
        <v>45903</v>
      </c>
    </row>
    <row r="665" spans="1:12">
      <c r="A665" s="20" t="s">
        <v>52</v>
      </c>
      <c r="B665" s="21" t="s">
        <v>35</v>
      </c>
      <c r="C665" s="21" t="s">
        <v>13</v>
      </c>
      <c r="D665" s="21">
        <v>3</v>
      </c>
      <c r="E665" s="22">
        <v>25000</v>
      </c>
      <c r="F665" s="22">
        <v>75000</v>
      </c>
      <c r="G665" s="21" t="s">
        <v>41</v>
      </c>
      <c r="H665" s="21" t="s">
        <v>39</v>
      </c>
      <c r="I665" s="21">
        <v>1</v>
      </c>
      <c r="J665" s="21">
        <v>9</v>
      </c>
      <c r="K665" s="21">
        <v>2025</v>
      </c>
      <c r="L665" s="23">
        <v>45901</v>
      </c>
    </row>
    <row r="666" spans="1:12">
      <c r="A666" s="20" t="s">
        <v>54</v>
      </c>
      <c r="B666" s="21" t="s">
        <v>35</v>
      </c>
      <c r="C666" s="21" t="s">
        <v>16</v>
      </c>
      <c r="D666" s="21">
        <v>4</v>
      </c>
      <c r="E666" s="22">
        <v>30000</v>
      </c>
      <c r="F666" s="22">
        <v>120000</v>
      </c>
      <c r="G666" s="21" t="s">
        <v>42</v>
      </c>
      <c r="H666" s="21" t="s">
        <v>39</v>
      </c>
      <c r="I666" s="21">
        <v>8</v>
      </c>
      <c r="J666" s="21">
        <v>9</v>
      </c>
      <c r="K666" s="21">
        <v>2025</v>
      </c>
      <c r="L666" s="23">
        <v>45908</v>
      </c>
    </row>
    <row r="667" spans="1:12">
      <c r="A667" s="20" t="s">
        <v>30</v>
      </c>
      <c r="B667" s="21" t="s">
        <v>35</v>
      </c>
      <c r="C667" s="21" t="s">
        <v>12</v>
      </c>
      <c r="D667" s="21">
        <v>5</v>
      </c>
      <c r="E667" s="22">
        <v>35000</v>
      </c>
      <c r="F667" s="22">
        <v>175000</v>
      </c>
      <c r="G667" s="21" t="s">
        <v>43</v>
      </c>
      <c r="H667" s="21" t="s">
        <v>44</v>
      </c>
      <c r="I667" s="21">
        <v>25</v>
      </c>
      <c r="J667" s="21">
        <v>9</v>
      </c>
      <c r="K667" s="21">
        <v>2025</v>
      </c>
      <c r="L667" s="23">
        <v>45925</v>
      </c>
    </row>
    <row r="668" spans="1:12">
      <c r="A668" s="20" t="s">
        <v>52</v>
      </c>
      <c r="B668" s="21" t="s">
        <v>35</v>
      </c>
      <c r="C668" s="21" t="s">
        <v>8</v>
      </c>
      <c r="D668" s="21">
        <v>3</v>
      </c>
      <c r="E668" s="22">
        <v>28000</v>
      </c>
      <c r="F668" s="22">
        <v>84000</v>
      </c>
      <c r="G668" s="21" t="s">
        <v>38</v>
      </c>
      <c r="H668" s="21" t="s">
        <v>39</v>
      </c>
      <c r="I668" s="21">
        <v>1</v>
      </c>
      <c r="J668" s="21">
        <v>9</v>
      </c>
      <c r="K668" s="21">
        <v>2025</v>
      </c>
      <c r="L668" s="23">
        <v>45901</v>
      </c>
    </row>
    <row r="669" spans="1:12">
      <c r="A669" s="20" t="s">
        <v>26</v>
      </c>
      <c r="B669" s="21" t="s">
        <v>35</v>
      </c>
      <c r="C669" s="21" t="s">
        <v>15</v>
      </c>
      <c r="D669" s="21">
        <v>3</v>
      </c>
      <c r="E669" s="22">
        <v>20000</v>
      </c>
      <c r="F669" s="22">
        <v>60000</v>
      </c>
      <c r="G669" s="21" t="s">
        <v>40</v>
      </c>
      <c r="H669" s="21" t="s">
        <v>39</v>
      </c>
      <c r="I669" s="21">
        <v>21</v>
      </c>
      <c r="J669" s="21">
        <v>9</v>
      </c>
      <c r="K669" s="21">
        <v>2025</v>
      </c>
      <c r="L669" s="23">
        <v>45921</v>
      </c>
    </row>
    <row r="670" spans="1:12">
      <c r="A670" s="20" t="s">
        <v>24</v>
      </c>
      <c r="B670" s="21" t="s">
        <v>35</v>
      </c>
      <c r="C670" s="21" t="s">
        <v>13</v>
      </c>
      <c r="D670" s="21">
        <v>1</v>
      </c>
      <c r="E670" s="22">
        <v>30000</v>
      </c>
      <c r="F670" s="22">
        <v>30000</v>
      </c>
      <c r="G670" s="21" t="s">
        <v>41</v>
      </c>
      <c r="H670" s="21" t="s">
        <v>39</v>
      </c>
      <c r="I670" s="21">
        <v>13</v>
      </c>
      <c r="J670" s="21">
        <v>9</v>
      </c>
      <c r="K670" s="21">
        <v>2025</v>
      </c>
      <c r="L670" s="23">
        <v>45913</v>
      </c>
    </row>
    <row r="671" spans="1:12">
      <c r="A671" s="20" t="s">
        <v>53</v>
      </c>
      <c r="B671" s="21" t="s">
        <v>35</v>
      </c>
      <c r="C671" s="21" t="s">
        <v>16</v>
      </c>
      <c r="D671" s="21">
        <v>5</v>
      </c>
      <c r="E671" s="22">
        <v>28000</v>
      </c>
      <c r="F671" s="22">
        <v>140000</v>
      </c>
      <c r="G671" s="21" t="s">
        <v>42</v>
      </c>
      <c r="H671" s="21" t="s">
        <v>39</v>
      </c>
      <c r="I671" s="21">
        <v>7</v>
      </c>
      <c r="J671" s="21">
        <v>9</v>
      </c>
      <c r="K671" s="21">
        <v>2025</v>
      </c>
      <c r="L671" s="23">
        <v>45907</v>
      </c>
    </row>
    <row r="672" spans="1:12">
      <c r="A672" s="20" t="s">
        <v>10</v>
      </c>
      <c r="B672" s="21" t="s">
        <v>35</v>
      </c>
      <c r="C672" s="21" t="s">
        <v>12</v>
      </c>
      <c r="D672" s="21">
        <v>1</v>
      </c>
      <c r="E672" s="22">
        <v>20000</v>
      </c>
      <c r="F672" s="22">
        <v>20000</v>
      </c>
      <c r="G672" s="21" t="s">
        <v>43</v>
      </c>
      <c r="H672" s="21" t="s">
        <v>44</v>
      </c>
      <c r="I672" s="21">
        <v>20</v>
      </c>
      <c r="J672" s="21">
        <v>9</v>
      </c>
      <c r="K672" s="21">
        <v>2025</v>
      </c>
      <c r="L672" s="23">
        <v>45920</v>
      </c>
    </row>
    <row r="673" spans="1:12">
      <c r="A673" s="20" t="s">
        <v>58</v>
      </c>
      <c r="B673" s="21" t="s">
        <v>35</v>
      </c>
      <c r="C673" s="21" t="s">
        <v>16</v>
      </c>
      <c r="D673" s="21">
        <v>1</v>
      </c>
      <c r="E673" s="22">
        <v>35000</v>
      </c>
      <c r="F673" s="22">
        <v>35000</v>
      </c>
      <c r="G673" s="21" t="s">
        <v>42</v>
      </c>
      <c r="H673" s="21" t="s">
        <v>39</v>
      </c>
      <c r="I673" s="21">
        <v>5</v>
      </c>
      <c r="J673" s="21">
        <v>9</v>
      </c>
      <c r="K673" s="21">
        <v>2025</v>
      </c>
      <c r="L673" s="23">
        <v>45905</v>
      </c>
    </row>
    <row r="674" spans="1:12">
      <c r="A674" s="20" t="s">
        <v>30</v>
      </c>
      <c r="B674" s="21" t="s">
        <v>35</v>
      </c>
      <c r="C674" s="21" t="s">
        <v>12</v>
      </c>
      <c r="D674" s="21">
        <v>4</v>
      </c>
      <c r="E674" s="22">
        <v>28000</v>
      </c>
      <c r="F674" s="22">
        <v>112000</v>
      </c>
      <c r="G674" s="21" t="s">
        <v>43</v>
      </c>
      <c r="H674" s="21" t="s">
        <v>44</v>
      </c>
      <c r="I674" s="21">
        <v>25</v>
      </c>
      <c r="J674" s="21">
        <v>9</v>
      </c>
      <c r="K674" s="21">
        <v>2025</v>
      </c>
      <c r="L674" s="23">
        <v>45925</v>
      </c>
    </row>
    <row r="675" spans="1:12">
      <c r="A675" s="20" t="s">
        <v>54</v>
      </c>
      <c r="B675" s="21" t="s">
        <v>35</v>
      </c>
      <c r="C675" s="21" t="s">
        <v>8</v>
      </c>
      <c r="D675" s="21">
        <v>5</v>
      </c>
      <c r="E675" s="22">
        <v>25000</v>
      </c>
      <c r="F675" s="22">
        <v>125000</v>
      </c>
      <c r="G675" s="21" t="s">
        <v>38</v>
      </c>
      <c r="H675" s="21" t="s">
        <v>39</v>
      </c>
      <c r="I675" s="21">
        <v>8</v>
      </c>
      <c r="J675" s="21">
        <v>9</v>
      </c>
      <c r="K675" s="21">
        <v>2025</v>
      </c>
      <c r="L675" s="23">
        <v>45908</v>
      </c>
    </row>
    <row r="676" spans="1:12">
      <c r="A676" s="20" t="s">
        <v>18</v>
      </c>
      <c r="B676" s="21" t="s">
        <v>35</v>
      </c>
      <c r="C676" s="21" t="s">
        <v>15</v>
      </c>
      <c r="D676" s="21">
        <v>1</v>
      </c>
      <c r="E676" s="22">
        <v>25000</v>
      </c>
      <c r="F676" s="22">
        <v>25000</v>
      </c>
      <c r="G676" s="21" t="s">
        <v>40</v>
      </c>
      <c r="H676" s="21" t="s">
        <v>39</v>
      </c>
      <c r="I676" s="21">
        <v>29</v>
      </c>
      <c r="J676" s="21">
        <v>9</v>
      </c>
      <c r="K676" s="21">
        <v>2025</v>
      </c>
      <c r="L676" s="23">
        <v>45929</v>
      </c>
    </row>
    <row r="677" spans="1:12">
      <c r="A677" s="20" t="s">
        <v>20</v>
      </c>
      <c r="B677" s="21" t="s">
        <v>35</v>
      </c>
      <c r="C677" s="21" t="s">
        <v>13</v>
      </c>
      <c r="D677" s="21">
        <v>3</v>
      </c>
      <c r="E677" s="22">
        <v>35000</v>
      </c>
      <c r="F677" s="22">
        <v>105000</v>
      </c>
      <c r="G677" s="21" t="s">
        <v>41</v>
      </c>
      <c r="H677" s="21" t="s">
        <v>39</v>
      </c>
      <c r="I677" s="21">
        <v>26</v>
      </c>
      <c r="J677" s="21">
        <v>9</v>
      </c>
      <c r="K677" s="21">
        <v>2025</v>
      </c>
      <c r="L677" s="23">
        <v>45926</v>
      </c>
    </row>
    <row r="678" spans="1:12">
      <c r="A678" s="20" t="s">
        <v>57</v>
      </c>
      <c r="B678" s="21" t="s">
        <v>35</v>
      </c>
      <c r="C678" s="21" t="s">
        <v>16</v>
      </c>
      <c r="D678" s="21">
        <v>1</v>
      </c>
      <c r="E678" s="22">
        <v>25000</v>
      </c>
      <c r="F678" s="22">
        <v>25000</v>
      </c>
      <c r="G678" s="21" t="s">
        <v>42</v>
      </c>
      <c r="H678" s="21" t="s">
        <v>39</v>
      </c>
      <c r="I678" s="21">
        <v>6</v>
      </c>
      <c r="J678" s="21">
        <v>9</v>
      </c>
      <c r="K678" s="21">
        <v>2025</v>
      </c>
      <c r="L678" s="23">
        <v>45906</v>
      </c>
    </row>
    <row r="679" spans="1:12">
      <c r="A679" s="20" t="s">
        <v>57</v>
      </c>
      <c r="B679" s="21" t="s">
        <v>35</v>
      </c>
      <c r="C679" s="21" t="s">
        <v>12</v>
      </c>
      <c r="D679" s="21">
        <v>3</v>
      </c>
      <c r="E679" s="22">
        <v>28000</v>
      </c>
      <c r="F679" s="22">
        <v>84000</v>
      </c>
      <c r="G679" s="21" t="s">
        <v>43</v>
      </c>
      <c r="H679" s="21" t="s">
        <v>44</v>
      </c>
      <c r="I679" s="21">
        <v>6</v>
      </c>
      <c r="J679" s="21">
        <v>9</v>
      </c>
      <c r="K679" s="21">
        <v>2025</v>
      </c>
      <c r="L679" s="23">
        <v>45906</v>
      </c>
    </row>
    <row r="680" spans="1:12">
      <c r="A680" s="20" t="s">
        <v>22</v>
      </c>
      <c r="B680" s="21" t="s">
        <v>35</v>
      </c>
      <c r="C680" s="21" t="s">
        <v>13</v>
      </c>
      <c r="D680" s="21">
        <v>4</v>
      </c>
      <c r="E680" s="22">
        <v>20000</v>
      </c>
      <c r="F680" s="22">
        <v>80000</v>
      </c>
      <c r="G680" s="21" t="s">
        <v>41</v>
      </c>
      <c r="H680" s="21" t="s">
        <v>39</v>
      </c>
      <c r="I680" s="21">
        <v>16</v>
      </c>
      <c r="J680" s="21">
        <v>9</v>
      </c>
      <c r="K680" s="21">
        <v>2025</v>
      </c>
      <c r="L680" s="23">
        <v>45916</v>
      </c>
    </row>
    <row r="681" spans="1:12">
      <c r="A681" s="20" t="s">
        <v>20</v>
      </c>
      <c r="B681" s="21" t="s">
        <v>35</v>
      </c>
      <c r="C681" s="21" t="s">
        <v>16</v>
      </c>
      <c r="D681" s="21">
        <v>2</v>
      </c>
      <c r="E681" s="22">
        <v>20000</v>
      </c>
      <c r="F681" s="22">
        <v>40000</v>
      </c>
      <c r="G681" s="21" t="s">
        <v>42</v>
      </c>
      <c r="H681" s="21" t="s">
        <v>39</v>
      </c>
      <c r="I681" s="21">
        <v>26</v>
      </c>
      <c r="J681" s="21">
        <v>9</v>
      </c>
      <c r="K681" s="21">
        <v>2025</v>
      </c>
      <c r="L681" s="23">
        <v>45926</v>
      </c>
    </row>
    <row r="682" spans="1:12">
      <c r="A682" s="20" t="s">
        <v>32</v>
      </c>
      <c r="B682" s="21" t="s">
        <v>35</v>
      </c>
      <c r="C682" s="21" t="s">
        <v>12</v>
      </c>
      <c r="D682" s="21">
        <v>3</v>
      </c>
      <c r="E682" s="22">
        <v>25000</v>
      </c>
      <c r="F682" s="22">
        <v>75000</v>
      </c>
      <c r="G682" s="21" t="s">
        <v>43</v>
      </c>
      <c r="H682" s="21" t="s">
        <v>44</v>
      </c>
      <c r="I682" s="21">
        <v>28</v>
      </c>
      <c r="J682" s="21">
        <v>9</v>
      </c>
      <c r="K682" s="21">
        <v>2025</v>
      </c>
      <c r="L682" s="23">
        <v>45928</v>
      </c>
    </row>
    <row r="683" spans="1:12">
      <c r="A683" s="20" t="s">
        <v>19</v>
      </c>
      <c r="B683" s="21" t="s">
        <v>35</v>
      </c>
      <c r="C683" s="21" t="s">
        <v>8</v>
      </c>
      <c r="D683" s="21">
        <v>2</v>
      </c>
      <c r="E683" s="22">
        <v>35000</v>
      </c>
      <c r="F683" s="22">
        <v>70000</v>
      </c>
      <c r="G683" s="21" t="s">
        <v>38</v>
      </c>
      <c r="H683" s="21" t="s">
        <v>39</v>
      </c>
      <c r="I683" s="21">
        <v>27</v>
      </c>
      <c r="J683" s="21">
        <v>9</v>
      </c>
      <c r="K683" s="21">
        <v>2025</v>
      </c>
      <c r="L683" s="23">
        <v>45927</v>
      </c>
    </row>
    <row r="684" spans="1:12">
      <c r="A684" s="20" t="s">
        <v>28</v>
      </c>
      <c r="B684" s="21" t="s">
        <v>35</v>
      </c>
      <c r="C684" s="21" t="s">
        <v>15</v>
      </c>
      <c r="D684" s="21">
        <v>1</v>
      </c>
      <c r="E684" s="22">
        <v>28000</v>
      </c>
      <c r="F684" s="22">
        <v>28000</v>
      </c>
      <c r="G684" s="21" t="s">
        <v>40</v>
      </c>
      <c r="H684" s="21" t="s">
        <v>39</v>
      </c>
      <c r="I684" s="21">
        <v>30</v>
      </c>
      <c r="J684" s="21">
        <v>9</v>
      </c>
      <c r="K684" s="21">
        <v>2025</v>
      </c>
      <c r="L684" s="23">
        <v>45930</v>
      </c>
    </row>
    <row r="685" spans="1:12">
      <c r="A685" s="20" t="s">
        <v>6</v>
      </c>
      <c r="B685" s="21" t="s">
        <v>35</v>
      </c>
      <c r="C685" s="21" t="s">
        <v>13</v>
      </c>
      <c r="D685" s="21">
        <v>1</v>
      </c>
      <c r="E685" s="22">
        <v>35000</v>
      </c>
      <c r="F685" s="22">
        <v>35000</v>
      </c>
      <c r="G685" s="21" t="s">
        <v>41</v>
      </c>
      <c r="H685" s="21" t="s">
        <v>39</v>
      </c>
      <c r="I685" s="21">
        <v>17</v>
      </c>
      <c r="J685" s="21">
        <v>9</v>
      </c>
      <c r="K685" s="21">
        <v>2025</v>
      </c>
      <c r="L685" s="23">
        <v>45917</v>
      </c>
    </row>
    <row r="686" spans="1:12">
      <c r="A686" s="20" t="s">
        <v>32</v>
      </c>
      <c r="B686" s="21" t="s">
        <v>35</v>
      </c>
      <c r="C686" s="21" t="s">
        <v>16</v>
      </c>
      <c r="D686" s="21">
        <v>3</v>
      </c>
      <c r="E686" s="22">
        <v>35000</v>
      </c>
      <c r="F686" s="22">
        <v>105000</v>
      </c>
      <c r="G686" s="21" t="s">
        <v>42</v>
      </c>
      <c r="H686" s="21" t="s">
        <v>39</v>
      </c>
      <c r="I686" s="21">
        <v>28</v>
      </c>
      <c r="J686" s="21">
        <v>9</v>
      </c>
      <c r="K686" s="21">
        <v>2025</v>
      </c>
      <c r="L686" s="23">
        <v>45928</v>
      </c>
    </row>
    <row r="687" spans="1:12">
      <c r="A687" s="20" t="s">
        <v>10</v>
      </c>
      <c r="B687" s="21" t="s">
        <v>35</v>
      </c>
      <c r="C687" s="21" t="s">
        <v>12</v>
      </c>
      <c r="D687" s="21">
        <v>1</v>
      </c>
      <c r="E687" s="22">
        <v>25000</v>
      </c>
      <c r="F687" s="22">
        <v>25000</v>
      </c>
      <c r="G687" s="21" t="s">
        <v>43</v>
      </c>
      <c r="H687" s="21" t="s">
        <v>44</v>
      </c>
      <c r="I687" s="21">
        <v>20</v>
      </c>
      <c r="J687" s="21">
        <v>9</v>
      </c>
      <c r="K687" s="21">
        <v>2025</v>
      </c>
      <c r="L687" s="23">
        <v>45920</v>
      </c>
    </row>
    <row r="688" spans="1:12">
      <c r="A688" s="20" t="s">
        <v>21</v>
      </c>
      <c r="B688" s="21" t="s">
        <v>35</v>
      </c>
      <c r="C688" s="21" t="s">
        <v>8</v>
      </c>
      <c r="D688" s="21">
        <v>4</v>
      </c>
      <c r="E688" s="22">
        <v>20000</v>
      </c>
      <c r="F688" s="22">
        <v>80000</v>
      </c>
      <c r="G688" s="21" t="s">
        <v>38</v>
      </c>
      <c r="H688" s="21" t="s">
        <v>39</v>
      </c>
      <c r="I688" s="21">
        <v>19</v>
      </c>
      <c r="J688" s="21">
        <v>9</v>
      </c>
      <c r="K688" s="21">
        <v>2025</v>
      </c>
      <c r="L688" s="23">
        <v>45919</v>
      </c>
    </row>
    <row r="689" spans="1:12">
      <c r="A689" s="20" t="s">
        <v>30</v>
      </c>
      <c r="B689" s="21" t="s">
        <v>35</v>
      </c>
      <c r="C689" s="21" t="s">
        <v>15</v>
      </c>
      <c r="D689" s="21">
        <v>1</v>
      </c>
      <c r="E689" s="22">
        <v>20000</v>
      </c>
      <c r="F689" s="22">
        <v>20000</v>
      </c>
      <c r="G689" s="21" t="s">
        <v>40</v>
      </c>
      <c r="H689" s="21" t="s">
        <v>39</v>
      </c>
      <c r="I689" s="21">
        <v>25</v>
      </c>
      <c r="J689" s="21">
        <v>9</v>
      </c>
      <c r="K689" s="21">
        <v>2025</v>
      </c>
      <c r="L689" s="23">
        <v>45925</v>
      </c>
    </row>
    <row r="690" spans="1:12">
      <c r="A690" s="20" t="s">
        <v>59</v>
      </c>
      <c r="B690" s="21" t="s">
        <v>35</v>
      </c>
      <c r="C690" s="21" t="s">
        <v>13</v>
      </c>
      <c r="D690" s="21">
        <v>3</v>
      </c>
      <c r="E690" s="22">
        <v>30000</v>
      </c>
      <c r="F690" s="22">
        <v>90000</v>
      </c>
      <c r="G690" s="21" t="s">
        <v>41</v>
      </c>
      <c r="H690" s="21" t="s">
        <v>39</v>
      </c>
      <c r="I690" s="21">
        <v>12</v>
      </c>
      <c r="J690" s="21">
        <v>9</v>
      </c>
      <c r="K690" s="21">
        <v>2025</v>
      </c>
      <c r="L690" s="23">
        <v>45912</v>
      </c>
    </row>
    <row r="691" spans="1:12">
      <c r="A691" s="20" t="s">
        <v>27</v>
      </c>
      <c r="B691" s="21" t="s">
        <v>35</v>
      </c>
      <c r="C691" s="21" t="s">
        <v>16</v>
      </c>
      <c r="D691" s="21">
        <v>4</v>
      </c>
      <c r="E691" s="22">
        <v>20000</v>
      </c>
      <c r="F691" s="22">
        <v>80000</v>
      </c>
      <c r="G691" s="21" t="s">
        <v>42</v>
      </c>
      <c r="H691" s="21" t="s">
        <v>39</v>
      </c>
      <c r="I691" s="21">
        <v>15</v>
      </c>
      <c r="J691" s="21">
        <v>9</v>
      </c>
      <c r="K691" s="21">
        <v>2025</v>
      </c>
      <c r="L691" s="23">
        <v>45915</v>
      </c>
    </row>
    <row r="692" spans="1:12">
      <c r="A692" s="20" t="s">
        <v>50</v>
      </c>
      <c r="B692" s="21" t="s">
        <v>35</v>
      </c>
      <c r="C692" s="21" t="s">
        <v>12</v>
      </c>
      <c r="D692" s="21">
        <v>2</v>
      </c>
      <c r="E692" s="22">
        <v>30000</v>
      </c>
      <c r="F692" s="22">
        <v>60000</v>
      </c>
      <c r="G692" s="21" t="s">
        <v>43</v>
      </c>
      <c r="H692" s="21" t="s">
        <v>44</v>
      </c>
      <c r="I692" s="21">
        <v>11</v>
      </c>
      <c r="J692" s="21">
        <v>9</v>
      </c>
      <c r="K692" s="21">
        <v>2025</v>
      </c>
      <c r="L692" s="23">
        <v>45911</v>
      </c>
    </row>
    <row r="693" spans="1:12">
      <c r="A693" s="20" t="s">
        <v>17</v>
      </c>
      <c r="B693" s="21" t="s">
        <v>35</v>
      </c>
      <c r="C693" s="21" t="s">
        <v>8</v>
      </c>
      <c r="D693" s="21">
        <v>3</v>
      </c>
      <c r="E693" s="22">
        <v>25000</v>
      </c>
      <c r="F693" s="22">
        <v>75000</v>
      </c>
      <c r="G693" s="21" t="s">
        <v>38</v>
      </c>
      <c r="H693" s="21" t="s">
        <v>39</v>
      </c>
      <c r="I693" s="21">
        <v>14</v>
      </c>
      <c r="J693" s="21">
        <v>9</v>
      </c>
      <c r="K693" s="21">
        <v>2025</v>
      </c>
      <c r="L693" s="23">
        <v>45914</v>
      </c>
    </row>
    <row r="694" spans="1:12">
      <c r="A694" s="20" t="s">
        <v>53</v>
      </c>
      <c r="B694" s="21" t="s">
        <v>35</v>
      </c>
      <c r="C694" s="21" t="s">
        <v>15</v>
      </c>
      <c r="D694" s="21">
        <v>5</v>
      </c>
      <c r="E694" s="22">
        <v>35000</v>
      </c>
      <c r="F694" s="22">
        <v>175000</v>
      </c>
      <c r="G694" s="21" t="s">
        <v>40</v>
      </c>
      <c r="H694" s="21" t="s">
        <v>39</v>
      </c>
      <c r="I694" s="21">
        <v>7</v>
      </c>
      <c r="J694" s="21">
        <v>9</v>
      </c>
      <c r="K694" s="21">
        <v>2025</v>
      </c>
      <c r="L694" s="23">
        <v>45907</v>
      </c>
    </row>
    <row r="695" spans="1:12">
      <c r="A695" s="20" t="s">
        <v>52</v>
      </c>
      <c r="B695" s="21" t="s">
        <v>35</v>
      </c>
      <c r="C695" s="21" t="s">
        <v>13</v>
      </c>
      <c r="D695" s="21">
        <v>2</v>
      </c>
      <c r="E695" s="22">
        <v>25000</v>
      </c>
      <c r="F695" s="22">
        <v>50000</v>
      </c>
      <c r="G695" s="21" t="s">
        <v>41</v>
      </c>
      <c r="H695" s="21" t="s">
        <v>39</v>
      </c>
      <c r="I695" s="21">
        <v>1</v>
      </c>
      <c r="J695" s="21">
        <v>9</v>
      </c>
      <c r="K695" s="21">
        <v>2025</v>
      </c>
      <c r="L695" s="23">
        <v>45901</v>
      </c>
    </row>
    <row r="696" spans="1:12">
      <c r="A696" s="20" t="s">
        <v>17</v>
      </c>
      <c r="B696" s="21" t="s">
        <v>35</v>
      </c>
      <c r="C696" s="21" t="s">
        <v>16</v>
      </c>
      <c r="D696" s="21">
        <v>4</v>
      </c>
      <c r="E696" s="22">
        <v>30000</v>
      </c>
      <c r="F696" s="22">
        <v>120000</v>
      </c>
      <c r="G696" s="21" t="s">
        <v>42</v>
      </c>
      <c r="H696" s="21" t="s">
        <v>39</v>
      </c>
      <c r="I696" s="21">
        <v>14</v>
      </c>
      <c r="J696" s="21">
        <v>9</v>
      </c>
      <c r="K696" s="21">
        <v>2025</v>
      </c>
      <c r="L696" s="23">
        <v>45914</v>
      </c>
    </row>
    <row r="697" spans="1:12">
      <c r="A697" s="20" t="s">
        <v>23</v>
      </c>
      <c r="B697" s="21" t="s">
        <v>35</v>
      </c>
      <c r="C697" s="21" t="s">
        <v>12</v>
      </c>
      <c r="D697" s="21">
        <v>1</v>
      </c>
      <c r="E697" s="22">
        <v>30000</v>
      </c>
      <c r="F697" s="22">
        <v>30000</v>
      </c>
      <c r="G697" s="21" t="s">
        <v>43</v>
      </c>
      <c r="H697" s="21" t="s">
        <v>44</v>
      </c>
      <c r="I697" s="21">
        <v>24</v>
      </c>
      <c r="J697" s="21">
        <v>9</v>
      </c>
      <c r="K697" s="21">
        <v>2025</v>
      </c>
      <c r="L697" s="23">
        <v>45924</v>
      </c>
    </row>
    <row r="698" spans="1:12">
      <c r="A698" s="20" t="s">
        <v>21</v>
      </c>
      <c r="B698" s="21" t="s">
        <v>35</v>
      </c>
      <c r="C698" s="21" t="s">
        <v>8</v>
      </c>
      <c r="D698" s="21">
        <v>1</v>
      </c>
      <c r="E698" s="22">
        <v>20000</v>
      </c>
      <c r="F698" s="22">
        <v>20000</v>
      </c>
      <c r="G698" s="21" t="s">
        <v>38</v>
      </c>
      <c r="H698" s="21" t="s">
        <v>39</v>
      </c>
      <c r="I698" s="21">
        <v>19</v>
      </c>
      <c r="J698" s="21">
        <v>9</v>
      </c>
      <c r="K698" s="21">
        <v>2025</v>
      </c>
      <c r="L698" s="23">
        <v>45919</v>
      </c>
    </row>
    <row r="699" spans="1:12">
      <c r="A699" s="20" t="s">
        <v>29</v>
      </c>
      <c r="B699" s="21" t="s">
        <v>35</v>
      </c>
      <c r="C699" s="21" t="s">
        <v>15</v>
      </c>
      <c r="D699" s="21">
        <v>1</v>
      </c>
      <c r="E699" s="22">
        <v>20000</v>
      </c>
      <c r="F699" s="22">
        <v>20000</v>
      </c>
      <c r="G699" s="21" t="s">
        <v>40</v>
      </c>
      <c r="H699" s="21" t="s">
        <v>39</v>
      </c>
      <c r="I699" s="21">
        <v>22</v>
      </c>
      <c r="J699" s="21">
        <v>9</v>
      </c>
      <c r="K699" s="21">
        <v>2025</v>
      </c>
      <c r="L699" s="23">
        <v>45922</v>
      </c>
    </row>
    <row r="700" spans="1:12">
      <c r="A700" s="20" t="s">
        <v>53</v>
      </c>
      <c r="B700" s="21" t="s">
        <v>35</v>
      </c>
      <c r="C700" s="21" t="s">
        <v>13</v>
      </c>
      <c r="D700" s="21">
        <v>5</v>
      </c>
      <c r="E700" s="22">
        <v>35000</v>
      </c>
      <c r="F700" s="22">
        <v>175000</v>
      </c>
      <c r="G700" s="21" t="s">
        <v>41</v>
      </c>
      <c r="H700" s="21" t="s">
        <v>39</v>
      </c>
      <c r="I700" s="21">
        <v>7</v>
      </c>
      <c r="J700" s="21">
        <v>9</v>
      </c>
      <c r="K700" s="21">
        <v>2025</v>
      </c>
      <c r="L700" s="23">
        <v>45907</v>
      </c>
    </row>
    <row r="701" spans="1:12">
      <c r="A701" s="20" t="s">
        <v>17</v>
      </c>
      <c r="B701" s="21" t="s">
        <v>35</v>
      </c>
      <c r="C701" s="21" t="s">
        <v>16</v>
      </c>
      <c r="D701" s="21">
        <v>1</v>
      </c>
      <c r="E701" s="22">
        <v>25000</v>
      </c>
      <c r="F701" s="22">
        <v>25000</v>
      </c>
      <c r="G701" s="21" t="s">
        <v>42</v>
      </c>
      <c r="H701" s="21" t="s">
        <v>39</v>
      </c>
      <c r="I701" s="21">
        <v>14</v>
      </c>
      <c r="J701" s="21">
        <v>9</v>
      </c>
      <c r="K701" s="21">
        <v>2025</v>
      </c>
      <c r="L701" s="23">
        <v>45914</v>
      </c>
    </row>
    <row r="702" spans="1:12">
      <c r="A702" s="20" t="s">
        <v>26</v>
      </c>
      <c r="B702" s="21" t="s">
        <v>35</v>
      </c>
      <c r="C702" s="21" t="s">
        <v>12</v>
      </c>
      <c r="D702" s="21">
        <v>2</v>
      </c>
      <c r="E702" s="22">
        <v>30000</v>
      </c>
      <c r="F702" s="22">
        <v>60000</v>
      </c>
      <c r="G702" s="21" t="s">
        <v>43</v>
      </c>
      <c r="H702" s="21" t="s">
        <v>44</v>
      </c>
      <c r="I702" s="21">
        <v>21</v>
      </c>
      <c r="J702" s="21">
        <v>9</v>
      </c>
      <c r="K702" s="21">
        <v>2025</v>
      </c>
      <c r="L702" s="23">
        <v>45921</v>
      </c>
    </row>
    <row r="703" spans="1:12">
      <c r="A703" s="20" t="s">
        <v>60</v>
      </c>
      <c r="B703" s="21" t="s">
        <v>35</v>
      </c>
      <c r="C703" s="21" t="s">
        <v>8</v>
      </c>
      <c r="D703" s="21">
        <v>1</v>
      </c>
      <c r="E703" s="22">
        <v>35000</v>
      </c>
      <c r="F703" s="22">
        <v>35000</v>
      </c>
      <c r="G703" s="21" t="s">
        <v>38</v>
      </c>
      <c r="H703" s="21" t="s">
        <v>39</v>
      </c>
      <c r="I703" s="21">
        <v>4</v>
      </c>
      <c r="J703" s="21">
        <v>9</v>
      </c>
      <c r="K703" s="21">
        <v>2025</v>
      </c>
      <c r="L703" s="23">
        <v>45904</v>
      </c>
    </row>
    <row r="704" spans="1:12">
      <c r="A704" s="20" t="s">
        <v>31</v>
      </c>
      <c r="B704" s="21" t="s">
        <v>35</v>
      </c>
      <c r="C704" s="21" t="s">
        <v>15</v>
      </c>
      <c r="D704" s="21">
        <v>2</v>
      </c>
      <c r="E704" s="22">
        <v>28000</v>
      </c>
      <c r="F704" s="22">
        <v>56000</v>
      </c>
      <c r="G704" s="21" t="s">
        <v>40</v>
      </c>
      <c r="H704" s="21" t="s">
        <v>39</v>
      </c>
      <c r="I704" s="21">
        <v>23</v>
      </c>
      <c r="J704" s="21">
        <v>9</v>
      </c>
      <c r="K704" s="21">
        <v>2025</v>
      </c>
      <c r="L704" s="23">
        <v>45923</v>
      </c>
    </row>
    <row r="705" spans="1:12">
      <c r="A705" s="20" t="s">
        <v>30</v>
      </c>
      <c r="B705" s="21" t="s">
        <v>35</v>
      </c>
      <c r="C705" s="21" t="s">
        <v>13</v>
      </c>
      <c r="D705" s="21">
        <v>3</v>
      </c>
      <c r="E705" s="22">
        <v>20000</v>
      </c>
      <c r="F705" s="22">
        <v>60000</v>
      </c>
      <c r="G705" s="21" t="s">
        <v>41</v>
      </c>
      <c r="H705" s="21" t="s">
        <v>39</v>
      </c>
      <c r="I705" s="21">
        <v>25</v>
      </c>
      <c r="J705" s="21">
        <v>9</v>
      </c>
      <c r="K705" s="21">
        <v>2025</v>
      </c>
      <c r="L705" s="23">
        <v>45925</v>
      </c>
    </row>
    <row r="706" spans="1:12">
      <c r="A706" s="20" t="s">
        <v>18</v>
      </c>
      <c r="B706" s="21" t="s">
        <v>35</v>
      </c>
      <c r="C706" s="21" t="s">
        <v>16</v>
      </c>
      <c r="D706" s="21">
        <v>1</v>
      </c>
      <c r="E706" s="22">
        <v>30000</v>
      </c>
      <c r="F706" s="22">
        <v>30000</v>
      </c>
      <c r="G706" s="21" t="s">
        <v>42</v>
      </c>
      <c r="H706" s="21" t="s">
        <v>39</v>
      </c>
      <c r="I706" s="21">
        <v>29</v>
      </c>
      <c r="J706" s="21">
        <v>9</v>
      </c>
      <c r="K706" s="21">
        <v>2025</v>
      </c>
      <c r="L706" s="23">
        <v>45929</v>
      </c>
    </row>
    <row r="707" spans="1:12">
      <c r="A707" s="20" t="s">
        <v>59</v>
      </c>
      <c r="B707" s="21" t="s">
        <v>35</v>
      </c>
      <c r="C707" s="21" t="s">
        <v>12</v>
      </c>
      <c r="D707" s="21">
        <v>1</v>
      </c>
      <c r="E707" s="22">
        <v>25000</v>
      </c>
      <c r="F707" s="22">
        <v>25000</v>
      </c>
      <c r="G707" s="21" t="s">
        <v>43</v>
      </c>
      <c r="H707" s="21" t="s">
        <v>44</v>
      </c>
      <c r="I707" s="21">
        <v>12</v>
      </c>
      <c r="J707" s="21">
        <v>9</v>
      </c>
      <c r="K707" s="21">
        <v>2025</v>
      </c>
      <c r="L707" s="23">
        <v>45912</v>
      </c>
    </row>
    <row r="708" spans="1:12">
      <c r="A708" s="20" t="s">
        <v>17</v>
      </c>
      <c r="B708" s="21" t="s">
        <v>35</v>
      </c>
      <c r="C708" s="21" t="s">
        <v>8</v>
      </c>
      <c r="D708" s="21">
        <v>3</v>
      </c>
      <c r="E708" s="22">
        <v>30000</v>
      </c>
      <c r="F708" s="22">
        <v>90000</v>
      </c>
      <c r="G708" s="21" t="s">
        <v>38</v>
      </c>
      <c r="H708" s="21" t="s">
        <v>39</v>
      </c>
      <c r="I708" s="21">
        <v>14</v>
      </c>
      <c r="J708" s="21">
        <v>9</v>
      </c>
      <c r="K708" s="21">
        <v>2025</v>
      </c>
      <c r="L708" s="23">
        <v>45914</v>
      </c>
    </row>
    <row r="709" spans="1:12">
      <c r="A709" s="20" t="s">
        <v>28</v>
      </c>
      <c r="B709" s="21" t="s">
        <v>35</v>
      </c>
      <c r="C709" s="21" t="s">
        <v>15</v>
      </c>
      <c r="D709" s="21">
        <v>2</v>
      </c>
      <c r="E709" s="22">
        <v>25000</v>
      </c>
      <c r="F709" s="22">
        <v>50000</v>
      </c>
      <c r="G709" s="21" t="s">
        <v>40</v>
      </c>
      <c r="H709" s="21" t="s">
        <v>39</v>
      </c>
      <c r="I709" s="21">
        <v>30</v>
      </c>
      <c r="J709" s="21">
        <v>9</v>
      </c>
      <c r="K709" s="21">
        <v>2025</v>
      </c>
      <c r="L709" s="23">
        <v>45930</v>
      </c>
    </row>
    <row r="710" spans="1:12">
      <c r="A710" s="20" t="s">
        <v>26</v>
      </c>
      <c r="B710" s="21" t="s">
        <v>35</v>
      </c>
      <c r="C710" s="21" t="s">
        <v>13</v>
      </c>
      <c r="D710" s="21">
        <v>1</v>
      </c>
      <c r="E710" s="22">
        <v>25000</v>
      </c>
      <c r="F710" s="22">
        <v>25000</v>
      </c>
      <c r="G710" s="21" t="s">
        <v>41</v>
      </c>
      <c r="H710" s="21" t="s">
        <v>39</v>
      </c>
      <c r="I710" s="21">
        <v>21</v>
      </c>
      <c r="J710" s="21">
        <v>9</v>
      </c>
      <c r="K710" s="21">
        <v>2025</v>
      </c>
      <c r="L710" s="23">
        <v>45921</v>
      </c>
    </row>
    <row r="711" spans="1:12">
      <c r="A711" s="20" t="s">
        <v>53</v>
      </c>
      <c r="B711" s="21" t="s">
        <v>35</v>
      </c>
      <c r="C711" s="21" t="s">
        <v>16</v>
      </c>
      <c r="D711" s="21">
        <v>2</v>
      </c>
      <c r="E711" s="22">
        <v>30000</v>
      </c>
      <c r="F711" s="22">
        <v>60000</v>
      </c>
      <c r="G711" s="21" t="s">
        <v>42</v>
      </c>
      <c r="H711" s="21" t="s">
        <v>39</v>
      </c>
      <c r="I711" s="21">
        <v>7</v>
      </c>
      <c r="J711" s="21">
        <v>9</v>
      </c>
      <c r="K711" s="21">
        <v>2025</v>
      </c>
      <c r="L711" s="23">
        <v>45907</v>
      </c>
    </row>
    <row r="712" spans="1:12">
      <c r="A712" s="20" t="s">
        <v>53</v>
      </c>
      <c r="B712" s="21" t="s">
        <v>35</v>
      </c>
      <c r="C712" s="21" t="s">
        <v>12</v>
      </c>
      <c r="D712" s="21">
        <v>5</v>
      </c>
      <c r="E712" s="22">
        <v>28000</v>
      </c>
      <c r="F712" s="22">
        <v>140000</v>
      </c>
      <c r="G712" s="21" t="s">
        <v>43</v>
      </c>
      <c r="H712" s="21" t="s">
        <v>44</v>
      </c>
      <c r="I712" s="21">
        <v>7</v>
      </c>
      <c r="J712" s="21">
        <v>9</v>
      </c>
      <c r="K712" s="21">
        <v>2025</v>
      </c>
      <c r="L712" s="23">
        <v>45907</v>
      </c>
    </row>
    <row r="713" spans="1:12">
      <c r="A713" s="20" t="s">
        <v>61</v>
      </c>
      <c r="B713" s="21" t="s">
        <v>35</v>
      </c>
      <c r="C713" s="21" t="s">
        <v>13</v>
      </c>
      <c r="D713" s="21">
        <v>4</v>
      </c>
      <c r="E713" s="22">
        <v>25000</v>
      </c>
      <c r="F713" s="22">
        <v>100000</v>
      </c>
      <c r="G713" s="21" t="s">
        <v>41</v>
      </c>
      <c r="H713" s="21" t="s">
        <v>39</v>
      </c>
      <c r="I713" s="21">
        <v>9</v>
      </c>
      <c r="J713" s="21">
        <v>9</v>
      </c>
      <c r="K713" s="21">
        <v>2025</v>
      </c>
      <c r="L713" s="23">
        <v>45909</v>
      </c>
    </row>
    <row r="714" spans="1:12">
      <c r="A714" s="20" t="s">
        <v>6</v>
      </c>
      <c r="B714" s="21" t="s">
        <v>35</v>
      </c>
      <c r="C714" s="21" t="s">
        <v>16</v>
      </c>
      <c r="D714" s="21">
        <v>1</v>
      </c>
      <c r="E714" s="22">
        <v>30000</v>
      </c>
      <c r="F714" s="22">
        <v>30000</v>
      </c>
      <c r="G714" s="21" t="s">
        <v>42</v>
      </c>
      <c r="H714" s="21" t="s">
        <v>39</v>
      </c>
      <c r="I714" s="21">
        <v>17</v>
      </c>
      <c r="J714" s="21">
        <v>9</v>
      </c>
      <c r="K714" s="21">
        <v>2025</v>
      </c>
      <c r="L714" s="23">
        <v>45917</v>
      </c>
    </row>
    <row r="715" spans="1:12">
      <c r="A715" s="20" t="s">
        <v>26</v>
      </c>
      <c r="B715" s="21" t="s">
        <v>35</v>
      </c>
      <c r="C715" s="21" t="s">
        <v>12</v>
      </c>
      <c r="D715" s="21">
        <v>5</v>
      </c>
      <c r="E715" s="22">
        <v>20000</v>
      </c>
      <c r="F715" s="22">
        <v>100000</v>
      </c>
      <c r="G715" s="21" t="s">
        <v>43</v>
      </c>
      <c r="H715" s="21" t="s">
        <v>44</v>
      </c>
      <c r="I715" s="21">
        <v>21</v>
      </c>
      <c r="J715" s="21">
        <v>9</v>
      </c>
      <c r="K715" s="21">
        <v>2025</v>
      </c>
      <c r="L715" s="23">
        <v>45921</v>
      </c>
    </row>
    <row r="716" spans="1:12">
      <c r="A716" s="20" t="s">
        <v>30</v>
      </c>
      <c r="B716" s="21" t="s">
        <v>35</v>
      </c>
      <c r="C716" s="21" t="s">
        <v>8</v>
      </c>
      <c r="D716" s="21">
        <v>1</v>
      </c>
      <c r="E716" s="22">
        <v>30000</v>
      </c>
      <c r="F716" s="22">
        <v>30000</v>
      </c>
      <c r="G716" s="21" t="s">
        <v>38</v>
      </c>
      <c r="H716" s="21" t="s">
        <v>39</v>
      </c>
      <c r="I716" s="21">
        <v>25</v>
      </c>
      <c r="J716" s="21">
        <v>9</v>
      </c>
      <c r="K716" s="21">
        <v>2025</v>
      </c>
      <c r="L716" s="23">
        <v>45925</v>
      </c>
    </row>
    <row r="717" spans="1:12">
      <c r="A717" s="20" t="s">
        <v>56</v>
      </c>
      <c r="B717" s="21" t="s">
        <v>35</v>
      </c>
      <c r="C717" s="21" t="s">
        <v>15</v>
      </c>
      <c r="D717" s="21">
        <v>1</v>
      </c>
      <c r="E717" s="22">
        <v>25000</v>
      </c>
      <c r="F717" s="22">
        <v>25000</v>
      </c>
      <c r="G717" s="21" t="s">
        <v>40</v>
      </c>
      <c r="H717" s="21" t="s">
        <v>39</v>
      </c>
      <c r="I717" s="21">
        <v>3</v>
      </c>
      <c r="J717" s="21">
        <v>9</v>
      </c>
      <c r="K717" s="21">
        <v>2025</v>
      </c>
      <c r="L717" s="23">
        <v>45903</v>
      </c>
    </row>
    <row r="718" spans="1:12">
      <c r="A718" s="20" t="s">
        <v>60</v>
      </c>
      <c r="B718" s="21" t="s">
        <v>35</v>
      </c>
      <c r="C718" s="21" t="s">
        <v>13</v>
      </c>
      <c r="D718" s="21">
        <v>5</v>
      </c>
      <c r="E718" s="22">
        <v>20000</v>
      </c>
      <c r="F718" s="22">
        <v>100000</v>
      </c>
      <c r="G718" s="21" t="s">
        <v>41</v>
      </c>
      <c r="H718" s="21" t="s">
        <v>39</v>
      </c>
      <c r="I718" s="21">
        <v>4</v>
      </c>
      <c r="J718" s="21">
        <v>9</v>
      </c>
      <c r="K718" s="21">
        <v>2025</v>
      </c>
      <c r="L718" s="23">
        <v>45904</v>
      </c>
    </row>
    <row r="719" spans="1:12">
      <c r="A719" s="20" t="s">
        <v>59</v>
      </c>
      <c r="B719" s="21" t="s">
        <v>35</v>
      </c>
      <c r="C719" s="21" t="s">
        <v>16</v>
      </c>
      <c r="D719" s="21">
        <v>1</v>
      </c>
      <c r="E719" s="22">
        <v>25000</v>
      </c>
      <c r="F719" s="22">
        <v>25000</v>
      </c>
      <c r="G719" s="21" t="s">
        <v>42</v>
      </c>
      <c r="H719" s="21" t="s">
        <v>39</v>
      </c>
      <c r="I719" s="21">
        <v>12</v>
      </c>
      <c r="J719" s="21">
        <v>9</v>
      </c>
      <c r="K719" s="21">
        <v>2025</v>
      </c>
      <c r="L719" s="23">
        <v>45912</v>
      </c>
    </row>
    <row r="720" spans="1:12">
      <c r="A720" s="20" t="s">
        <v>22</v>
      </c>
      <c r="B720" s="21" t="s">
        <v>35</v>
      </c>
      <c r="C720" s="21" t="s">
        <v>12</v>
      </c>
      <c r="D720" s="21">
        <v>5</v>
      </c>
      <c r="E720" s="22">
        <v>20000</v>
      </c>
      <c r="F720" s="22">
        <v>100000</v>
      </c>
      <c r="G720" s="21" t="s">
        <v>43</v>
      </c>
      <c r="H720" s="21" t="s">
        <v>44</v>
      </c>
      <c r="I720" s="21">
        <v>16</v>
      </c>
      <c r="J720" s="21">
        <v>9</v>
      </c>
      <c r="K720" s="21">
        <v>2025</v>
      </c>
      <c r="L720" s="23">
        <v>45916</v>
      </c>
    </row>
    <row r="721" spans="1:12">
      <c r="A721" s="20" t="s">
        <v>31</v>
      </c>
      <c r="B721" s="21" t="s">
        <v>35</v>
      </c>
      <c r="C721" s="21" t="s">
        <v>8</v>
      </c>
      <c r="D721" s="21">
        <v>3</v>
      </c>
      <c r="E721" s="22">
        <v>25000</v>
      </c>
      <c r="F721" s="22">
        <v>75000</v>
      </c>
      <c r="G721" s="21" t="s">
        <v>38</v>
      </c>
      <c r="H721" s="21" t="s">
        <v>39</v>
      </c>
      <c r="I721" s="21">
        <v>23</v>
      </c>
      <c r="J721" s="21">
        <v>9</v>
      </c>
      <c r="K721" s="21">
        <v>2025</v>
      </c>
      <c r="L721" s="23">
        <v>45923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Makassar</vt:lpstr>
      <vt:lpstr>Semarang</vt:lpstr>
      <vt:lpstr>Medan</vt:lpstr>
      <vt:lpstr>Bandung</vt:lpstr>
      <vt:lpstr>Surabaya</vt:lpstr>
      <vt:lpstr>Jakarta</vt:lpstr>
      <vt:lpstr>DBProduct</vt:lpstr>
      <vt:lpstr>Master</vt:lpstr>
      <vt:lpstr>Dashboard</vt:lpstr>
      <vt:lpstr>Detail1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Muhammad Azra Fajriansyah</cp:lastModifiedBy>
  <dcterms:created xsi:type="dcterms:W3CDTF">2026-09-20T05:33:03Z</dcterms:created>
  <dcterms:modified xsi:type="dcterms:W3CDTF">2026-10-02T09:04:28Z</dcterms:modified>
</cp:coreProperties>
</file>